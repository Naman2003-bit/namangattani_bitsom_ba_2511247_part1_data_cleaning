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c64989f5fe02b5/Desktop/Naman/"/>
    </mc:Choice>
  </mc:AlternateContent>
  <xr:revisionPtr revIDLastSave="2" documentId="8_{3AC16F19-C8E8-43DE-92B6-439242A23FF9}" xr6:coauthVersionLast="47" xr6:coauthVersionMax="47" xr10:uidLastSave="{C1CDB550-745D-4CCB-B04E-61D41ABD3DC2}"/>
  <bookViews>
    <workbookView xWindow="-108" yWindow="-108" windowWidth="23256" windowHeight="12456" firstSheet="5" activeTab="6" xr2:uid="{C3AF92E5-7956-4B59-885F-5C3E499231A4}"/>
  </bookViews>
  <sheets>
    <sheet name="Sales_Profit_By_Region" sheetId="5" r:id="rId1"/>
    <sheet name="Sales_Profit_By_Category" sheetId="6" r:id="rId2"/>
    <sheet name="Order_Count_By_Ship_Mode" sheetId="7" r:id="rId3"/>
    <sheet name="Profit_Margin_By_Segment" sheetId="8" r:id="rId4"/>
    <sheet name="Special_Order_Status_By_Region" sheetId="9" r:id="rId5"/>
    <sheet name="Monthly_Sales_Trend" sheetId="10" r:id="rId6"/>
    <sheet name="Data" sheetId="1" r:id="rId7"/>
  </sheets>
  <definedNames>
    <definedName name="_xlnm._FilterDatabase" localSheetId="6" hidden="1">Data!$A$1:$AX$933</definedName>
  </definedNames>
  <calcPr calcId="191029"/>
  <pivotCaches>
    <pivotCache cacheId="2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2" i="1"/>
  <c r="B3" i="1"/>
  <c r="B4" i="1"/>
  <c r="B5" i="1"/>
  <c r="B503" i="1"/>
  <c r="B6" i="1"/>
  <c r="B504" i="1"/>
  <c r="B506" i="1"/>
  <c r="B7" i="1"/>
  <c r="B507" i="1"/>
  <c r="B508" i="1"/>
  <c r="B8" i="1"/>
  <c r="B9" i="1"/>
  <c r="B509" i="1"/>
  <c r="B10" i="1"/>
  <c r="B11" i="1"/>
  <c r="B12" i="1"/>
  <c r="B13" i="1"/>
  <c r="B510" i="1"/>
  <c r="B14" i="1"/>
  <c r="B511" i="1"/>
  <c r="B512" i="1"/>
  <c r="B513" i="1"/>
  <c r="B514" i="1"/>
  <c r="B15" i="1"/>
  <c r="B16" i="1"/>
  <c r="B17" i="1"/>
  <c r="B515" i="1"/>
  <c r="B18" i="1"/>
  <c r="B516" i="1"/>
  <c r="B19" i="1"/>
  <c r="B517" i="1"/>
  <c r="B20" i="1"/>
  <c r="B21" i="1"/>
  <c r="B518" i="1"/>
  <c r="B22" i="1"/>
  <c r="B23" i="1"/>
  <c r="B519" i="1"/>
  <c r="B24" i="1"/>
  <c r="B25" i="1"/>
  <c r="B26" i="1"/>
  <c r="B27" i="1"/>
  <c r="B520" i="1"/>
  <c r="B28" i="1"/>
  <c r="B29" i="1"/>
  <c r="B30" i="1"/>
  <c r="B31" i="1"/>
  <c r="B32" i="1"/>
  <c r="B521" i="1"/>
  <c r="B33" i="1"/>
  <c r="B522" i="1"/>
  <c r="B34" i="1"/>
  <c r="B35" i="1"/>
  <c r="B523" i="1"/>
  <c r="B524" i="1"/>
  <c r="B525" i="1"/>
  <c r="B526" i="1"/>
  <c r="B36" i="1"/>
  <c r="B37" i="1"/>
  <c r="B38" i="1"/>
  <c r="B39" i="1"/>
  <c r="B40" i="1"/>
  <c r="B41" i="1"/>
  <c r="B42" i="1"/>
  <c r="B43" i="1"/>
  <c r="B44" i="1"/>
  <c r="B527" i="1"/>
  <c r="B528" i="1"/>
  <c r="B45" i="1"/>
  <c r="B46" i="1"/>
  <c r="B529" i="1"/>
  <c r="B530" i="1"/>
  <c r="B47" i="1"/>
  <c r="B531" i="1"/>
  <c r="B532" i="1"/>
  <c r="B533" i="1"/>
  <c r="B48" i="1"/>
  <c r="B534" i="1"/>
  <c r="B535" i="1"/>
  <c r="B536" i="1"/>
  <c r="B49" i="1"/>
  <c r="B537" i="1"/>
  <c r="B50" i="1"/>
  <c r="B51" i="1"/>
  <c r="B52" i="1"/>
  <c r="B53" i="1"/>
  <c r="B54" i="1"/>
  <c r="B55" i="1"/>
  <c r="B56" i="1"/>
  <c r="B57" i="1"/>
  <c r="B538" i="1"/>
  <c r="B540" i="1"/>
  <c r="B541" i="1"/>
  <c r="B58" i="1"/>
  <c r="B59" i="1"/>
  <c r="B542" i="1"/>
  <c r="B60" i="1"/>
  <c r="B543" i="1"/>
  <c r="B61" i="1"/>
  <c r="B544" i="1"/>
  <c r="B545" i="1"/>
  <c r="B62" i="1"/>
  <c r="B546" i="1"/>
  <c r="B547" i="1"/>
  <c r="B548" i="1"/>
  <c r="B63" i="1"/>
  <c r="B64" i="1"/>
  <c r="B65" i="1"/>
  <c r="B66" i="1"/>
  <c r="B549" i="1"/>
  <c r="B67" i="1"/>
  <c r="B550" i="1"/>
  <c r="B68" i="1"/>
  <c r="B69" i="1"/>
  <c r="B70" i="1"/>
  <c r="B71" i="1"/>
  <c r="B551" i="1"/>
  <c r="B72" i="1"/>
  <c r="B73" i="1"/>
  <c r="B74" i="1"/>
  <c r="B75" i="1"/>
  <c r="B552" i="1"/>
  <c r="B76" i="1"/>
  <c r="B77" i="1"/>
  <c r="B80" i="1"/>
  <c r="B553" i="1"/>
  <c r="B554" i="1"/>
  <c r="B555" i="1"/>
  <c r="B81" i="1"/>
  <c r="B82" i="1"/>
  <c r="B83" i="1"/>
  <c r="B557" i="1"/>
  <c r="B84" i="1"/>
  <c r="B85" i="1"/>
  <c r="B558" i="1"/>
  <c r="B559" i="1"/>
  <c r="B560" i="1"/>
  <c r="B561" i="1"/>
  <c r="B87" i="1"/>
  <c r="B562" i="1"/>
  <c r="B88" i="1"/>
  <c r="B89" i="1"/>
  <c r="B90" i="1"/>
  <c r="B92" i="1"/>
  <c r="B93" i="1"/>
  <c r="B563" i="1"/>
  <c r="B564" i="1"/>
  <c r="B94" i="1"/>
  <c r="B565" i="1"/>
  <c r="B95" i="1"/>
  <c r="B96" i="1"/>
  <c r="B97" i="1"/>
  <c r="B98" i="1"/>
  <c r="B566" i="1"/>
  <c r="B99" i="1"/>
  <c r="B567" i="1"/>
  <c r="B568" i="1"/>
  <c r="B100" i="1"/>
  <c r="B101" i="1"/>
  <c r="B569" i="1"/>
  <c r="B570" i="1"/>
  <c r="B571" i="1"/>
  <c r="B102" i="1"/>
  <c r="B572" i="1"/>
  <c r="B573" i="1"/>
  <c r="B103" i="1"/>
  <c r="B574" i="1"/>
  <c r="B575" i="1"/>
  <c r="B576" i="1"/>
  <c r="B577" i="1"/>
  <c r="B578" i="1"/>
  <c r="B580" i="1"/>
  <c r="B581" i="1"/>
  <c r="B104" i="1"/>
  <c r="B582" i="1"/>
  <c r="B105" i="1"/>
  <c r="B583" i="1"/>
  <c r="B106" i="1"/>
  <c r="B107" i="1"/>
  <c r="B108" i="1"/>
  <c r="B109" i="1"/>
  <c r="B584" i="1"/>
  <c r="B110" i="1"/>
  <c r="B585" i="1"/>
  <c r="B111" i="1"/>
  <c r="B112" i="1"/>
  <c r="B113" i="1"/>
  <c r="B586" i="1"/>
  <c r="B587" i="1"/>
  <c r="B588" i="1"/>
  <c r="B589" i="1"/>
  <c r="B114" i="1"/>
  <c r="B115" i="1"/>
  <c r="B116" i="1"/>
  <c r="B590" i="1"/>
  <c r="B591" i="1"/>
  <c r="B117" i="1"/>
  <c r="B592" i="1"/>
  <c r="B118" i="1"/>
  <c r="B119" i="1"/>
  <c r="B593" i="1"/>
  <c r="B594" i="1"/>
  <c r="B595" i="1"/>
  <c r="B120" i="1"/>
  <c r="B596" i="1"/>
  <c r="B597" i="1"/>
  <c r="B598" i="1"/>
  <c r="B121" i="1"/>
  <c r="B599" i="1"/>
  <c r="B600" i="1"/>
  <c r="B122" i="1"/>
  <c r="B123" i="1"/>
  <c r="B124" i="1"/>
  <c r="B125" i="1"/>
  <c r="B126" i="1"/>
  <c r="B127" i="1"/>
  <c r="B601" i="1"/>
  <c r="B602" i="1"/>
  <c r="B603" i="1"/>
  <c r="B128" i="1"/>
  <c r="B129" i="1"/>
  <c r="B604" i="1"/>
  <c r="B605" i="1"/>
  <c r="B606" i="1"/>
  <c r="B607" i="1"/>
  <c r="B130" i="1"/>
  <c r="B609" i="1"/>
  <c r="B131" i="1"/>
  <c r="B132" i="1"/>
  <c r="B610" i="1"/>
  <c r="B133" i="1"/>
  <c r="B134" i="1"/>
  <c r="B611" i="1"/>
  <c r="B135" i="1"/>
  <c r="B136" i="1"/>
  <c r="B137" i="1"/>
  <c r="B138" i="1"/>
  <c r="B139" i="1"/>
  <c r="B140" i="1"/>
  <c r="B141" i="1"/>
  <c r="B142" i="1"/>
  <c r="B612" i="1"/>
  <c r="B613" i="1"/>
  <c r="B614" i="1"/>
  <c r="B143" i="1"/>
  <c r="B144" i="1"/>
  <c r="B145" i="1"/>
  <c r="B146" i="1"/>
  <c r="B147" i="1"/>
  <c r="B615" i="1"/>
  <c r="B148" i="1"/>
  <c r="B616" i="1"/>
  <c r="B617" i="1"/>
  <c r="B150" i="1"/>
  <c r="B618" i="1"/>
  <c r="B619" i="1"/>
  <c r="B151" i="1"/>
  <c r="B620" i="1"/>
  <c r="B152" i="1"/>
  <c r="B153" i="1"/>
  <c r="B621" i="1"/>
  <c r="B622" i="1"/>
  <c r="B623" i="1"/>
  <c r="B624" i="1"/>
  <c r="B154" i="1"/>
  <c r="B155" i="1"/>
  <c r="B625" i="1"/>
  <c r="B626" i="1"/>
  <c r="B627" i="1"/>
  <c r="B628" i="1"/>
  <c r="B156" i="1"/>
  <c r="B157" i="1"/>
  <c r="B158" i="1"/>
  <c r="B629" i="1"/>
  <c r="B160" i="1"/>
  <c r="B161" i="1"/>
  <c r="B162" i="1"/>
  <c r="B630" i="1"/>
  <c r="B631" i="1"/>
  <c r="B164" i="1"/>
  <c r="B165" i="1"/>
  <c r="B632" i="1"/>
  <c r="B167" i="1"/>
  <c r="B633" i="1"/>
  <c r="B168" i="1"/>
  <c r="B634" i="1"/>
  <c r="B169" i="1"/>
  <c r="B170" i="1"/>
  <c r="B171" i="1"/>
  <c r="B635" i="1"/>
  <c r="B636" i="1"/>
  <c r="B172" i="1"/>
  <c r="B637" i="1"/>
  <c r="B173" i="1"/>
  <c r="B638" i="1"/>
  <c r="B639" i="1"/>
  <c r="B640" i="1"/>
  <c r="B174" i="1"/>
  <c r="B641" i="1"/>
  <c r="B175" i="1"/>
  <c r="B176" i="1"/>
  <c r="B642" i="1"/>
  <c r="B643" i="1"/>
  <c r="B177" i="1"/>
  <c r="B178" i="1"/>
  <c r="B179" i="1"/>
  <c r="B644" i="1"/>
  <c r="B645" i="1"/>
  <c r="B646" i="1"/>
  <c r="B180" i="1"/>
  <c r="B181" i="1"/>
  <c r="B182" i="1"/>
  <c r="B183" i="1"/>
  <c r="B647" i="1"/>
  <c r="B648" i="1"/>
  <c r="B184" i="1"/>
  <c r="B185" i="1"/>
  <c r="B650" i="1"/>
  <c r="B186" i="1"/>
  <c r="B187" i="1"/>
  <c r="B188" i="1"/>
  <c r="B189" i="1"/>
  <c r="B190" i="1"/>
  <c r="B191" i="1"/>
  <c r="B651" i="1"/>
  <c r="B652" i="1"/>
  <c r="B653" i="1"/>
  <c r="B192" i="1"/>
  <c r="B654" i="1"/>
  <c r="B655" i="1"/>
  <c r="B193" i="1"/>
  <c r="B194" i="1"/>
  <c r="B656" i="1"/>
  <c r="B657" i="1"/>
  <c r="B196" i="1"/>
  <c r="B658" i="1"/>
  <c r="B197" i="1"/>
  <c r="B198" i="1"/>
  <c r="B199" i="1"/>
  <c r="B660" i="1"/>
  <c r="B200" i="1"/>
  <c r="B661" i="1"/>
  <c r="B662" i="1"/>
  <c r="B663" i="1"/>
  <c r="B201" i="1"/>
  <c r="B202" i="1"/>
  <c r="B664" i="1"/>
  <c r="B203" i="1"/>
  <c r="B204" i="1"/>
  <c r="B665" i="1"/>
  <c r="B205" i="1"/>
  <c r="B666" i="1"/>
  <c r="B667" i="1"/>
  <c r="B668" i="1"/>
  <c r="B206" i="1"/>
  <c r="B207" i="1"/>
  <c r="B669" i="1"/>
  <c r="B670" i="1"/>
  <c r="B671" i="1"/>
  <c r="B208" i="1"/>
  <c r="B209" i="1"/>
  <c r="B672" i="1"/>
  <c r="B210" i="1"/>
  <c r="B673" i="1"/>
  <c r="B674" i="1"/>
  <c r="B211" i="1"/>
  <c r="B675" i="1"/>
  <c r="B212" i="1"/>
  <c r="B676" i="1"/>
  <c r="B677" i="1"/>
  <c r="B213" i="1"/>
  <c r="B214" i="1"/>
  <c r="B678" i="1"/>
  <c r="B679" i="1"/>
  <c r="B681" i="1"/>
  <c r="B215" i="1"/>
  <c r="B216" i="1"/>
  <c r="B682" i="1"/>
  <c r="B684" i="1"/>
  <c r="B217" i="1"/>
  <c r="B218" i="1"/>
  <c r="B685" i="1"/>
  <c r="B686" i="1"/>
  <c r="B687" i="1"/>
  <c r="B219" i="1"/>
  <c r="B688" i="1"/>
  <c r="B689" i="1"/>
  <c r="B690" i="1"/>
  <c r="B220" i="1"/>
  <c r="B221" i="1"/>
  <c r="B222" i="1"/>
  <c r="B691" i="1"/>
  <c r="B223" i="1"/>
  <c r="B224" i="1"/>
  <c r="B225" i="1"/>
  <c r="B226" i="1"/>
  <c r="B692" i="1"/>
  <c r="B693" i="1"/>
  <c r="B227" i="1"/>
  <c r="B694" i="1"/>
  <c r="B696" i="1"/>
  <c r="B697" i="1"/>
  <c r="B228" i="1"/>
  <c r="B229" i="1"/>
  <c r="B230" i="1"/>
  <c r="B231" i="1"/>
  <c r="B698" i="1"/>
  <c r="B232" i="1"/>
  <c r="B699" i="1"/>
  <c r="B700" i="1"/>
  <c r="B233" i="1"/>
  <c r="B701" i="1"/>
  <c r="B234" i="1"/>
  <c r="B702" i="1"/>
  <c r="B235" i="1"/>
  <c r="B236" i="1"/>
  <c r="B703" i="1"/>
  <c r="B704" i="1"/>
  <c r="B237" i="1"/>
  <c r="B705" i="1"/>
  <c r="B706" i="1"/>
  <c r="B707" i="1"/>
  <c r="B708" i="1"/>
  <c r="B238" i="1"/>
  <c r="B240" i="1"/>
  <c r="B241" i="1"/>
  <c r="B242" i="1"/>
  <c r="B709" i="1"/>
  <c r="B710" i="1"/>
  <c r="B711" i="1"/>
  <c r="B243" i="1"/>
  <c r="B244" i="1"/>
  <c r="B245" i="1"/>
  <c r="B246" i="1"/>
  <c r="B712" i="1"/>
  <c r="B713" i="1"/>
  <c r="B247" i="1"/>
  <c r="B248" i="1"/>
  <c r="B714" i="1"/>
  <c r="B715" i="1"/>
  <c r="B249" i="1"/>
  <c r="B250" i="1"/>
  <c r="B716" i="1"/>
  <c r="B251" i="1"/>
  <c r="B717" i="1"/>
  <c r="B252" i="1"/>
  <c r="B718" i="1"/>
  <c r="B719" i="1"/>
  <c r="B253" i="1"/>
  <c r="B254" i="1"/>
  <c r="B720" i="1"/>
  <c r="B255" i="1"/>
  <c r="B256" i="1"/>
  <c r="B721" i="1"/>
  <c r="B722" i="1"/>
  <c r="B257" i="1"/>
  <c r="B258" i="1"/>
  <c r="B259" i="1"/>
  <c r="B260" i="1"/>
  <c r="B261" i="1"/>
  <c r="B723" i="1"/>
  <c r="B724" i="1"/>
  <c r="B262" i="1"/>
  <c r="B725" i="1"/>
  <c r="B726" i="1"/>
  <c r="B263" i="1"/>
  <c r="B264" i="1"/>
  <c r="B265" i="1"/>
  <c r="B727" i="1"/>
  <c r="B266" i="1"/>
  <c r="B267" i="1"/>
  <c r="B268" i="1"/>
  <c r="B269" i="1"/>
  <c r="B270" i="1"/>
  <c r="B271" i="1"/>
  <c r="B728" i="1"/>
  <c r="B272" i="1"/>
  <c r="B729" i="1"/>
  <c r="B273" i="1"/>
  <c r="B274" i="1"/>
  <c r="B730" i="1"/>
  <c r="B731" i="1"/>
  <c r="B275" i="1"/>
  <c r="B276" i="1"/>
  <c r="B277" i="1"/>
  <c r="B732" i="1"/>
  <c r="B733" i="1"/>
  <c r="B734" i="1"/>
  <c r="B278" i="1"/>
  <c r="B279" i="1"/>
  <c r="B280" i="1"/>
  <c r="B735" i="1"/>
  <c r="B736" i="1"/>
  <c r="B737" i="1"/>
  <c r="B281" i="1"/>
  <c r="B282" i="1"/>
  <c r="B738" i="1"/>
  <c r="B283" i="1"/>
  <c r="B739" i="1"/>
  <c r="B284" i="1"/>
  <c r="B285" i="1"/>
  <c r="B286" i="1"/>
  <c r="B287" i="1"/>
  <c r="B289" i="1"/>
  <c r="B740" i="1"/>
  <c r="B290" i="1"/>
  <c r="B291" i="1"/>
  <c r="B741" i="1"/>
  <c r="B292" i="1"/>
  <c r="B742" i="1"/>
  <c r="B293" i="1"/>
  <c r="B294" i="1"/>
  <c r="B743" i="1"/>
  <c r="B744" i="1"/>
  <c r="B295" i="1"/>
  <c r="B745" i="1"/>
  <c r="B296" i="1"/>
  <c r="B746" i="1"/>
  <c r="B747" i="1"/>
  <c r="B748" i="1"/>
  <c r="B297" i="1"/>
  <c r="B749" i="1"/>
  <c r="B750" i="1"/>
  <c r="B298" i="1"/>
  <c r="B299" i="1"/>
  <c r="B300" i="1"/>
  <c r="B751" i="1"/>
  <c r="B752" i="1"/>
  <c r="B301" i="1"/>
  <c r="B302" i="1"/>
  <c r="B753" i="1"/>
  <c r="B303" i="1"/>
  <c r="B754" i="1"/>
  <c r="B304" i="1"/>
  <c r="B755" i="1"/>
  <c r="B305" i="1"/>
  <c r="B756" i="1"/>
  <c r="B306" i="1"/>
  <c r="B307" i="1"/>
  <c r="B757" i="1"/>
  <c r="B308" i="1"/>
  <c r="B758" i="1"/>
  <c r="B309" i="1"/>
  <c r="B310" i="1"/>
  <c r="B759" i="1"/>
  <c r="B311" i="1"/>
  <c r="B760" i="1"/>
  <c r="B312" i="1"/>
  <c r="B313" i="1"/>
  <c r="B761" i="1"/>
  <c r="B314" i="1"/>
  <c r="B315" i="1"/>
  <c r="B763" i="1"/>
  <c r="B764" i="1"/>
  <c r="B316" i="1"/>
  <c r="B765" i="1"/>
  <c r="B317" i="1"/>
  <c r="B318" i="1"/>
  <c r="B766" i="1"/>
  <c r="B767" i="1"/>
  <c r="B319" i="1"/>
  <c r="B768" i="1"/>
  <c r="B320" i="1"/>
  <c r="B321" i="1"/>
  <c r="B322" i="1"/>
  <c r="B769" i="1"/>
  <c r="B323" i="1"/>
  <c r="B324" i="1"/>
  <c r="B325" i="1"/>
  <c r="B770" i="1"/>
  <c r="B771" i="1"/>
  <c r="B772" i="1"/>
  <c r="B326" i="1"/>
  <c r="B774" i="1"/>
  <c r="B327" i="1"/>
  <c r="B775" i="1"/>
  <c r="B328" i="1"/>
  <c r="B776" i="1"/>
  <c r="B329" i="1"/>
  <c r="B330" i="1"/>
  <c r="B777" i="1"/>
  <c r="B778" i="1"/>
  <c r="B331" i="1"/>
  <c r="B332" i="1"/>
  <c r="B333" i="1"/>
  <c r="B779" i="1"/>
  <c r="B780" i="1"/>
  <c r="B781" i="1"/>
  <c r="B782" i="1"/>
  <c r="B334" i="1"/>
  <c r="B335" i="1"/>
  <c r="B336" i="1"/>
  <c r="B337" i="1"/>
  <c r="B783" i="1"/>
  <c r="B338" i="1"/>
  <c r="B784" i="1"/>
  <c r="B339" i="1"/>
  <c r="B785" i="1"/>
  <c r="B340" i="1"/>
  <c r="B342" i="1"/>
  <c r="B786" i="1"/>
  <c r="B343" i="1"/>
  <c r="B344" i="1"/>
  <c r="B787" i="1"/>
  <c r="B788" i="1"/>
  <c r="B789" i="1"/>
  <c r="B790" i="1"/>
  <c r="B791" i="1"/>
  <c r="B345" i="1"/>
  <c r="B792" i="1"/>
  <c r="B346" i="1"/>
  <c r="B793" i="1"/>
  <c r="B794" i="1"/>
  <c r="B347" i="1"/>
  <c r="B348" i="1"/>
  <c r="B349" i="1"/>
  <c r="B350" i="1"/>
  <c r="B351" i="1"/>
  <c r="B352" i="1"/>
  <c r="B353" i="1"/>
  <c r="B354" i="1"/>
  <c r="B355" i="1"/>
  <c r="B795" i="1"/>
  <c r="B356" i="1"/>
  <c r="B357" i="1"/>
  <c r="B358" i="1"/>
  <c r="B796" i="1"/>
  <c r="B797" i="1"/>
  <c r="B798" i="1"/>
  <c r="B799" i="1"/>
  <c r="B359" i="1"/>
  <c r="B360" i="1"/>
  <c r="B800" i="1"/>
  <c r="B802" i="1"/>
  <c r="B803" i="1"/>
  <c r="B361" i="1"/>
  <c r="B362" i="1"/>
  <c r="B363" i="1"/>
  <c r="B364" i="1"/>
  <c r="B365" i="1"/>
  <c r="B804" i="1"/>
  <c r="B805" i="1"/>
  <c r="B366" i="1"/>
  <c r="B367" i="1"/>
  <c r="B806" i="1"/>
  <c r="B368" i="1"/>
  <c r="B369" i="1"/>
  <c r="B807" i="1"/>
  <c r="B370" i="1"/>
  <c r="B808" i="1"/>
  <c r="B371" i="1"/>
  <c r="B809" i="1"/>
  <c r="B810" i="1"/>
  <c r="B811" i="1"/>
  <c r="B812" i="1"/>
  <c r="B813" i="1"/>
  <c r="B372" i="1"/>
  <c r="B814" i="1"/>
  <c r="B815" i="1"/>
  <c r="B816" i="1"/>
  <c r="B817" i="1"/>
  <c r="B373" i="1"/>
  <c r="B374" i="1"/>
  <c r="B375" i="1"/>
  <c r="B376" i="1"/>
  <c r="B818" i="1"/>
  <c r="B377" i="1"/>
  <c r="B819" i="1"/>
  <c r="B378" i="1"/>
  <c r="B379" i="1"/>
  <c r="B820" i="1"/>
  <c r="B380" i="1"/>
  <c r="B381" i="1"/>
  <c r="B821" i="1"/>
  <c r="B382" i="1"/>
  <c r="B822" i="1"/>
  <c r="B823" i="1"/>
  <c r="B383" i="1"/>
  <c r="B384" i="1"/>
  <c r="B825" i="1"/>
  <c r="B385" i="1"/>
  <c r="B386" i="1"/>
  <c r="B826" i="1"/>
  <c r="B827" i="1"/>
  <c r="B828" i="1"/>
  <c r="B829" i="1"/>
  <c r="B387" i="1"/>
  <c r="B830" i="1"/>
  <c r="B831" i="1"/>
  <c r="B388" i="1"/>
  <c r="B389" i="1"/>
  <c r="B390" i="1"/>
  <c r="B832" i="1"/>
  <c r="B833" i="1"/>
  <c r="B834" i="1"/>
  <c r="B391" i="1"/>
  <c r="B836" i="1"/>
  <c r="B837" i="1"/>
  <c r="B392" i="1"/>
  <c r="B393" i="1"/>
  <c r="B394" i="1"/>
  <c r="B395" i="1"/>
  <c r="B838" i="1"/>
  <c r="B396" i="1"/>
  <c r="B397" i="1"/>
  <c r="B399" i="1"/>
  <c r="B400" i="1"/>
  <c r="B839" i="1"/>
  <c r="B840" i="1"/>
  <c r="B841" i="1"/>
  <c r="B401" i="1"/>
  <c r="B842" i="1"/>
  <c r="B402" i="1"/>
  <c r="B843" i="1"/>
  <c r="B844" i="1"/>
  <c r="B845" i="1"/>
  <c r="B846" i="1"/>
  <c r="B847" i="1"/>
  <c r="B404" i="1"/>
  <c r="B848" i="1"/>
  <c r="B405" i="1"/>
  <c r="B850" i="1"/>
  <c r="B406" i="1"/>
  <c r="B851" i="1"/>
  <c r="B407" i="1"/>
  <c r="B852" i="1"/>
  <c r="B408" i="1"/>
  <c r="B409" i="1"/>
  <c r="B410" i="1"/>
  <c r="B853" i="1"/>
  <c r="B855" i="1"/>
  <c r="B411" i="1"/>
  <c r="B412" i="1"/>
  <c r="B413" i="1"/>
  <c r="B414" i="1"/>
  <c r="B415" i="1"/>
  <c r="B416" i="1"/>
  <c r="B417" i="1"/>
  <c r="B856" i="1"/>
  <c r="B418" i="1"/>
  <c r="B419" i="1"/>
  <c r="B857" i="1"/>
  <c r="B420" i="1"/>
  <c r="B858" i="1"/>
  <c r="B859" i="1"/>
  <c r="B421" i="1"/>
  <c r="B860" i="1"/>
  <c r="B422" i="1"/>
  <c r="B423" i="1"/>
  <c r="B424" i="1"/>
  <c r="B861" i="1"/>
  <c r="B862" i="1"/>
  <c r="B425" i="1"/>
  <c r="B426" i="1"/>
  <c r="B863" i="1"/>
  <c r="B864" i="1"/>
  <c r="B427" i="1"/>
  <c r="B865" i="1"/>
  <c r="B428" i="1"/>
  <c r="B429" i="1"/>
  <c r="B430" i="1"/>
  <c r="B866" i="1"/>
  <c r="B431" i="1"/>
  <c r="B867" i="1"/>
  <c r="B868" i="1"/>
  <c r="B869" i="1"/>
  <c r="B432" i="1"/>
  <c r="B433" i="1"/>
  <c r="B870" i="1"/>
  <c r="B434" i="1"/>
  <c r="B435" i="1"/>
  <c r="B436" i="1"/>
  <c r="B871" i="1"/>
  <c r="B872" i="1"/>
  <c r="B873" i="1"/>
  <c r="B437" i="1"/>
  <c r="B874" i="1"/>
  <c r="B438" i="1"/>
  <c r="B439" i="1"/>
  <c r="B440" i="1"/>
  <c r="B441" i="1"/>
  <c r="B442" i="1"/>
  <c r="B875" i="1"/>
  <c r="B443" i="1"/>
  <c r="B876" i="1"/>
  <c r="B444" i="1"/>
  <c r="B877" i="1"/>
  <c r="B445" i="1"/>
  <c r="B446" i="1"/>
  <c r="B878" i="1"/>
  <c r="B447" i="1"/>
  <c r="B448" i="1"/>
  <c r="B879" i="1"/>
  <c r="B449" i="1"/>
  <c r="B880" i="1"/>
  <c r="B450" i="1"/>
  <c r="B451" i="1"/>
  <c r="B452" i="1"/>
  <c r="B881" i="1"/>
  <c r="B453" i="1"/>
  <c r="B454" i="1"/>
  <c r="B882" i="1"/>
  <c r="B883" i="1"/>
  <c r="B455" i="1"/>
  <c r="B884" i="1"/>
  <c r="B885" i="1"/>
  <c r="B456" i="1"/>
  <c r="B886" i="1"/>
  <c r="B887" i="1"/>
  <c r="B888" i="1"/>
  <c r="B457" i="1"/>
  <c r="B458" i="1"/>
  <c r="B459" i="1"/>
  <c r="B889" i="1"/>
  <c r="B890" i="1"/>
  <c r="B460" i="1"/>
  <c r="B461" i="1"/>
  <c r="B891" i="1"/>
  <c r="B462" i="1"/>
  <c r="B463" i="1"/>
  <c r="B892" i="1"/>
  <c r="B464" i="1"/>
  <c r="B465" i="1"/>
  <c r="B893" i="1"/>
  <c r="B894" i="1"/>
  <c r="B895" i="1"/>
  <c r="B896" i="1"/>
  <c r="B466" i="1"/>
  <c r="B897" i="1"/>
  <c r="B467" i="1"/>
  <c r="B898" i="1"/>
  <c r="B899" i="1"/>
  <c r="B900" i="1"/>
  <c r="B468" i="1"/>
  <c r="B469" i="1"/>
  <c r="B901" i="1"/>
  <c r="B470" i="1"/>
  <c r="B902" i="1"/>
  <c r="B903" i="1"/>
  <c r="B471" i="1"/>
  <c r="B904" i="1"/>
  <c r="B905" i="1"/>
  <c r="B472" i="1"/>
  <c r="B906" i="1"/>
  <c r="B907" i="1"/>
  <c r="B473" i="1"/>
  <c r="B474" i="1"/>
  <c r="B908" i="1"/>
  <c r="B909" i="1"/>
  <c r="B475" i="1"/>
  <c r="B477" i="1"/>
  <c r="B478" i="1"/>
  <c r="B479" i="1"/>
  <c r="B910" i="1"/>
  <c r="B911" i="1"/>
  <c r="B480" i="1"/>
  <c r="B481" i="1"/>
  <c r="B482" i="1"/>
  <c r="B483" i="1"/>
  <c r="B484" i="1"/>
  <c r="B485" i="1"/>
  <c r="B912" i="1"/>
  <c r="B913" i="1"/>
  <c r="B914" i="1"/>
  <c r="B915" i="1"/>
  <c r="B916" i="1"/>
  <c r="B917" i="1"/>
  <c r="B486" i="1"/>
  <c r="B918" i="1"/>
  <c r="B919" i="1"/>
  <c r="B920" i="1"/>
  <c r="B487" i="1"/>
  <c r="B488" i="1"/>
  <c r="B921" i="1"/>
  <c r="B922" i="1"/>
  <c r="B489" i="1"/>
  <c r="B490" i="1"/>
  <c r="B923" i="1"/>
  <c r="B491" i="1"/>
  <c r="B924" i="1"/>
  <c r="B492" i="1"/>
  <c r="B493" i="1"/>
  <c r="B925" i="1"/>
  <c r="B926" i="1"/>
  <c r="B927" i="1"/>
  <c r="B494" i="1"/>
  <c r="B928" i="1"/>
  <c r="B495" i="1"/>
  <c r="B929" i="1"/>
  <c r="B930" i="1"/>
  <c r="B496" i="1"/>
  <c r="B497" i="1"/>
  <c r="B931" i="1"/>
  <c r="B498" i="1"/>
  <c r="B499" i="1"/>
  <c r="B500" i="1"/>
  <c r="B501" i="1"/>
  <c r="B932" i="1"/>
  <c r="B502" i="1"/>
  <c r="B933" i="1"/>
  <c r="B288" i="1"/>
  <c r="B341" i="1"/>
  <c r="B835" i="1"/>
  <c r="B398" i="1"/>
  <c r="B163" i="1"/>
  <c r="B801" i="1"/>
  <c r="B854" i="1"/>
  <c r="B86" i="1"/>
  <c r="B849" i="1"/>
  <c r="B695" i="1"/>
  <c r="B78" i="1"/>
  <c r="B149" i="1"/>
  <c r="B683" i="1"/>
  <c r="B166" i="1"/>
  <c r="B403" i="1"/>
  <c r="B762" i="1"/>
  <c r="B476" i="1"/>
  <c r="B556" i="1"/>
  <c r="B824" i="1"/>
  <c r="B505" i="1"/>
  <c r="B195" i="1"/>
  <c r="B539" i="1"/>
  <c r="B680" i="1"/>
  <c r="B608" i="1"/>
  <c r="B649" i="1"/>
  <c r="B579" i="1"/>
  <c r="B239" i="1"/>
  <c r="B773" i="1"/>
  <c r="B91" i="1"/>
  <c r="B159" i="1"/>
  <c r="B79" i="1"/>
  <c r="B659" i="1"/>
  <c r="B2" i="1"/>
  <c r="M288" i="1"/>
  <c r="O288" i="1"/>
  <c r="Q288" i="1"/>
  <c r="T288" i="1"/>
  <c r="V288" i="1"/>
  <c r="X288" i="1"/>
  <c r="Z288" i="1"/>
  <c r="AC288" i="1"/>
  <c r="AH288" i="1"/>
  <c r="AI288" i="1"/>
  <c r="AQ288" i="1"/>
  <c r="AT288" i="1"/>
  <c r="M341" i="1"/>
  <c r="O341" i="1"/>
  <c r="Q341" i="1"/>
  <c r="T341" i="1"/>
  <c r="V341" i="1"/>
  <c r="X341" i="1"/>
  <c r="Z341" i="1"/>
  <c r="AC341" i="1"/>
  <c r="AH341" i="1"/>
  <c r="AI341" i="1"/>
  <c r="AQ341" i="1"/>
  <c r="AT341" i="1"/>
  <c r="M835" i="1"/>
  <c r="O835" i="1"/>
  <c r="Q835" i="1"/>
  <c r="T835" i="1"/>
  <c r="V835" i="1"/>
  <c r="X835" i="1"/>
  <c r="Z835" i="1"/>
  <c r="AC835" i="1"/>
  <c r="AH835" i="1"/>
  <c r="AI835" i="1"/>
  <c r="AQ835" i="1"/>
  <c r="AT835" i="1"/>
  <c r="M398" i="1"/>
  <c r="O398" i="1"/>
  <c r="Q398" i="1"/>
  <c r="T398" i="1"/>
  <c r="V398" i="1"/>
  <c r="X398" i="1"/>
  <c r="Z398" i="1"/>
  <c r="AC398" i="1"/>
  <c r="AH398" i="1"/>
  <c r="AI398" i="1"/>
  <c r="AQ398" i="1"/>
  <c r="AT398" i="1"/>
  <c r="M163" i="1"/>
  <c r="O163" i="1"/>
  <c r="Q163" i="1"/>
  <c r="T163" i="1"/>
  <c r="V163" i="1"/>
  <c r="X163" i="1"/>
  <c r="Z163" i="1"/>
  <c r="AC163" i="1"/>
  <c r="AH163" i="1"/>
  <c r="AI163" i="1"/>
  <c r="AQ163" i="1"/>
  <c r="AT163" i="1"/>
  <c r="M801" i="1"/>
  <c r="O801" i="1"/>
  <c r="Q801" i="1"/>
  <c r="T801" i="1"/>
  <c r="V801" i="1"/>
  <c r="X801" i="1"/>
  <c r="Z801" i="1"/>
  <c r="AC801" i="1"/>
  <c r="AH801" i="1"/>
  <c r="AI801" i="1"/>
  <c r="AQ801" i="1"/>
  <c r="AT801" i="1"/>
  <c r="M854" i="1"/>
  <c r="O854" i="1"/>
  <c r="Q854" i="1"/>
  <c r="T854" i="1"/>
  <c r="V854" i="1"/>
  <c r="X854" i="1"/>
  <c r="Z854" i="1"/>
  <c r="AC854" i="1"/>
  <c r="AH854" i="1"/>
  <c r="AI854" i="1"/>
  <c r="AQ854" i="1"/>
  <c r="AT854" i="1"/>
  <c r="M86" i="1"/>
  <c r="O86" i="1"/>
  <c r="Q86" i="1"/>
  <c r="T86" i="1"/>
  <c r="V86" i="1"/>
  <c r="X86" i="1"/>
  <c r="Z86" i="1"/>
  <c r="AC86" i="1"/>
  <c r="AH86" i="1"/>
  <c r="AI86" i="1"/>
  <c r="AQ86" i="1"/>
  <c r="AT86" i="1"/>
  <c r="M849" i="1"/>
  <c r="O849" i="1"/>
  <c r="Q849" i="1"/>
  <c r="T849" i="1"/>
  <c r="V849" i="1"/>
  <c r="X849" i="1"/>
  <c r="Z849" i="1"/>
  <c r="AC849" i="1"/>
  <c r="AH849" i="1"/>
  <c r="AI849" i="1"/>
  <c r="AQ849" i="1"/>
  <c r="AT849" i="1"/>
  <c r="M695" i="1"/>
  <c r="O695" i="1"/>
  <c r="Q695" i="1"/>
  <c r="T695" i="1"/>
  <c r="V695" i="1"/>
  <c r="X695" i="1"/>
  <c r="Z695" i="1"/>
  <c r="AC695" i="1"/>
  <c r="AH695" i="1"/>
  <c r="AI695" i="1"/>
  <c r="AQ695" i="1"/>
  <c r="AT695" i="1"/>
  <c r="M78" i="1"/>
  <c r="O78" i="1"/>
  <c r="Q78" i="1"/>
  <c r="T78" i="1"/>
  <c r="V78" i="1"/>
  <c r="X78" i="1"/>
  <c r="Z78" i="1"/>
  <c r="AC78" i="1"/>
  <c r="AH78" i="1"/>
  <c r="AI78" i="1"/>
  <c r="AQ78" i="1"/>
  <c r="AT78" i="1"/>
  <c r="M149" i="1"/>
  <c r="O149" i="1"/>
  <c r="Q149" i="1"/>
  <c r="T149" i="1"/>
  <c r="V149" i="1"/>
  <c r="X149" i="1"/>
  <c r="Z149" i="1"/>
  <c r="AC149" i="1"/>
  <c r="AH149" i="1"/>
  <c r="AI149" i="1"/>
  <c r="AQ149" i="1"/>
  <c r="AT149" i="1"/>
  <c r="M683" i="1"/>
  <c r="O683" i="1"/>
  <c r="Q683" i="1"/>
  <c r="T683" i="1"/>
  <c r="V683" i="1"/>
  <c r="X683" i="1"/>
  <c r="Z683" i="1"/>
  <c r="AC683" i="1"/>
  <c r="AH683" i="1"/>
  <c r="AI683" i="1"/>
  <c r="AQ683" i="1"/>
  <c r="AT683" i="1"/>
  <c r="M166" i="1"/>
  <c r="O166" i="1"/>
  <c r="Q166" i="1"/>
  <c r="T166" i="1"/>
  <c r="V166" i="1"/>
  <c r="X166" i="1"/>
  <c r="Z166" i="1"/>
  <c r="AC166" i="1"/>
  <c r="AH166" i="1"/>
  <c r="AI166" i="1"/>
  <c r="AQ166" i="1"/>
  <c r="AT166" i="1"/>
  <c r="M403" i="1"/>
  <c r="O403" i="1"/>
  <c r="Q403" i="1"/>
  <c r="T403" i="1"/>
  <c r="V403" i="1"/>
  <c r="X403" i="1"/>
  <c r="Z403" i="1"/>
  <c r="AC403" i="1"/>
  <c r="AH403" i="1"/>
  <c r="AI403" i="1"/>
  <c r="AQ403" i="1"/>
  <c r="AT403" i="1"/>
  <c r="M762" i="1"/>
  <c r="O762" i="1"/>
  <c r="Q762" i="1"/>
  <c r="T762" i="1"/>
  <c r="V762" i="1"/>
  <c r="X762" i="1"/>
  <c r="Z762" i="1"/>
  <c r="AC762" i="1"/>
  <c r="AH762" i="1"/>
  <c r="AI762" i="1"/>
  <c r="AQ762" i="1"/>
  <c r="AT762" i="1"/>
  <c r="M476" i="1"/>
  <c r="O476" i="1"/>
  <c r="Q476" i="1"/>
  <c r="T476" i="1"/>
  <c r="V476" i="1"/>
  <c r="X476" i="1"/>
  <c r="Z476" i="1"/>
  <c r="AC476" i="1"/>
  <c r="AH476" i="1"/>
  <c r="AI476" i="1"/>
  <c r="AQ476" i="1"/>
  <c r="AT476" i="1"/>
  <c r="M556" i="1"/>
  <c r="O556" i="1"/>
  <c r="Q556" i="1"/>
  <c r="T556" i="1"/>
  <c r="V556" i="1"/>
  <c r="X556" i="1"/>
  <c r="Z556" i="1"/>
  <c r="AC556" i="1"/>
  <c r="AH556" i="1"/>
  <c r="AI556" i="1"/>
  <c r="AQ556" i="1"/>
  <c r="AT556" i="1"/>
  <c r="M824" i="1"/>
  <c r="O824" i="1"/>
  <c r="Q824" i="1"/>
  <c r="T824" i="1"/>
  <c r="V824" i="1"/>
  <c r="X824" i="1"/>
  <c r="Z824" i="1"/>
  <c r="AC824" i="1"/>
  <c r="AH824" i="1"/>
  <c r="AI824" i="1"/>
  <c r="AQ824" i="1"/>
  <c r="AT824" i="1"/>
  <c r="M505" i="1"/>
  <c r="O505" i="1"/>
  <c r="Q505" i="1"/>
  <c r="T505" i="1"/>
  <c r="V505" i="1"/>
  <c r="X505" i="1"/>
  <c r="Z505" i="1"/>
  <c r="AC505" i="1"/>
  <c r="AH505" i="1"/>
  <c r="AI505" i="1"/>
  <c r="AQ505" i="1"/>
  <c r="AT505" i="1"/>
  <c r="AH2" i="1"/>
  <c r="AH139" i="1"/>
  <c r="AH140" i="1"/>
  <c r="AH141" i="1"/>
  <c r="AH142" i="1"/>
  <c r="AH612" i="1"/>
  <c r="AH613" i="1"/>
  <c r="AH614" i="1"/>
  <c r="AH143" i="1"/>
  <c r="AH144" i="1"/>
  <c r="AH145" i="1"/>
  <c r="AH146" i="1"/>
  <c r="AH147" i="1"/>
  <c r="AH615" i="1"/>
  <c r="AH148" i="1"/>
  <c r="AH616" i="1"/>
  <c r="AH617" i="1"/>
  <c r="AH150" i="1"/>
  <c r="AH618" i="1"/>
  <c r="AH619" i="1"/>
  <c r="AH151" i="1"/>
  <c r="AH620" i="1"/>
  <c r="AH152" i="1"/>
  <c r="AH153" i="1"/>
  <c r="AH621" i="1"/>
  <c r="AH622" i="1"/>
  <c r="AH623" i="1"/>
  <c r="AH624" i="1"/>
  <c r="AH154" i="1"/>
  <c r="AH155" i="1"/>
  <c r="AH625" i="1"/>
  <c r="AH626" i="1"/>
  <c r="AH627" i="1"/>
  <c r="AH628" i="1"/>
  <c r="AH156" i="1"/>
  <c r="AH157" i="1"/>
  <c r="AH158" i="1"/>
  <c r="AH629" i="1"/>
  <c r="AH160" i="1"/>
  <c r="AH161" i="1"/>
  <c r="AH162" i="1"/>
  <c r="AH630" i="1"/>
  <c r="AH631" i="1"/>
  <c r="AH164" i="1"/>
  <c r="AH165" i="1"/>
  <c r="AH632" i="1"/>
  <c r="AH167" i="1"/>
  <c r="AH633" i="1"/>
  <c r="AH168" i="1"/>
  <c r="AH634" i="1"/>
  <c r="AH169" i="1"/>
  <c r="AH170" i="1"/>
  <c r="AH171" i="1"/>
  <c r="AH635" i="1"/>
  <c r="AH636" i="1"/>
  <c r="AH172" i="1"/>
  <c r="AH637" i="1"/>
  <c r="AH173" i="1"/>
  <c r="AH638" i="1"/>
  <c r="AH639" i="1"/>
  <c r="AH640" i="1"/>
  <c r="AH174" i="1"/>
  <c r="AH641" i="1"/>
  <c r="AH175" i="1"/>
  <c r="AH176" i="1"/>
  <c r="AH642" i="1"/>
  <c r="AH643" i="1"/>
  <c r="AH177" i="1"/>
  <c r="AH178" i="1"/>
  <c r="AH179" i="1"/>
  <c r="AH644" i="1"/>
  <c r="AH645" i="1"/>
  <c r="AH646" i="1"/>
  <c r="AH180" i="1"/>
  <c r="AH181" i="1"/>
  <c r="AH182" i="1"/>
  <c r="AH183" i="1"/>
  <c r="AH647" i="1"/>
  <c r="AH648" i="1"/>
  <c r="AH184" i="1"/>
  <c r="AH185" i="1"/>
  <c r="AH650" i="1"/>
  <c r="AH186" i="1"/>
  <c r="AH187" i="1"/>
  <c r="AH188" i="1"/>
  <c r="AH189" i="1"/>
  <c r="AH190" i="1"/>
  <c r="AH191" i="1"/>
  <c r="AH651" i="1"/>
  <c r="AH652" i="1"/>
  <c r="AH653" i="1"/>
  <c r="AH192" i="1"/>
  <c r="AH654" i="1"/>
  <c r="AH655" i="1"/>
  <c r="AH193" i="1"/>
  <c r="AH194" i="1"/>
  <c r="AH656" i="1"/>
  <c r="AH657" i="1"/>
  <c r="AH196" i="1"/>
  <c r="AH658" i="1"/>
  <c r="AH197" i="1"/>
  <c r="AH198" i="1"/>
  <c r="AH199" i="1"/>
  <c r="AH660" i="1"/>
  <c r="AH200" i="1"/>
  <c r="AH661" i="1"/>
  <c r="AH662" i="1"/>
  <c r="AH663" i="1"/>
  <c r="AH201" i="1"/>
  <c r="AH202" i="1"/>
  <c r="AH664" i="1"/>
  <c r="AH203" i="1"/>
  <c r="AH204" i="1"/>
  <c r="AH665" i="1"/>
  <c r="AH205" i="1"/>
  <c r="AH666" i="1"/>
  <c r="AH667" i="1"/>
  <c r="AH668" i="1"/>
  <c r="AH206" i="1"/>
  <c r="AH207" i="1"/>
  <c r="AH669" i="1"/>
  <c r="AH670" i="1"/>
  <c r="AH671" i="1"/>
  <c r="AH208" i="1"/>
  <c r="AH209" i="1"/>
  <c r="AH672" i="1"/>
  <c r="AH210" i="1"/>
  <c r="AH673" i="1"/>
  <c r="AH674" i="1"/>
  <c r="AH211" i="1"/>
  <c r="AH675" i="1"/>
  <c r="AH212" i="1"/>
  <c r="AH676" i="1"/>
  <c r="AH677" i="1"/>
  <c r="AH213" i="1"/>
  <c r="AH214" i="1"/>
  <c r="AH678" i="1"/>
  <c r="AH679" i="1"/>
  <c r="AH681" i="1"/>
  <c r="AH215" i="1"/>
  <c r="AH216" i="1"/>
  <c r="AH682" i="1"/>
  <c r="AH684" i="1"/>
  <c r="AH217" i="1"/>
  <c r="AH218" i="1"/>
  <c r="AH685" i="1"/>
  <c r="AH686" i="1"/>
  <c r="AH687" i="1"/>
  <c r="AH219" i="1"/>
  <c r="AH688" i="1"/>
  <c r="AH689" i="1"/>
  <c r="AH690" i="1"/>
  <c r="AH220" i="1"/>
  <c r="AH221" i="1"/>
  <c r="AH222" i="1"/>
  <c r="AH691" i="1"/>
  <c r="AH223" i="1"/>
  <c r="AH224" i="1"/>
  <c r="AH225" i="1"/>
  <c r="AH226" i="1"/>
  <c r="AH692" i="1"/>
  <c r="AH693" i="1"/>
  <c r="AH227" i="1"/>
  <c r="AH694" i="1"/>
  <c r="AH696" i="1"/>
  <c r="AH697" i="1"/>
  <c r="AH228" i="1"/>
  <c r="AH229" i="1"/>
  <c r="AH230" i="1"/>
  <c r="AH231" i="1"/>
  <c r="AH698" i="1"/>
  <c r="AH232" i="1"/>
  <c r="AH699" i="1"/>
  <c r="AH700" i="1"/>
  <c r="AH233" i="1"/>
  <c r="AH701" i="1"/>
  <c r="AH234" i="1"/>
  <c r="AH702" i="1"/>
  <c r="AH235" i="1"/>
  <c r="AH236" i="1"/>
  <c r="AH703" i="1"/>
  <c r="AH704" i="1"/>
  <c r="AH237" i="1"/>
  <c r="AH705" i="1"/>
  <c r="AH706" i="1"/>
  <c r="AH707" i="1"/>
  <c r="AH708" i="1"/>
  <c r="AH238" i="1"/>
  <c r="AH240" i="1"/>
  <c r="AH241" i="1"/>
  <c r="AH242" i="1"/>
  <c r="AH709" i="1"/>
  <c r="AH710" i="1"/>
  <c r="AH711" i="1"/>
  <c r="AH243" i="1"/>
  <c r="AH244" i="1"/>
  <c r="AH245" i="1"/>
  <c r="AH246" i="1"/>
  <c r="AH712" i="1"/>
  <c r="AH713" i="1"/>
  <c r="AH247" i="1"/>
  <c r="AH248" i="1"/>
  <c r="AH714" i="1"/>
  <c r="AH715" i="1"/>
  <c r="AH249" i="1"/>
  <c r="AH250" i="1"/>
  <c r="AH716" i="1"/>
  <c r="AH251" i="1"/>
  <c r="AH717" i="1"/>
  <c r="AH252" i="1"/>
  <c r="AH718" i="1"/>
  <c r="AH719" i="1"/>
  <c r="AH253" i="1"/>
  <c r="AH254" i="1"/>
  <c r="AH720" i="1"/>
  <c r="AH255" i="1"/>
  <c r="AH256" i="1"/>
  <c r="AH721" i="1"/>
  <c r="AH722" i="1"/>
  <c r="AH257" i="1"/>
  <c r="AH258" i="1"/>
  <c r="AH259" i="1"/>
  <c r="AH260" i="1"/>
  <c r="AH261" i="1"/>
  <c r="AH723" i="1"/>
  <c r="AH724" i="1"/>
  <c r="AH262" i="1"/>
  <c r="AH725" i="1"/>
  <c r="AH726" i="1"/>
  <c r="AH263" i="1"/>
  <c r="AH264" i="1"/>
  <c r="AH265" i="1"/>
  <c r="AH727" i="1"/>
  <c r="AH266" i="1"/>
  <c r="AH267" i="1"/>
  <c r="AH268" i="1"/>
  <c r="AH269" i="1"/>
  <c r="AH270" i="1"/>
  <c r="AH271" i="1"/>
  <c r="AH728" i="1"/>
  <c r="AH272" i="1"/>
  <c r="AH729" i="1"/>
  <c r="AH273" i="1"/>
  <c r="AH274" i="1"/>
  <c r="AH730" i="1"/>
  <c r="AH731" i="1"/>
  <c r="AH275" i="1"/>
  <c r="AH276" i="1"/>
  <c r="AH277" i="1"/>
  <c r="AH732" i="1"/>
  <c r="AH733" i="1"/>
  <c r="AH734" i="1"/>
  <c r="AH278" i="1"/>
  <c r="AH279" i="1"/>
  <c r="AH280" i="1"/>
  <c r="AH735" i="1"/>
  <c r="AH736" i="1"/>
  <c r="AH737" i="1"/>
  <c r="AH281" i="1"/>
  <c r="AH282" i="1"/>
  <c r="AH738" i="1"/>
  <c r="AH283" i="1"/>
  <c r="AH739" i="1"/>
  <c r="AH284" i="1"/>
  <c r="AH285" i="1"/>
  <c r="AH286" i="1"/>
  <c r="AH287" i="1"/>
  <c r="AH289" i="1"/>
  <c r="AH740" i="1"/>
  <c r="AH290" i="1"/>
  <c r="AH291" i="1"/>
  <c r="AH741" i="1"/>
  <c r="AH292" i="1"/>
  <c r="AH742" i="1"/>
  <c r="AH293" i="1"/>
  <c r="AH294" i="1"/>
  <c r="AH743" i="1"/>
  <c r="AH744" i="1"/>
  <c r="AH295" i="1"/>
  <c r="AH745" i="1"/>
  <c r="AH296" i="1"/>
  <c r="AH746" i="1"/>
  <c r="AH747" i="1"/>
  <c r="AH748" i="1"/>
  <c r="AH297" i="1"/>
  <c r="AH749" i="1"/>
  <c r="AH750" i="1"/>
  <c r="AH298" i="1"/>
  <c r="AH299" i="1"/>
  <c r="AH300" i="1"/>
  <c r="AH751" i="1"/>
  <c r="AH752" i="1"/>
  <c r="AH301" i="1"/>
  <c r="AH302" i="1"/>
  <c r="AH753" i="1"/>
  <c r="AH303" i="1"/>
  <c r="AH754" i="1"/>
  <c r="AH304" i="1"/>
  <c r="AH755" i="1"/>
  <c r="AH305" i="1"/>
  <c r="AH756" i="1"/>
  <c r="AH306" i="1"/>
  <c r="AH307" i="1"/>
  <c r="AH757" i="1"/>
  <c r="AH308" i="1"/>
  <c r="AH758" i="1"/>
  <c r="AH309" i="1"/>
  <c r="AH310" i="1"/>
  <c r="AH759" i="1"/>
  <c r="AH311" i="1"/>
  <c r="AH760" i="1"/>
  <c r="AH312" i="1"/>
  <c r="AH313" i="1"/>
  <c r="AH761" i="1"/>
  <c r="AH314" i="1"/>
  <c r="AH315" i="1"/>
  <c r="AH763" i="1"/>
  <c r="AH764" i="1"/>
  <c r="AH316" i="1"/>
  <c r="AH765" i="1"/>
  <c r="AH317" i="1"/>
  <c r="AH318" i="1"/>
  <c r="AH766" i="1"/>
  <c r="AH767" i="1"/>
  <c r="AH319" i="1"/>
  <c r="AH768" i="1"/>
  <c r="AH320" i="1"/>
  <c r="AH321" i="1"/>
  <c r="AH322" i="1"/>
  <c r="AH769" i="1"/>
  <c r="AH323" i="1"/>
  <c r="AH324" i="1"/>
  <c r="AH325" i="1"/>
  <c r="AH770" i="1"/>
  <c r="AH771" i="1"/>
  <c r="AH772" i="1"/>
  <c r="AH326" i="1"/>
  <c r="AH774" i="1"/>
  <c r="AH327" i="1"/>
  <c r="AH775" i="1"/>
  <c r="AH328" i="1"/>
  <c r="AH776" i="1"/>
  <c r="AH329" i="1"/>
  <c r="AH330" i="1"/>
  <c r="AH777" i="1"/>
  <c r="AH778" i="1"/>
  <c r="AH331" i="1"/>
  <c r="AH332" i="1"/>
  <c r="AH333" i="1"/>
  <c r="AH779" i="1"/>
  <c r="AH780" i="1"/>
  <c r="AH781" i="1"/>
  <c r="AH782" i="1"/>
  <c r="AH334" i="1"/>
  <c r="AH335" i="1"/>
  <c r="AH336" i="1"/>
  <c r="AH337" i="1"/>
  <c r="AH783" i="1"/>
  <c r="AH338" i="1"/>
  <c r="AH784" i="1"/>
  <c r="AH339" i="1"/>
  <c r="AH785" i="1"/>
  <c r="AH340" i="1"/>
  <c r="AH342" i="1"/>
  <c r="AH786" i="1"/>
  <c r="AH343" i="1"/>
  <c r="AH344" i="1"/>
  <c r="AH787" i="1"/>
  <c r="AH788" i="1"/>
  <c r="AH789" i="1"/>
  <c r="AH790" i="1"/>
  <c r="AH791" i="1"/>
  <c r="AH345" i="1"/>
  <c r="AH792" i="1"/>
  <c r="AH346" i="1"/>
  <c r="AH793" i="1"/>
  <c r="AH794" i="1"/>
  <c r="AH347" i="1"/>
  <c r="AH348" i="1"/>
  <c r="AH349" i="1"/>
  <c r="AH350" i="1"/>
  <c r="AH351" i="1"/>
  <c r="AH352" i="1"/>
  <c r="AH353" i="1"/>
  <c r="AH354" i="1"/>
  <c r="AH355" i="1"/>
  <c r="AH795" i="1"/>
  <c r="AH356" i="1"/>
  <c r="AH357" i="1"/>
  <c r="AH358" i="1"/>
  <c r="AH796" i="1"/>
  <c r="AH797" i="1"/>
  <c r="AH798" i="1"/>
  <c r="AH799" i="1"/>
  <c r="AH359" i="1"/>
  <c r="AH360" i="1"/>
  <c r="AH800" i="1"/>
  <c r="AH802" i="1"/>
  <c r="AH803" i="1"/>
  <c r="AH361" i="1"/>
  <c r="AH362" i="1"/>
  <c r="AH363" i="1"/>
  <c r="AH364" i="1"/>
  <c r="AH365" i="1"/>
  <c r="AH804" i="1"/>
  <c r="AH805" i="1"/>
  <c r="AH366" i="1"/>
  <c r="AH367" i="1"/>
  <c r="AH806" i="1"/>
  <c r="AH368" i="1"/>
  <c r="AH369" i="1"/>
  <c r="AH807" i="1"/>
  <c r="AH370" i="1"/>
  <c r="AH808" i="1"/>
  <c r="AH371" i="1"/>
  <c r="AH809" i="1"/>
  <c r="AH810" i="1"/>
  <c r="AH811" i="1"/>
  <c r="AH812" i="1"/>
  <c r="AH813" i="1"/>
  <c r="AH372" i="1"/>
  <c r="AH814" i="1"/>
  <c r="AH815" i="1"/>
  <c r="AH816" i="1"/>
  <c r="AH817" i="1"/>
  <c r="AH373" i="1"/>
  <c r="AH374" i="1"/>
  <c r="AH375" i="1"/>
  <c r="AH376" i="1"/>
  <c r="AH818" i="1"/>
  <c r="AH377" i="1"/>
  <c r="AH819" i="1"/>
  <c r="AH378" i="1"/>
  <c r="AH379" i="1"/>
  <c r="AH820" i="1"/>
  <c r="AH380" i="1"/>
  <c r="AH381" i="1"/>
  <c r="AH821" i="1"/>
  <c r="AH382" i="1"/>
  <c r="AH822" i="1"/>
  <c r="AH823" i="1"/>
  <c r="AH383" i="1"/>
  <c r="AH384" i="1"/>
  <c r="AH825" i="1"/>
  <c r="AH385" i="1"/>
  <c r="AH386" i="1"/>
  <c r="AH826" i="1"/>
  <c r="AH827" i="1"/>
  <c r="AH828" i="1"/>
  <c r="AH829" i="1"/>
  <c r="AH387" i="1"/>
  <c r="AH830" i="1"/>
  <c r="AH831" i="1"/>
  <c r="AH388" i="1"/>
  <c r="AH389" i="1"/>
  <c r="AH390" i="1"/>
  <c r="AH832" i="1"/>
  <c r="AH833" i="1"/>
  <c r="AH834" i="1"/>
  <c r="AH391" i="1"/>
  <c r="AH836" i="1"/>
  <c r="AH837" i="1"/>
  <c r="AH392" i="1"/>
  <c r="AH393" i="1"/>
  <c r="AH394" i="1"/>
  <c r="AH395" i="1"/>
  <c r="AH838" i="1"/>
  <c r="AH396" i="1"/>
  <c r="AH397" i="1"/>
  <c r="AH399" i="1"/>
  <c r="AH400" i="1"/>
  <c r="AH839" i="1"/>
  <c r="AH840" i="1"/>
  <c r="AH841" i="1"/>
  <c r="AH401" i="1"/>
  <c r="AH842" i="1"/>
  <c r="AH402" i="1"/>
  <c r="AH843" i="1"/>
  <c r="AH844" i="1"/>
  <c r="AH845" i="1"/>
  <c r="AH846" i="1"/>
  <c r="AH847" i="1"/>
  <c r="AH404" i="1"/>
  <c r="AH848" i="1"/>
  <c r="AH405" i="1"/>
  <c r="AH850" i="1"/>
  <c r="AH406" i="1"/>
  <c r="AH851" i="1"/>
  <c r="AH407" i="1"/>
  <c r="AH852" i="1"/>
  <c r="AH408" i="1"/>
  <c r="AH409" i="1"/>
  <c r="AH410" i="1"/>
  <c r="AH853" i="1"/>
  <c r="AH855" i="1"/>
  <c r="AH411" i="1"/>
  <c r="AH412" i="1"/>
  <c r="AH413" i="1"/>
  <c r="AH414" i="1"/>
  <c r="AH415" i="1"/>
  <c r="AH416" i="1"/>
  <c r="AH417" i="1"/>
  <c r="AH856" i="1"/>
  <c r="AH418" i="1"/>
  <c r="AH419" i="1"/>
  <c r="AH857" i="1"/>
  <c r="AH420" i="1"/>
  <c r="AH858" i="1"/>
  <c r="AH859" i="1"/>
  <c r="AH421" i="1"/>
  <c r="AH860" i="1"/>
  <c r="AH422" i="1"/>
  <c r="AH423" i="1"/>
  <c r="AH424" i="1"/>
  <c r="AH861" i="1"/>
  <c r="AH862" i="1"/>
  <c r="AH425" i="1"/>
  <c r="AH426" i="1"/>
  <c r="AH863" i="1"/>
  <c r="AH864" i="1"/>
  <c r="AH427" i="1"/>
  <c r="AH865" i="1"/>
  <c r="AH428" i="1"/>
  <c r="AH429" i="1"/>
  <c r="AH430" i="1"/>
  <c r="AH866" i="1"/>
  <c r="AH431" i="1"/>
  <c r="AH867" i="1"/>
  <c r="AH868" i="1"/>
  <c r="AH869" i="1"/>
  <c r="AH432" i="1"/>
  <c r="AH433" i="1"/>
  <c r="AH870" i="1"/>
  <c r="AH434" i="1"/>
  <c r="AH435" i="1"/>
  <c r="AH436" i="1"/>
  <c r="AH871" i="1"/>
  <c r="AH872" i="1"/>
  <c r="AH873" i="1"/>
  <c r="AH437" i="1"/>
  <c r="AH874" i="1"/>
  <c r="AH438" i="1"/>
  <c r="AH439" i="1"/>
  <c r="AH440" i="1"/>
  <c r="AH441" i="1"/>
  <c r="AH442" i="1"/>
  <c r="AH875" i="1"/>
  <c r="AH443" i="1"/>
  <c r="AH876" i="1"/>
  <c r="AH444" i="1"/>
  <c r="AH877" i="1"/>
  <c r="AH445" i="1"/>
  <c r="AH446" i="1"/>
  <c r="AH878" i="1"/>
  <c r="AH447" i="1"/>
  <c r="AH448" i="1"/>
  <c r="AH879" i="1"/>
  <c r="AH449" i="1"/>
  <c r="AH880" i="1"/>
  <c r="AH450" i="1"/>
  <c r="AH451" i="1"/>
  <c r="AH452" i="1"/>
  <c r="AH881" i="1"/>
  <c r="AH453" i="1"/>
  <c r="AH454" i="1"/>
  <c r="AH882" i="1"/>
  <c r="AH883" i="1"/>
  <c r="AH455" i="1"/>
  <c r="AH884" i="1"/>
  <c r="AH885" i="1"/>
  <c r="AH456" i="1"/>
  <c r="AH886" i="1"/>
  <c r="AH887" i="1"/>
  <c r="AH888" i="1"/>
  <c r="AH457" i="1"/>
  <c r="AH458" i="1"/>
  <c r="AH459" i="1"/>
  <c r="AH889" i="1"/>
  <c r="AH890" i="1"/>
  <c r="AH460" i="1"/>
  <c r="AH461" i="1"/>
  <c r="AH891" i="1"/>
  <c r="AH462" i="1"/>
  <c r="AH463" i="1"/>
  <c r="AH892" i="1"/>
  <c r="AH464" i="1"/>
  <c r="AH465" i="1"/>
  <c r="AH893" i="1"/>
  <c r="AH894" i="1"/>
  <c r="AH895" i="1"/>
  <c r="AH896" i="1"/>
  <c r="AH466" i="1"/>
  <c r="AH897" i="1"/>
  <c r="AH467" i="1"/>
  <c r="AH898" i="1"/>
  <c r="AH899" i="1"/>
  <c r="AH900" i="1"/>
  <c r="AH468" i="1"/>
  <c r="AH469" i="1"/>
  <c r="AH901" i="1"/>
  <c r="AH470" i="1"/>
  <c r="AH902" i="1"/>
  <c r="AH903" i="1"/>
  <c r="AH471" i="1"/>
  <c r="AH904" i="1"/>
  <c r="AH905" i="1"/>
  <c r="AH472" i="1"/>
  <c r="AH906" i="1"/>
  <c r="AH907" i="1"/>
  <c r="AH473" i="1"/>
  <c r="AH474" i="1"/>
  <c r="AH908" i="1"/>
  <c r="AH909" i="1"/>
  <c r="AH475" i="1"/>
  <c r="AH477" i="1"/>
  <c r="AH478" i="1"/>
  <c r="AH479" i="1"/>
  <c r="AH910" i="1"/>
  <c r="AH911" i="1"/>
  <c r="AH480" i="1"/>
  <c r="AH481" i="1"/>
  <c r="AH482" i="1"/>
  <c r="AH483" i="1"/>
  <c r="AH484" i="1"/>
  <c r="AH485" i="1"/>
  <c r="AH912" i="1"/>
  <c r="AH913" i="1"/>
  <c r="AH914" i="1"/>
  <c r="AH915" i="1"/>
  <c r="AH916" i="1"/>
  <c r="AH917" i="1"/>
  <c r="AH486" i="1"/>
  <c r="AH918" i="1"/>
  <c r="AH919" i="1"/>
  <c r="AH920" i="1"/>
  <c r="AH487" i="1"/>
  <c r="AH488" i="1"/>
  <c r="AH921" i="1"/>
  <c r="AH922" i="1"/>
  <c r="AH489" i="1"/>
  <c r="AH490" i="1"/>
  <c r="AH923" i="1"/>
  <c r="AH491" i="1"/>
  <c r="AH924" i="1"/>
  <c r="AH492" i="1"/>
  <c r="AH493" i="1"/>
  <c r="AH925" i="1"/>
  <c r="AH926" i="1"/>
  <c r="AH927" i="1"/>
  <c r="AH494" i="1"/>
  <c r="AH928" i="1"/>
  <c r="AH495" i="1"/>
  <c r="AH929" i="1"/>
  <c r="AH930" i="1"/>
  <c r="AH496" i="1"/>
  <c r="AH497" i="1"/>
  <c r="AH931" i="1"/>
  <c r="AH498" i="1"/>
  <c r="AH499" i="1"/>
  <c r="AH500" i="1"/>
  <c r="AH501" i="1"/>
  <c r="AH932" i="1"/>
  <c r="AH502" i="1"/>
  <c r="AH933" i="1"/>
  <c r="AH195" i="1"/>
  <c r="AH539" i="1"/>
  <c r="AH680" i="1"/>
  <c r="AH608" i="1"/>
  <c r="AH649" i="1"/>
  <c r="AH579" i="1"/>
  <c r="AH239" i="1"/>
  <c r="AH773" i="1"/>
  <c r="AH91" i="1"/>
  <c r="AH159" i="1"/>
  <c r="AH79" i="1"/>
  <c r="AH659" i="1"/>
  <c r="AH552" i="1"/>
  <c r="AH76" i="1"/>
  <c r="AH77" i="1"/>
  <c r="AH80" i="1"/>
  <c r="AH553" i="1"/>
  <c r="AH554" i="1"/>
  <c r="AH555" i="1"/>
  <c r="AH81" i="1"/>
  <c r="AH82" i="1"/>
  <c r="AH83" i="1"/>
  <c r="AH557" i="1"/>
  <c r="AH84" i="1"/>
  <c r="AH85" i="1"/>
  <c r="AH558" i="1"/>
  <c r="AH559" i="1"/>
  <c r="AH560" i="1"/>
  <c r="AH561" i="1"/>
  <c r="AH87" i="1"/>
  <c r="AH562" i="1"/>
  <c r="AH88" i="1"/>
  <c r="AH89" i="1"/>
  <c r="AH90" i="1"/>
  <c r="AH92" i="1"/>
  <c r="AH93" i="1"/>
  <c r="AH563" i="1"/>
  <c r="AH564" i="1"/>
  <c r="AH94" i="1"/>
  <c r="AH565" i="1"/>
  <c r="AH95" i="1"/>
  <c r="AH96" i="1"/>
  <c r="AH97" i="1"/>
  <c r="AH98" i="1"/>
  <c r="AH566" i="1"/>
  <c r="AH99" i="1"/>
  <c r="AH567" i="1"/>
  <c r="AH568" i="1"/>
  <c r="AH100" i="1"/>
  <c r="AH101" i="1"/>
  <c r="AH569" i="1"/>
  <c r="AH570" i="1"/>
  <c r="AH571" i="1"/>
  <c r="AH102" i="1"/>
  <c r="AH572" i="1"/>
  <c r="AH573" i="1"/>
  <c r="AH103" i="1"/>
  <c r="AH574" i="1"/>
  <c r="AH575" i="1"/>
  <c r="AH576" i="1"/>
  <c r="AH577" i="1"/>
  <c r="AH578" i="1"/>
  <c r="AH580" i="1"/>
  <c r="AH581" i="1"/>
  <c r="AH104" i="1"/>
  <c r="AH582" i="1"/>
  <c r="AH105" i="1"/>
  <c r="AH583" i="1"/>
  <c r="AH106" i="1"/>
  <c r="AH107" i="1"/>
  <c r="AH108" i="1"/>
  <c r="AH109" i="1"/>
  <c r="AH584" i="1"/>
  <c r="AH110" i="1"/>
  <c r="AH585" i="1"/>
  <c r="AH111" i="1"/>
  <c r="AH112" i="1"/>
  <c r="AH113" i="1"/>
  <c r="AH586" i="1"/>
  <c r="AH587" i="1"/>
  <c r="AH588" i="1"/>
  <c r="AH589" i="1"/>
  <c r="AH114" i="1"/>
  <c r="AH115" i="1"/>
  <c r="AH116" i="1"/>
  <c r="AH590" i="1"/>
  <c r="AH591" i="1"/>
  <c r="AH117" i="1"/>
  <c r="AH592" i="1"/>
  <c r="AH118" i="1"/>
  <c r="AH119" i="1"/>
  <c r="AH593" i="1"/>
  <c r="AH594" i="1"/>
  <c r="AH595" i="1"/>
  <c r="AH120" i="1"/>
  <c r="AH596" i="1"/>
  <c r="AH597" i="1"/>
  <c r="AH598" i="1"/>
  <c r="AH121" i="1"/>
  <c r="AH599" i="1"/>
  <c r="AH600" i="1"/>
  <c r="AH122" i="1"/>
  <c r="AH123" i="1"/>
  <c r="AH124" i="1"/>
  <c r="AH125" i="1"/>
  <c r="AH126" i="1"/>
  <c r="AH127" i="1"/>
  <c r="AH601" i="1"/>
  <c r="AH602" i="1"/>
  <c r="AH603" i="1"/>
  <c r="AH128" i="1"/>
  <c r="AH129" i="1"/>
  <c r="AH604" i="1"/>
  <c r="AH605" i="1"/>
  <c r="AH606" i="1"/>
  <c r="AH607" i="1"/>
  <c r="AH130" i="1"/>
  <c r="AH609" i="1"/>
  <c r="AH131" i="1"/>
  <c r="AH132" i="1"/>
  <c r="AH610" i="1"/>
  <c r="AH133" i="1"/>
  <c r="AH134" i="1"/>
  <c r="AH611" i="1"/>
  <c r="AH135" i="1"/>
  <c r="AH136" i="1"/>
  <c r="AH137" i="1"/>
  <c r="AH138" i="1"/>
  <c r="AH3" i="1"/>
  <c r="AH4" i="1"/>
  <c r="AH5" i="1"/>
  <c r="AH503" i="1"/>
  <c r="AH6" i="1"/>
  <c r="AH504" i="1"/>
  <c r="AH506" i="1"/>
  <c r="AH7" i="1"/>
  <c r="AH507" i="1"/>
  <c r="AH508" i="1"/>
  <c r="AH8" i="1"/>
  <c r="AH9" i="1"/>
  <c r="AH509" i="1"/>
  <c r="AH10" i="1"/>
  <c r="AH11" i="1"/>
  <c r="AH12" i="1"/>
  <c r="AH13" i="1"/>
  <c r="AH510" i="1"/>
  <c r="AH14" i="1"/>
  <c r="AH511" i="1"/>
  <c r="AH512" i="1"/>
  <c r="AH513" i="1"/>
  <c r="AH514" i="1"/>
  <c r="AH15" i="1"/>
  <c r="AH16" i="1"/>
  <c r="AH17" i="1"/>
  <c r="AH515" i="1"/>
  <c r="AH18" i="1"/>
  <c r="AH516" i="1"/>
  <c r="AH19" i="1"/>
  <c r="AH517" i="1"/>
  <c r="AH20" i="1"/>
  <c r="AH21" i="1"/>
  <c r="AH518" i="1"/>
  <c r="AH22" i="1"/>
  <c r="AH23" i="1"/>
  <c r="AH519" i="1"/>
  <c r="AH24" i="1"/>
  <c r="AH25" i="1"/>
  <c r="AH26" i="1"/>
  <c r="AH27" i="1"/>
  <c r="AH520" i="1"/>
  <c r="AH28" i="1"/>
  <c r="AH29" i="1"/>
  <c r="AH30" i="1"/>
  <c r="AH31" i="1"/>
  <c r="AH32" i="1"/>
  <c r="AH521" i="1"/>
  <c r="AH33" i="1"/>
  <c r="AH522" i="1"/>
  <c r="AH34" i="1"/>
  <c r="AH35" i="1"/>
  <c r="AH523" i="1"/>
  <c r="AH524" i="1"/>
  <c r="AH525" i="1"/>
  <c r="AH526" i="1"/>
  <c r="AH36" i="1"/>
  <c r="AH37" i="1"/>
  <c r="AH38" i="1"/>
  <c r="AH39" i="1"/>
  <c r="AH40" i="1"/>
  <c r="AH41" i="1"/>
  <c r="AH42" i="1"/>
  <c r="AH43" i="1"/>
  <c r="AH44" i="1"/>
  <c r="AH527" i="1"/>
  <c r="AH528" i="1"/>
  <c r="AH45" i="1"/>
  <c r="AH46" i="1"/>
  <c r="AH529" i="1"/>
  <c r="AH530" i="1"/>
  <c r="AH47" i="1"/>
  <c r="AH531" i="1"/>
  <c r="AH532" i="1"/>
  <c r="AH533" i="1"/>
  <c r="AH48" i="1"/>
  <c r="AH534" i="1"/>
  <c r="AH535" i="1"/>
  <c r="AH536" i="1"/>
  <c r="AH49" i="1"/>
  <c r="AH537" i="1"/>
  <c r="AH50" i="1"/>
  <c r="AH51" i="1"/>
  <c r="AH52" i="1"/>
  <c r="AH53" i="1"/>
  <c r="AH54" i="1"/>
  <c r="AH55" i="1"/>
  <c r="AH56" i="1"/>
  <c r="AH57" i="1"/>
  <c r="AH538" i="1"/>
  <c r="AH540" i="1"/>
  <c r="AH541" i="1"/>
  <c r="AH58" i="1"/>
  <c r="AH59" i="1"/>
  <c r="AH542" i="1"/>
  <c r="AH60" i="1"/>
  <c r="AH543" i="1"/>
  <c r="AH61" i="1"/>
  <c r="AH544" i="1"/>
  <c r="AH545" i="1"/>
  <c r="AH62" i="1"/>
  <c r="AH546" i="1"/>
  <c r="AH547" i="1"/>
  <c r="AH548" i="1"/>
  <c r="AH63" i="1"/>
  <c r="AH64" i="1"/>
  <c r="AH65" i="1"/>
  <c r="AH66" i="1"/>
  <c r="AH549" i="1"/>
  <c r="AH67" i="1"/>
  <c r="AH550" i="1"/>
  <c r="AH68" i="1"/>
  <c r="AH69" i="1"/>
  <c r="AH70" i="1"/>
  <c r="AH71" i="1"/>
  <c r="AH551" i="1"/>
  <c r="AH72" i="1"/>
  <c r="AH73" i="1"/>
  <c r="AH74" i="1"/>
  <c r="AH75" i="1"/>
  <c r="AI3" i="1"/>
  <c r="AI4" i="1"/>
  <c r="AI5" i="1"/>
  <c r="AI503" i="1"/>
  <c r="AI6" i="1"/>
  <c r="AI504" i="1"/>
  <c r="AI506" i="1"/>
  <c r="AI7" i="1"/>
  <c r="AI507" i="1"/>
  <c r="AI508" i="1"/>
  <c r="AI8" i="1"/>
  <c r="AI9" i="1"/>
  <c r="AI509" i="1"/>
  <c r="AI10" i="1"/>
  <c r="AI11" i="1"/>
  <c r="AI12" i="1"/>
  <c r="AI13" i="1"/>
  <c r="AI510" i="1"/>
  <c r="AI14" i="1"/>
  <c r="AI511" i="1"/>
  <c r="AI512" i="1"/>
  <c r="AI513" i="1"/>
  <c r="AI514" i="1"/>
  <c r="AI15" i="1"/>
  <c r="AI16" i="1"/>
  <c r="AI17" i="1"/>
  <c r="AI515" i="1"/>
  <c r="AI18" i="1"/>
  <c r="AI516" i="1"/>
  <c r="AI19" i="1"/>
  <c r="AI517" i="1"/>
  <c r="AI20" i="1"/>
  <c r="AI21" i="1"/>
  <c r="AI518" i="1"/>
  <c r="AI22" i="1"/>
  <c r="AI23" i="1"/>
  <c r="AI519" i="1"/>
  <c r="AI24" i="1"/>
  <c r="AI25" i="1"/>
  <c r="AI26" i="1"/>
  <c r="AI27" i="1"/>
  <c r="AI520" i="1"/>
  <c r="AI28" i="1"/>
  <c r="AI29" i="1"/>
  <c r="AI30" i="1"/>
  <c r="AI31" i="1"/>
  <c r="AI32" i="1"/>
  <c r="AI521" i="1"/>
  <c r="AI33" i="1"/>
  <c r="AI522" i="1"/>
  <c r="AI34" i="1"/>
  <c r="AI35" i="1"/>
  <c r="AI523" i="1"/>
  <c r="AI524" i="1"/>
  <c r="AI525" i="1"/>
  <c r="AI526" i="1"/>
  <c r="AI36" i="1"/>
  <c r="AI37" i="1"/>
  <c r="AI38" i="1"/>
  <c r="AI39" i="1"/>
  <c r="AI40" i="1"/>
  <c r="AI41" i="1"/>
  <c r="AI42" i="1"/>
  <c r="AI43" i="1"/>
  <c r="AI44" i="1"/>
  <c r="AI527" i="1"/>
  <c r="AI528" i="1"/>
  <c r="AI45" i="1"/>
  <c r="AI46" i="1"/>
  <c r="AI529" i="1"/>
  <c r="AI530" i="1"/>
  <c r="AI47" i="1"/>
  <c r="AI531" i="1"/>
  <c r="AI532" i="1"/>
  <c r="AI533" i="1"/>
  <c r="AI48" i="1"/>
  <c r="AI534" i="1"/>
  <c r="AI535" i="1"/>
  <c r="AI536" i="1"/>
  <c r="AI49" i="1"/>
  <c r="AI537" i="1"/>
  <c r="AI50" i="1"/>
  <c r="AI51" i="1"/>
  <c r="AI52" i="1"/>
  <c r="AI53" i="1"/>
  <c r="AI54" i="1"/>
  <c r="AI55" i="1"/>
  <c r="AI56" i="1"/>
  <c r="AI57" i="1"/>
  <c r="AI538" i="1"/>
  <c r="AI540" i="1"/>
  <c r="AI541" i="1"/>
  <c r="AI58" i="1"/>
  <c r="AI59" i="1"/>
  <c r="AI542" i="1"/>
  <c r="AI60" i="1"/>
  <c r="AI543" i="1"/>
  <c r="AI61" i="1"/>
  <c r="AI544" i="1"/>
  <c r="AI545" i="1"/>
  <c r="AI62" i="1"/>
  <c r="AI546" i="1"/>
  <c r="AI547" i="1"/>
  <c r="AI548" i="1"/>
  <c r="AI63" i="1"/>
  <c r="AI64" i="1"/>
  <c r="AI65" i="1"/>
  <c r="AI66" i="1"/>
  <c r="AI549" i="1"/>
  <c r="AI67" i="1"/>
  <c r="AI550" i="1"/>
  <c r="AI68" i="1"/>
  <c r="AI69" i="1"/>
  <c r="AI70" i="1"/>
  <c r="AI71" i="1"/>
  <c r="AI551" i="1"/>
  <c r="AI72" i="1"/>
  <c r="AI73" i="1"/>
  <c r="AI74" i="1"/>
  <c r="AI75" i="1"/>
  <c r="AI552" i="1"/>
  <c r="AI76" i="1"/>
  <c r="AI77" i="1"/>
  <c r="AI80" i="1"/>
  <c r="AI553" i="1"/>
  <c r="AI554" i="1"/>
  <c r="AI555" i="1"/>
  <c r="AI81" i="1"/>
  <c r="AI82" i="1"/>
  <c r="AI83" i="1"/>
  <c r="AI557" i="1"/>
  <c r="AI84" i="1"/>
  <c r="AI85" i="1"/>
  <c r="AI558" i="1"/>
  <c r="AI559" i="1"/>
  <c r="AI560" i="1"/>
  <c r="AI561" i="1"/>
  <c r="AI87" i="1"/>
  <c r="AI562" i="1"/>
  <c r="AI88" i="1"/>
  <c r="AI89" i="1"/>
  <c r="AI90" i="1"/>
  <c r="AI92" i="1"/>
  <c r="AI93" i="1"/>
  <c r="AI563" i="1"/>
  <c r="AI564" i="1"/>
  <c r="AI94" i="1"/>
  <c r="AI565" i="1"/>
  <c r="AI95" i="1"/>
  <c r="AI96" i="1"/>
  <c r="AI97" i="1"/>
  <c r="AI98" i="1"/>
  <c r="AI566" i="1"/>
  <c r="AI99" i="1"/>
  <c r="AI567" i="1"/>
  <c r="AI568" i="1"/>
  <c r="AI100" i="1"/>
  <c r="AI101" i="1"/>
  <c r="AI569" i="1"/>
  <c r="AI570" i="1"/>
  <c r="AI571" i="1"/>
  <c r="AI102" i="1"/>
  <c r="AI572" i="1"/>
  <c r="AI573" i="1"/>
  <c r="AI103" i="1"/>
  <c r="AI574" i="1"/>
  <c r="AI575" i="1"/>
  <c r="AI576" i="1"/>
  <c r="AI577" i="1"/>
  <c r="AI578" i="1"/>
  <c r="AI580" i="1"/>
  <c r="AI581" i="1"/>
  <c r="AI104" i="1"/>
  <c r="AI582" i="1"/>
  <c r="AI105" i="1"/>
  <c r="AI583" i="1"/>
  <c r="AI106" i="1"/>
  <c r="AI107" i="1"/>
  <c r="AI108" i="1"/>
  <c r="AI109" i="1"/>
  <c r="AI584" i="1"/>
  <c r="AI110" i="1"/>
  <c r="AI585" i="1"/>
  <c r="AI111" i="1"/>
  <c r="AI112" i="1"/>
  <c r="AI113" i="1"/>
  <c r="AI586" i="1"/>
  <c r="AI587" i="1"/>
  <c r="AI588" i="1"/>
  <c r="AI589" i="1"/>
  <c r="AI114" i="1"/>
  <c r="AI115" i="1"/>
  <c r="AI116" i="1"/>
  <c r="AI590" i="1"/>
  <c r="AI591" i="1"/>
  <c r="AI117" i="1"/>
  <c r="AI592" i="1"/>
  <c r="AI118" i="1"/>
  <c r="AI119" i="1"/>
  <c r="AI593" i="1"/>
  <c r="AI594" i="1"/>
  <c r="AI595" i="1"/>
  <c r="AI120" i="1"/>
  <c r="AI596" i="1"/>
  <c r="AI597" i="1"/>
  <c r="AI598" i="1"/>
  <c r="AI121" i="1"/>
  <c r="AI599" i="1"/>
  <c r="AI600" i="1"/>
  <c r="AI122" i="1"/>
  <c r="AI123" i="1"/>
  <c r="AI124" i="1"/>
  <c r="AI125" i="1"/>
  <c r="AI126" i="1"/>
  <c r="AI127" i="1"/>
  <c r="AI601" i="1"/>
  <c r="AI602" i="1"/>
  <c r="AI603" i="1"/>
  <c r="AI128" i="1"/>
  <c r="AI129" i="1"/>
  <c r="AI604" i="1"/>
  <c r="AI605" i="1"/>
  <c r="AI606" i="1"/>
  <c r="AI607" i="1"/>
  <c r="AI130" i="1"/>
  <c r="AI609" i="1"/>
  <c r="AI131" i="1"/>
  <c r="AI132" i="1"/>
  <c r="AI610" i="1"/>
  <c r="AI133" i="1"/>
  <c r="AI134" i="1"/>
  <c r="AI611" i="1"/>
  <c r="AI135" i="1"/>
  <c r="AI136" i="1"/>
  <c r="AI137" i="1"/>
  <c r="AI138" i="1"/>
  <c r="AI139" i="1"/>
  <c r="AI140" i="1"/>
  <c r="AI141" i="1"/>
  <c r="AI142" i="1"/>
  <c r="AI612" i="1"/>
  <c r="AI613" i="1"/>
  <c r="AI614" i="1"/>
  <c r="AI143" i="1"/>
  <c r="AI144" i="1"/>
  <c r="AI145" i="1"/>
  <c r="AI146" i="1"/>
  <c r="AI147" i="1"/>
  <c r="AI615" i="1"/>
  <c r="AI148" i="1"/>
  <c r="AI616" i="1"/>
  <c r="AI617" i="1"/>
  <c r="AI150" i="1"/>
  <c r="AI618" i="1"/>
  <c r="AI619" i="1"/>
  <c r="AI151" i="1"/>
  <c r="AI620" i="1"/>
  <c r="AI152" i="1"/>
  <c r="AI153" i="1"/>
  <c r="AI621" i="1"/>
  <c r="AI622" i="1"/>
  <c r="AI623" i="1"/>
  <c r="AI624" i="1"/>
  <c r="AI154" i="1"/>
  <c r="AI155" i="1"/>
  <c r="AI625" i="1"/>
  <c r="AI626" i="1"/>
  <c r="AI627" i="1"/>
  <c r="AI628" i="1"/>
  <c r="AI156" i="1"/>
  <c r="AI157" i="1"/>
  <c r="AI158" i="1"/>
  <c r="AI629" i="1"/>
  <c r="AI160" i="1"/>
  <c r="AI161" i="1"/>
  <c r="AI162" i="1"/>
  <c r="AI630" i="1"/>
  <c r="AI631" i="1"/>
  <c r="AI164" i="1"/>
  <c r="AI165" i="1"/>
  <c r="AI632" i="1"/>
  <c r="AI167" i="1"/>
  <c r="AI633" i="1"/>
  <c r="AI168" i="1"/>
  <c r="AI634" i="1"/>
  <c r="AI169" i="1"/>
  <c r="AI170" i="1"/>
  <c r="AI171" i="1"/>
  <c r="AI635" i="1"/>
  <c r="AI636" i="1"/>
  <c r="AI172" i="1"/>
  <c r="AI637" i="1"/>
  <c r="AI173" i="1"/>
  <c r="AI638" i="1"/>
  <c r="AI639" i="1"/>
  <c r="AI640" i="1"/>
  <c r="AI174" i="1"/>
  <c r="AI641" i="1"/>
  <c r="AI175" i="1"/>
  <c r="AI176" i="1"/>
  <c r="AI642" i="1"/>
  <c r="AI643" i="1"/>
  <c r="AI177" i="1"/>
  <c r="AI178" i="1"/>
  <c r="AI179" i="1"/>
  <c r="AI644" i="1"/>
  <c r="AI645" i="1"/>
  <c r="AI646" i="1"/>
  <c r="AI180" i="1"/>
  <c r="AI181" i="1"/>
  <c r="AI182" i="1"/>
  <c r="AI183" i="1"/>
  <c r="AI647" i="1"/>
  <c r="AI648" i="1"/>
  <c r="AI184" i="1"/>
  <c r="AI185" i="1"/>
  <c r="AI650" i="1"/>
  <c r="AI186" i="1"/>
  <c r="AI187" i="1"/>
  <c r="AI188" i="1"/>
  <c r="AI189" i="1"/>
  <c r="AI190" i="1"/>
  <c r="AI191" i="1"/>
  <c r="AI651" i="1"/>
  <c r="AI652" i="1"/>
  <c r="AI653" i="1"/>
  <c r="AI192" i="1"/>
  <c r="AI654" i="1"/>
  <c r="AI655" i="1"/>
  <c r="AI193" i="1"/>
  <c r="AI194" i="1"/>
  <c r="AI656" i="1"/>
  <c r="AI657" i="1"/>
  <c r="AI196" i="1"/>
  <c r="AI658" i="1"/>
  <c r="AI197" i="1"/>
  <c r="AI198" i="1"/>
  <c r="AI199" i="1"/>
  <c r="AI660" i="1"/>
  <c r="AI200" i="1"/>
  <c r="AI661" i="1"/>
  <c r="AI662" i="1"/>
  <c r="AI663" i="1"/>
  <c r="AI201" i="1"/>
  <c r="AI202" i="1"/>
  <c r="AI664" i="1"/>
  <c r="AI203" i="1"/>
  <c r="AI204" i="1"/>
  <c r="AI665" i="1"/>
  <c r="AI205" i="1"/>
  <c r="AI666" i="1"/>
  <c r="AI667" i="1"/>
  <c r="AI668" i="1"/>
  <c r="AI206" i="1"/>
  <c r="AI207" i="1"/>
  <c r="AI669" i="1"/>
  <c r="AI670" i="1"/>
  <c r="AI671" i="1"/>
  <c r="AI208" i="1"/>
  <c r="AI209" i="1"/>
  <c r="AI672" i="1"/>
  <c r="AI210" i="1"/>
  <c r="AI673" i="1"/>
  <c r="AI674" i="1"/>
  <c r="AI211" i="1"/>
  <c r="AI675" i="1"/>
  <c r="AI212" i="1"/>
  <c r="AI676" i="1"/>
  <c r="AI677" i="1"/>
  <c r="AI213" i="1"/>
  <c r="AI214" i="1"/>
  <c r="AI678" i="1"/>
  <c r="AI679" i="1"/>
  <c r="AI681" i="1"/>
  <c r="AI215" i="1"/>
  <c r="AI216" i="1"/>
  <c r="AI682" i="1"/>
  <c r="AI684" i="1"/>
  <c r="AI217" i="1"/>
  <c r="AI218" i="1"/>
  <c r="AI685" i="1"/>
  <c r="AI686" i="1"/>
  <c r="AI687" i="1"/>
  <c r="AI219" i="1"/>
  <c r="AI688" i="1"/>
  <c r="AI689" i="1"/>
  <c r="AI690" i="1"/>
  <c r="AI220" i="1"/>
  <c r="AI221" i="1"/>
  <c r="AI222" i="1"/>
  <c r="AI691" i="1"/>
  <c r="AI223" i="1"/>
  <c r="AI224" i="1"/>
  <c r="AI225" i="1"/>
  <c r="AI226" i="1"/>
  <c r="AI692" i="1"/>
  <c r="AI693" i="1"/>
  <c r="AI227" i="1"/>
  <c r="AI694" i="1"/>
  <c r="AI696" i="1"/>
  <c r="AI697" i="1"/>
  <c r="AI228" i="1"/>
  <c r="AI229" i="1"/>
  <c r="AI230" i="1"/>
  <c r="AI231" i="1"/>
  <c r="AI698" i="1"/>
  <c r="AI232" i="1"/>
  <c r="AI699" i="1"/>
  <c r="AI700" i="1"/>
  <c r="AI233" i="1"/>
  <c r="AI701" i="1"/>
  <c r="AI234" i="1"/>
  <c r="AI702" i="1"/>
  <c r="AI235" i="1"/>
  <c r="AI236" i="1"/>
  <c r="AI703" i="1"/>
  <c r="AI704" i="1"/>
  <c r="AI237" i="1"/>
  <c r="AI705" i="1"/>
  <c r="AI706" i="1"/>
  <c r="AI707" i="1"/>
  <c r="AI708" i="1"/>
  <c r="AI238" i="1"/>
  <c r="AI240" i="1"/>
  <c r="AI241" i="1"/>
  <c r="AI242" i="1"/>
  <c r="AI709" i="1"/>
  <c r="AI710" i="1"/>
  <c r="AI711" i="1"/>
  <c r="AI243" i="1"/>
  <c r="AI244" i="1"/>
  <c r="AI245" i="1"/>
  <c r="AI246" i="1"/>
  <c r="AI712" i="1"/>
  <c r="AI713" i="1"/>
  <c r="AI247" i="1"/>
  <c r="AI248" i="1"/>
  <c r="AI714" i="1"/>
  <c r="AI715" i="1"/>
  <c r="AI249" i="1"/>
  <c r="AI250" i="1"/>
  <c r="AI716" i="1"/>
  <c r="AI251" i="1"/>
  <c r="AI717" i="1"/>
  <c r="AI252" i="1"/>
  <c r="AI718" i="1"/>
  <c r="AI719" i="1"/>
  <c r="AI253" i="1"/>
  <c r="AI254" i="1"/>
  <c r="AI720" i="1"/>
  <c r="AI255" i="1"/>
  <c r="AI256" i="1"/>
  <c r="AI721" i="1"/>
  <c r="AI722" i="1"/>
  <c r="AI257" i="1"/>
  <c r="AI258" i="1"/>
  <c r="AI259" i="1"/>
  <c r="AI260" i="1"/>
  <c r="AI261" i="1"/>
  <c r="AI723" i="1"/>
  <c r="AI724" i="1"/>
  <c r="AI262" i="1"/>
  <c r="AI725" i="1"/>
  <c r="AI726" i="1"/>
  <c r="AI263" i="1"/>
  <c r="AI264" i="1"/>
  <c r="AI265" i="1"/>
  <c r="AI727" i="1"/>
  <c r="AI266" i="1"/>
  <c r="AI267" i="1"/>
  <c r="AI268" i="1"/>
  <c r="AI269" i="1"/>
  <c r="AI270" i="1"/>
  <c r="AI271" i="1"/>
  <c r="AI728" i="1"/>
  <c r="AI272" i="1"/>
  <c r="AI729" i="1"/>
  <c r="AI273" i="1"/>
  <c r="AI274" i="1"/>
  <c r="AI730" i="1"/>
  <c r="AI731" i="1"/>
  <c r="AI275" i="1"/>
  <c r="AI276" i="1"/>
  <c r="AI277" i="1"/>
  <c r="AI732" i="1"/>
  <c r="AI733" i="1"/>
  <c r="AI734" i="1"/>
  <c r="AI278" i="1"/>
  <c r="AI279" i="1"/>
  <c r="AI280" i="1"/>
  <c r="AI735" i="1"/>
  <c r="AI736" i="1"/>
  <c r="AI737" i="1"/>
  <c r="AI281" i="1"/>
  <c r="AI282" i="1"/>
  <c r="AI738" i="1"/>
  <c r="AI283" i="1"/>
  <c r="AI739" i="1"/>
  <c r="AI284" i="1"/>
  <c r="AI285" i="1"/>
  <c r="AI286" i="1"/>
  <c r="AI287" i="1"/>
  <c r="AI289" i="1"/>
  <c r="AI740" i="1"/>
  <c r="AI290" i="1"/>
  <c r="AI291" i="1"/>
  <c r="AI741" i="1"/>
  <c r="AI292" i="1"/>
  <c r="AI742" i="1"/>
  <c r="AI293" i="1"/>
  <c r="AI294" i="1"/>
  <c r="AI743" i="1"/>
  <c r="AI744" i="1"/>
  <c r="AI295" i="1"/>
  <c r="AI745" i="1"/>
  <c r="AI296" i="1"/>
  <c r="AI746" i="1"/>
  <c r="AI747" i="1"/>
  <c r="AI748" i="1"/>
  <c r="AI297" i="1"/>
  <c r="AI749" i="1"/>
  <c r="AI750" i="1"/>
  <c r="AI298" i="1"/>
  <c r="AI299" i="1"/>
  <c r="AI300" i="1"/>
  <c r="AI751" i="1"/>
  <c r="AI752" i="1"/>
  <c r="AI301" i="1"/>
  <c r="AI302" i="1"/>
  <c r="AI753" i="1"/>
  <c r="AI303" i="1"/>
  <c r="AI754" i="1"/>
  <c r="AI304" i="1"/>
  <c r="AI755" i="1"/>
  <c r="AI305" i="1"/>
  <c r="AI756" i="1"/>
  <c r="AI306" i="1"/>
  <c r="AI307" i="1"/>
  <c r="AI757" i="1"/>
  <c r="AI308" i="1"/>
  <c r="AI758" i="1"/>
  <c r="AI309" i="1"/>
  <c r="AI310" i="1"/>
  <c r="AI759" i="1"/>
  <c r="AI311" i="1"/>
  <c r="AI760" i="1"/>
  <c r="AI312" i="1"/>
  <c r="AI313" i="1"/>
  <c r="AI761" i="1"/>
  <c r="AI314" i="1"/>
  <c r="AI315" i="1"/>
  <c r="AI763" i="1"/>
  <c r="AI764" i="1"/>
  <c r="AI316" i="1"/>
  <c r="AI765" i="1"/>
  <c r="AI317" i="1"/>
  <c r="AI318" i="1"/>
  <c r="AI766" i="1"/>
  <c r="AI767" i="1"/>
  <c r="AI319" i="1"/>
  <c r="AI768" i="1"/>
  <c r="AI320" i="1"/>
  <c r="AI321" i="1"/>
  <c r="AI322" i="1"/>
  <c r="AI769" i="1"/>
  <c r="AI323" i="1"/>
  <c r="AI324" i="1"/>
  <c r="AI325" i="1"/>
  <c r="AI770" i="1"/>
  <c r="AI771" i="1"/>
  <c r="AI772" i="1"/>
  <c r="AI326" i="1"/>
  <c r="AI774" i="1"/>
  <c r="AI327" i="1"/>
  <c r="AI775" i="1"/>
  <c r="AI328" i="1"/>
  <c r="AI776" i="1"/>
  <c r="AI329" i="1"/>
  <c r="AI330" i="1"/>
  <c r="AI777" i="1"/>
  <c r="AI778" i="1"/>
  <c r="AI331" i="1"/>
  <c r="AI332" i="1"/>
  <c r="AI333" i="1"/>
  <c r="AI779" i="1"/>
  <c r="AI780" i="1"/>
  <c r="AI781" i="1"/>
  <c r="AI782" i="1"/>
  <c r="AI334" i="1"/>
  <c r="AI335" i="1"/>
  <c r="AI336" i="1"/>
  <c r="AI337" i="1"/>
  <c r="AI783" i="1"/>
  <c r="AI338" i="1"/>
  <c r="AI784" i="1"/>
  <c r="AI339" i="1"/>
  <c r="AI785" i="1"/>
  <c r="AI340" i="1"/>
  <c r="AI342" i="1"/>
  <c r="AI786" i="1"/>
  <c r="AI343" i="1"/>
  <c r="AI344" i="1"/>
  <c r="AI787" i="1"/>
  <c r="AI788" i="1"/>
  <c r="AI789" i="1"/>
  <c r="AI790" i="1"/>
  <c r="AI791" i="1"/>
  <c r="AI345" i="1"/>
  <c r="AI792" i="1"/>
  <c r="AI346" i="1"/>
  <c r="AI793" i="1"/>
  <c r="AI794" i="1"/>
  <c r="AI347" i="1"/>
  <c r="AI348" i="1"/>
  <c r="AI349" i="1"/>
  <c r="AI350" i="1"/>
  <c r="AI351" i="1"/>
  <c r="AI352" i="1"/>
  <c r="AI353" i="1"/>
  <c r="AI354" i="1"/>
  <c r="AI355" i="1"/>
  <c r="AI795" i="1"/>
  <c r="AI356" i="1"/>
  <c r="AI357" i="1"/>
  <c r="AI358" i="1"/>
  <c r="AI796" i="1"/>
  <c r="AI797" i="1"/>
  <c r="AI798" i="1"/>
  <c r="AI799" i="1"/>
  <c r="AI359" i="1"/>
  <c r="AI360" i="1"/>
  <c r="AI800" i="1"/>
  <c r="AI802" i="1"/>
  <c r="AI803" i="1"/>
  <c r="AI361" i="1"/>
  <c r="AI362" i="1"/>
  <c r="AI363" i="1"/>
  <c r="AI364" i="1"/>
  <c r="AI365" i="1"/>
  <c r="AI804" i="1"/>
  <c r="AI805" i="1"/>
  <c r="AI366" i="1"/>
  <c r="AI367" i="1"/>
  <c r="AI806" i="1"/>
  <c r="AI368" i="1"/>
  <c r="AI369" i="1"/>
  <c r="AI807" i="1"/>
  <c r="AI370" i="1"/>
  <c r="AI808" i="1"/>
  <c r="AI371" i="1"/>
  <c r="AI809" i="1"/>
  <c r="AI810" i="1"/>
  <c r="AI811" i="1"/>
  <c r="AI812" i="1"/>
  <c r="AI813" i="1"/>
  <c r="AI372" i="1"/>
  <c r="AI814" i="1"/>
  <c r="AI815" i="1"/>
  <c r="AI816" i="1"/>
  <c r="AI817" i="1"/>
  <c r="AI373" i="1"/>
  <c r="AI374" i="1"/>
  <c r="AI375" i="1"/>
  <c r="AI376" i="1"/>
  <c r="AI818" i="1"/>
  <c r="AI377" i="1"/>
  <c r="AI819" i="1"/>
  <c r="AI378" i="1"/>
  <c r="AI379" i="1"/>
  <c r="AI820" i="1"/>
  <c r="AI380" i="1"/>
  <c r="AI381" i="1"/>
  <c r="AI821" i="1"/>
  <c r="AI382" i="1"/>
  <c r="AI822" i="1"/>
  <c r="AI823" i="1"/>
  <c r="AI383" i="1"/>
  <c r="AI384" i="1"/>
  <c r="AI825" i="1"/>
  <c r="AI385" i="1"/>
  <c r="AI386" i="1"/>
  <c r="AI826" i="1"/>
  <c r="AI827" i="1"/>
  <c r="AI828" i="1"/>
  <c r="AI829" i="1"/>
  <c r="AI387" i="1"/>
  <c r="AI830" i="1"/>
  <c r="AI831" i="1"/>
  <c r="AI388" i="1"/>
  <c r="AI389" i="1"/>
  <c r="AI390" i="1"/>
  <c r="AI832" i="1"/>
  <c r="AI833" i="1"/>
  <c r="AI834" i="1"/>
  <c r="AI391" i="1"/>
  <c r="AI836" i="1"/>
  <c r="AI837" i="1"/>
  <c r="AI392" i="1"/>
  <c r="AI393" i="1"/>
  <c r="AI394" i="1"/>
  <c r="AI395" i="1"/>
  <c r="AI838" i="1"/>
  <c r="AI396" i="1"/>
  <c r="AI397" i="1"/>
  <c r="AI399" i="1"/>
  <c r="AI400" i="1"/>
  <c r="AI839" i="1"/>
  <c r="AI840" i="1"/>
  <c r="AI841" i="1"/>
  <c r="AI401" i="1"/>
  <c r="AI842" i="1"/>
  <c r="AI402" i="1"/>
  <c r="AI843" i="1"/>
  <c r="AI844" i="1"/>
  <c r="AI845" i="1"/>
  <c r="AI846" i="1"/>
  <c r="AI847" i="1"/>
  <c r="AI404" i="1"/>
  <c r="AI848" i="1"/>
  <c r="AI405" i="1"/>
  <c r="AI850" i="1"/>
  <c r="AI406" i="1"/>
  <c r="AI851" i="1"/>
  <c r="AI407" i="1"/>
  <c r="AI852" i="1"/>
  <c r="AI408" i="1"/>
  <c r="AI409" i="1"/>
  <c r="AI410" i="1"/>
  <c r="AI853" i="1"/>
  <c r="AI855" i="1"/>
  <c r="AI411" i="1"/>
  <c r="AI412" i="1"/>
  <c r="AI413" i="1"/>
  <c r="AI414" i="1"/>
  <c r="AI415" i="1"/>
  <c r="AI416" i="1"/>
  <c r="AI417" i="1"/>
  <c r="AI856" i="1"/>
  <c r="AI418" i="1"/>
  <c r="AI419" i="1"/>
  <c r="AI857" i="1"/>
  <c r="AI420" i="1"/>
  <c r="AI858" i="1"/>
  <c r="AI859" i="1"/>
  <c r="AI421" i="1"/>
  <c r="AI860" i="1"/>
  <c r="AI422" i="1"/>
  <c r="AI423" i="1"/>
  <c r="AI424" i="1"/>
  <c r="AI861" i="1"/>
  <c r="AI862" i="1"/>
  <c r="AI425" i="1"/>
  <c r="AI426" i="1"/>
  <c r="AI863" i="1"/>
  <c r="AI864" i="1"/>
  <c r="AI427" i="1"/>
  <c r="AI865" i="1"/>
  <c r="AI428" i="1"/>
  <c r="AI429" i="1"/>
  <c r="AI430" i="1"/>
  <c r="AI866" i="1"/>
  <c r="AI431" i="1"/>
  <c r="AI867" i="1"/>
  <c r="AI868" i="1"/>
  <c r="AI869" i="1"/>
  <c r="AI432" i="1"/>
  <c r="AI433" i="1"/>
  <c r="AI870" i="1"/>
  <c r="AI434" i="1"/>
  <c r="AI435" i="1"/>
  <c r="AI436" i="1"/>
  <c r="AI871" i="1"/>
  <c r="AI872" i="1"/>
  <c r="AI873" i="1"/>
  <c r="AI437" i="1"/>
  <c r="AI874" i="1"/>
  <c r="AI438" i="1"/>
  <c r="AI439" i="1"/>
  <c r="AI440" i="1"/>
  <c r="AI441" i="1"/>
  <c r="AI442" i="1"/>
  <c r="AI875" i="1"/>
  <c r="AI443" i="1"/>
  <c r="AI876" i="1"/>
  <c r="AI444" i="1"/>
  <c r="AI877" i="1"/>
  <c r="AI445" i="1"/>
  <c r="AI446" i="1"/>
  <c r="AI878" i="1"/>
  <c r="AI447" i="1"/>
  <c r="AI448" i="1"/>
  <c r="AI879" i="1"/>
  <c r="AI449" i="1"/>
  <c r="AI880" i="1"/>
  <c r="AI450" i="1"/>
  <c r="AI451" i="1"/>
  <c r="AI452" i="1"/>
  <c r="AI881" i="1"/>
  <c r="AI453" i="1"/>
  <c r="AI454" i="1"/>
  <c r="AI882" i="1"/>
  <c r="AI883" i="1"/>
  <c r="AI455" i="1"/>
  <c r="AI884" i="1"/>
  <c r="AI885" i="1"/>
  <c r="AI456" i="1"/>
  <c r="AI886" i="1"/>
  <c r="AI887" i="1"/>
  <c r="AI888" i="1"/>
  <c r="AI457" i="1"/>
  <c r="AI458" i="1"/>
  <c r="AI459" i="1"/>
  <c r="AI889" i="1"/>
  <c r="AI890" i="1"/>
  <c r="AI460" i="1"/>
  <c r="AI461" i="1"/>
  <c r="AI891" i="1"/>
  <c r="AI462" i="1"/>
  <c r="AI463" i="1"/>
  <c r="AI892" i="1"/>
  <c r="AI464" i="1"/>
  <c r="AI465" i="1"/>
  <c r="AI893" i="1"/>
  <c r="AI894" i="1"/>
  <c r="AI895" i="1"/>
  <c r="AI896" i="1"/>
  <c r="AI466" i="1"/>
  <c r="AI897" i="1"/>
  <c r="AI467" i="1"/>
  <c r="AI898" i="1"/>
  <c r="AI899" i="1"/>
  <c r="AI900" i="1"/>
  <c r="AI468" i="1"/>
  <c r="AI469" i="1"/>
  <c r="AI901" i="1"/>
  <c r="AI470" i="1"/>
  <c r="AI902" i="1"/>
  <c r="AI903" i="1"/>
  <c r="AI471" i="1"/>
  <c r="AI904" i="1"/>
  <c r="AI905" i="1"/>
  <c r="AI472" i="1"/>
  <c r="AI906" i="1"/>
  <c r="AI907" i="1"/>
  <c r="AI473" i="1"/>
  <c r="AI474" i="1"/>
  <c r="AI908" i="1"/>
  <c r="AI909" i="1"/>
  <c r="AI475" i="1"/>
  <c r="AI477" i="1"/>
  <c r="AI478" i="1"/>
  <c r="AI479" i="1"/>
  <c r="AI910" i="1"/>
  <c r="AI911" i="1"/>
  <c r="AI480" i="1"/>
  <c r="AI481" i="1"/>
  <c r="AI482" i="1"/>
  <c r="AI483" i="1"/>
  <c r="AI484" i="1"/>
  <c r="AI485" i="1"/>
  <c r="AI912" i="1"/>
  <c r="AI913" i="1"/>
  <c r="AI914" i="1"/>
  <c r="AI915" i="1"/>
  <c r="AI916" i="1"/>
  <c r="AI917" i="1"/>
  <c r="AI486" i="1"/>
  <c r="AI918" i="1"/>
  <c r="AI919" i="1"/>
  <c r="AI920" i="1"/>
  <c r="AI487" i="1"/>
  <c r="AI488" i="1"/>
  <c r="AI921" i="1"/>
  <c r="AI922" i="1"/>
  <c r="AI489" i="1"/>
  <c r="AI490" i="1"/>
  <c r="AI923" i="1"/>
  <c r="AI491" i="1"/>
  <c r="AI924" i="1"/>
  <c r="AI492" i="1"/>
  <c r="AI493" i="1"/>
  <c r="AI925" i="1"/>
  <c r="AI926" i="1"/>
  <c r="AI927" i="1"/>
  <c r="AI494" i="1"/>
  <c r="AI928" i="1"/>
  <c r="AI495" i="1"/>
  <c r="AI929" i="1"/>
  <c r="AI930" i="1"/>
  <c r="AI496" i="1"/>
  <c r="AI497" i="1"/>
  <c r="AI931" i="1"/>
  <c r="AI498" i="1"/>
  <c r="AI499" i="1"/>
  <c r="AI500" i="1"/>
  <c r="AI501" i="1"/>
  <c r="AI932" i="1"/>
  <c r="AI502" i="1"/>
  <c r="AI933" i="1"/>
  <c r="AI195" i="1"/>
  <c r="AI539" i="1"/>
  <c r="AI680" i="1"/>
  <c r="AI608" i="1"/>
  <c r="AI649" i="1"/>
  <c r="AI579" i="1"/>
  <c r="AI239" i="1"/>
  <c r="AI773" i="1"/>
  <c r="AI91" i="1"/>
  <c r="AI159" i="1"/>
  <c r="AI79" i="1"/>
  <c r="AI659" i="1"/>
  <c r="AI2" i="1"/>
  <c r="AG938" i="1"/>
  <c r="AC3" i="1"/>
  <c r="AC4" i="1"/>
  <c r="AC5" i="1"/>
  <c r="AC503" i="1"/>
  <c r="AC6" i="1"/>
  <c r="AC504" i="1"/>
  <c r="AC506" i="1"/>
  <c r="AC7" i="1"/>
  <c r="AC507" i="1"/>
  <c r="AC508" i="1"/>
  <c r="AC8" i="1"/>
  <c r="AC9" i="1"/>
  <c r="AC509" i="1"/>
  <c r="AC10" i="1"/>
  <c r="AC11" i="1"/>
  <c r="AC12" i="1"/>
  <c r="AC13" i="1"/>
  <c r="AC510" i="1"/>
  <c r="AC14" i="1"/>
  <c r="AC511" i="1"/>
  <c r="AC512" i="1"/>
  <c r="AC513" i="1"/>
  <c r="AC514" i="1"/>
  <c r="AC15" i="1"/>
  <c r="AC16" i="1"/>
  <c r="AC17" i="1"/>
  <c r="AC515" i="1"/>
  <c r="AC18" i="1"/>
  <c r="AC516" i="1"/>
  <c r="AC19" i="1"/>
  <c r="AC517" i="1"/>
  <c r="AC20" i="1"/>
  <c r="AC21" i="1"/>
  <c r="AC518" i="1"/>
  <c r="AC22" i="1"/>
  <c r="AC23" i="1"/>
  <c r="AC519" i="1"/>
  <c r="AC24" i="1"/>
  <c r="AC25" i="1"/>
  <c r="AC26" i="1"/>
  <c r="AC27" i="1"/>
  <c r="AC520" i="1"/>
  <c r="AC28" i="1"/>
  <c r="AC29" i="1"/>
  <c r="AC30" i="1"/>
  <c r="AC31" i="1"/>
  <c r="AC32" i="1"/>
  <c r="AC521" i="1"/>
  <c r="AC33" i="1"/>
  <c r="AC522" i="1"/>
  <c r="AC34" i="1"/>
  <c r="AC35" i="1"/>
  <c r="AC523" i="1"/>
  <c r="AC524" i="1"/>
  <c r="AC525" i="1"/>
  <c r="AC526" i="1"/>
  <c r="AC36" i="1"/>
  <c r="AC37" i="1"/>
  <c r="AC38" i="1"/>
  <c r="AC39" i="1"/>
  <c r="AC40" i="1"/>
  <c r="AC41" i="1"/>
  <c r="AC42" i="1"/>
  <c r="AC43" i="1"/>
  <c r="AC44" i="1"/>
  <c r="AC527" i="1"/>
  <c r="AC528" i="1"/>
  <c r="AC45" i="1"/>
  <c r="AC46" i="1"/>
  <c r="AC529" i="1"/>
  <c r="AC530" i="1"/>
  <c r="AC47" i="1"/>
  <c r="AC531" i="1"/>
  <c r="AC532" i="1"/>
  <c r="AC533" i="1"/>
  <c r="AC48" i="1"/>
  <c r="AC534" i="1"/>
  <c r="AC535" i="1"/>
  <c r="AC536" i="1"/>
  <c r="AC49" i="1"/>
  <c r="AC537" i="1"/>
  <c r="AC50" i="1"/>
  <c r="AC51" i="1"/>
  <c r="AC52" i="1"/>
  <c r="AC53" i="1"/>
  <c r="AC54" i="1"/>
  <c r="AC55" i="1"/>
  <c r="AC56" i="1"/>
  <c r="AC57" i="1"/>
  <c r="AC538" i="1"/>
  <c r="AC540" i="1"/>
  <c r="AC541" i="1"/>
  <c r="AC58" i="1"/>
  <c r="AC59" i="1"/>
  <c r="AC542" i="1"/>
  <c r="AC60" i="1"/>
  <c r="AC543" i="1"/>
  <c r="AC61" i="1"/>
  <c r="AC544" i="1"/>
  <c r="AC545" i="1"/>
  <c r="AC62" i="1"/>
  <c r="AC546" i="1"/>
  <c r="AC547" i="1"/>
  <c r="AC548" i="1"/>
  <c r="AC63" i="1"/>
  <c r="AC64" i="1"/>
  <c r="AC65" i="1"/>
  <c r="AC66" i="1"/>
  <c r="AC549" i="1"/>
  <c r="AC67" i="1"/>
  <c r="AC550" i="1"/>
  <c r="AC68" i="1"/>
  <c r="AC69" i="1"/>
  <c r="AC70" i="1"/>
  <c r="AC71" i="1"/>
  <c r="AC551" i="1"/>
  <c r="AC72" i="1"/>
  <c r="AC73" i="1"/>
  <c r="AC74" i="1"/>
  <c r="AC75" i="1"/>
  <c r="AC552" i="1"/>
  <c r="AC76" i="1"/>
  <c r="AC77" i="1"/>
  <c r="AC80" i="1"/>
  <c r="AC553" i="1"/>
  <c r="AC554" i="1"/>
  <c r="AC555" i="1"/>
  <c r="AC81" i="1"/>
  <c r="AC82" i="1"/>
  <c r="AC83" i="1"/>
  <c r="AC557" i="1"/>
  <c r="AC84" i="1"/>
  <c r="AC85" i="1"/>
  <c r="AC558" i="1"/>
  <c r="AC559" i="1"/>
  <c r="AC560" i="1"/>
  <c r="AC561" i="1"/>
  <c r="AC87" i="1"/>
  <c r="AC562" i="1"/>
  <c r="AC88" i="1"/>
  <c r="AC89" i="1"/>
  <c r="AC90" i="1"/>
  <c r="AC92" i="1"/>
  <c r="AC93" i="1"/>
  <c r="AC563" i="1"/>
  <c r="AC564" i="1"/>
  <c r="AC94" i="1"/>
  <c r="AC565" i="1"/>
  <c r="AC95" i="1"/>
  <c r="AC96" i="1"/>
  <c r="AC97" i="1"/>
  <c r="AC98" i="1"/>
  <c r="AC566" i="1"/>
  <c r="AC99" i="1"/>
  <c r="AC567" i="1"/>
  <c r="AC568" i="1"/>
  <c r="AC100" i="1"/>
  <c r="AC101" i="1"/>
  <c r="AC569" i="1"/>
  <c r="AC570" i="1"/>
  <c r="AC571" i="1"/>
  <c r="AC102" i="1"/>
  <c r="AC572" i="1"/>
  <c r="AC573" i="1"/>
  <c r="AC103" i="1"/>
  <c r="AC574" i="1"/>
  <c r="AC575" i="1"/>
  <c r="AC576" i="1"/>
  <c r="AC577" i="1"/>
  <c r="AC578" i="1"/>
  <c r="AC580" i="1"/>
  <c r="AC581" i="1"/>
  <c r="AC104" i="1"/>
  <c r="AC582" i="1"/>
  <c r="AC105" i="1"/>
  <c r="AC583" i="1"/>
  <c r="AC106" i="1"/>
  <c r="AC107" i="1"/>
  <c r="AC108" i="1"/>
  <c r="AC109" i="1"/>
  <c r="AC584" i="1"/>
  <c r="AC110" i="1"/>
  <c r="AC585" i="1"/>
  <c r="AC111" i="1"/>
  <c r="AC112" i="1"/>
  <c r="AC113" i="1"/>
  <c r="AC586" i="1"/>
  <c r="AC587" i="1"/>
  <c r="AC588" i="1"/>
  <c r="AC589" i="1"/>
  <c r="AC114" i="1"/>
  <c r="AC115" i="1"/>
  <c r="AC116" i="1"/>
  <c r="AC590" i="1"/>
  <c r="AC591" i="1"/>
  <c r="AC117" i="1"/>
  <c r="AC592" i="1"/>
  <c r="AC118" i="1"/>
  <c r="AC119" i="1"/>
  <c r="AC593" i="1"/>
  <c r="AC594" i="1"/>
  <c r="AC595" i="1"/>
  <c r="AC120" i="1"/>
  <c r="AC596" i="1"/>
  <c r="AC597" i="1"/>
  <c r="AC598" i="1"/>
  <c r="AC121" i="1"/>
  <c r="AC599" i="1"/>
  <c r="AC600" i="1"/>
  <c r="AC122" i="1"/>
  <c r="AC123" i="1"/>
  <c r="AC124" i="1"/>
  <c r="AC125" i="1"/>
  <c r="AC126" i="1"/>
  <c r="AC127" i="1"/>
  <c r="AC601" i="1"/>
  <c r="AC602" i="1"/>
  <c r="AC603" i="1"/>
  <c r="AC128" i="1"/>
  <c r="AC129" i="1"/>
  <c r="AC604" i="1"/>
  <c r="AC605" i="1"/>
  <c r="AC606" i="1"/>
  <c r="AC607" i="1"/>
  <c r="AC130" i="1"/>
  <c r="AC609" i="1"/>
  <c r="AC131" i="1"/>
  <c r="AC132" i="1"/>
  <c r="AC610" i="1"/>
  <c r="AC133" i="1"/>
  <c r="AC134" i="1"/>
  <c r="AC611" i="1"/>
  <c r="AC135" i="1"/>
  <c r="AC136" i="1"/>
  <c r="AC137" i="1"/>
  <c r="AC138" i="1"/>
  <c r="AC139" i="1"/>
  <c r="AC140" i="1"/>
  <c r="AC141" i="1"/>
  <c r="AC142" i="1"/>
  <c r="AC612" i="1"/>
  <c r="AC613" i="1"/>
  <c r="AC614" i="1"/>
  <c r="AC143" i="1"/>
  <c r="AC144" i="1"/>
  <c r="AC145" i="1"/>
  <c r="AC146" i="1"/>
  <c r="AC147" i="1"/>
  <c r="AC615" i="1"/>
  <c r="AC148" i="1"/>
  <c r="AC616" i="1"/>
  <c r="AC617" i="1"/>
  <c r="AC150" i="1"/>
  <c r="AC618" i="1"/>
  <c r="AC619" i="1"/>
  <c r="AC151" i="1"/>
  <c r="AC620" i="1"/>
  <c r="AC152" i="1"/>
  <c r="AC153" i="1"/>
  <c r="AC621" i="1"/>
  <c r="AC622" i="1"/>
  <c r="AC623" i="1"/>
  <c r="AC624" i="1"/>
  <c r="AC154" i="1"/>
  <c r="AC155" i="1"/>
  <c r="AC625" i="1"/>
  <c r="AC626" i="1"/>
  <c r="AC627" i="1"/>
  <c r="AC628" i="1"/>
  <c r="AC156" i="1"/>
  <c r="AC157" i="1"/>
  <c r="AC158" i="1"/>
  <c r="AC629" i="1"/>
  <c r="AC160" i="1"/>
  <c r="AC161" i="1"/>
  <c r="AC162" i="1"/>
  <c r="AC630" i="1"/>
  <c r="AC631" i="1"/>
  <c r="AC164" i="1"/>
  <c r="AC165" i="1"/>
  <c r="AC632" i="1"/>
  <c r="AC167" i="1"/>
  <c r="AC633" i="1"/>
  <c r="AC168" i="1"/>
  <c r="AC634" i="1"/>
  <c r="AC169" i="1"/>
  <c r="AC170" i="1"/>
  <c r="AC171" i="1"/>
  <c r="AC635" i="1"/>
  <c r="AC636" i="1"/>
  <c r="AC172" i="1"/>
  <c r="AC637" i="1"/>
  <c r="AC173" i="1"/>
  <c r="AC638" i="1"/>
  <c r="AC639" i="1"/>
  <c r="AC640" i="1"/>
  <c r="AC174" i="1"/>
  <c r="AC641" i="1"/>
  <c r="AC175" i="1"/>
  <c r="AC176" i="1"/>
  <c r="AC642" i="1"/>
  <c r="AC643" i="1"/>
  <c r="AC177" i="1"/>
  <c r="AC178" i="1"/>
  <c r="AC179" i="1"/>
  <c r="AC644" i="1"/>
  <c r="AC645" i="1"/>
  <c r="AC646" i="1"/>
  <c r="AC180" i="1"/>
  <c r="AC181" i="1"/>
  <c r="AC182" i="1"/>
  <c r="AC183" i="1"/>
  <c r="AC647" i="1"/>
  <c r="AC648" i="1"/>
  <c r="AC184" i="1"/>
  <c r="AC185" i="1"/>
  <c r="AC650" i="1"/>
  <c r="AC186" i="1"/>
  <c r="AC187" i="1"/>
  <c r="AC188" i="1"/>
  <c r="AC189" i="1"/>
  <c r="AC190" i="1"/>
  <c r="AC191" i="1"/>
  <c r="AC651" i="1"/>
  <c r="AC652" i="1"/>
  <c r="AC653" i="1"/>
  <c r="AC192" i="1"/>
  <c r="AC654" i="1"/>
  <c r="AC655" i="1"/>
  <c r="AC193" i="1"/>
  <c r="AC194" i="1"/>
  <c r="AC656" i="1"/>
  <c r="AC657" i="1"/>
  <c r="AC196" i="1"/>
  <c r="AC658" i="1"/>
  <c r="AC197" i="1"/>
  <c r="AC198" i="1"/>
  <c r="AC199" i="1"/>
  <c r="AC660" i="1"/>
  <c r="AC200" i="1"/>
  <c r="AC661" i="1"/>
  <c r="AC662" i="1"/>
  <c r="AC663" i="1"/>
  <c r="AC201" i="1"/>
  <c r="AC202" i="1"/>
  <c r="AC664" i="1"/>
  <c r="AC203" i="1"/>
  <c r="AC204" i="1"/>
  <c r="AC665" i="1"/>
  <c r="AC205" i="1"/>
  <c r="AC666" i="1"/>
  <c r="AC667" i="1"/>
  <c r="AC668" i="1"/>
  <c r="AC206" i="1"/>
  <c r="AC207" i="1"/>
  <c r="AC669" i="1"/>
  <c r="AC670" i="1"/>
  <c r="AC671" i="1"/>
  <c r="AC208" i="1"/>
  <c r="AC209" i="1"/>
  <c r="AC672" i="1"/>
  <c r="AC210" i="1"/>
  <c r="AC673" i="1"/>
  <c r="AC674" i="1"/>
  <c r="AC211" i="1"/>
  <c r="AC675" i="1"/>
  <c r="AC212" i="1"/>
  <c r="AC676" i="1"/>
  <c r="AC677" i="1"/>
  <c r="AC213" i="1"/>
  <c r="AC214" i="1"/>
  <c r="AC678" i="1"/>
  <c r="AC679" i="1"/>
  <c r="AC681" i="1"/>
  <c r="AC215" i="1"/>
  <c r="AC216" i="1"/>
  <c r="AC682" i="1"/>
  <c r="AC684" i="1"/>
  <c r="AC217" i="1"/>
  <c r="AC218" i="1"/>
  <c r="AC685" i="1"/>
  <c r="AC686" i="1"/>
  <c r="AC687" i="1"/>
  <c r="AC219" i="1"/>
  <c r="AC688" i="1"/>
  <c r="AC689" i="1"/>
  <c r="AC690" i="1"/>
  <c r="AC220" i="1"/>
  <c r="AC221" i="1"/>
  <c r="AC222" i="1"/>
  <c r="AC691" i="1"/>
  <c r="AC223" i="1"/>
  <c r="AC224" i="1"/>
  <c r="AC225" i="1"/>
  <c r="AC226" i="1"/>
  <c r="AC692" i="1"/>
  <c r="AC693" i="1"/>
  <c r="AC227" i="1"/>
  <c r="AC694" i="1"/>
  <c r="AC696" i="1"/>
  <c r="AC697" i="1"/>
  <c r="AC228" i="1"/>
  <c r="AC229" i="1"/>
  <c r="AC230" i="1"/>
  <c r="AC231" i="1"/>
  <c r="AC698" i="1"/>
  <c r="AC232" i="1"/>
  <c r="AC699" i="1"/>
  <c r="AC700" i="1"/>
  <c r="AC233" i="1"/>
  <c r="AC701" i="1"/>
  <c r="AC234" i="1"/>
  <c r="AC702" i="1"/>
  <c r="AC235" i="1"/>
  <c r="AC236" i="1"/>
  <c r="AC703" i="1"/>
  <c r="AC704" i="1"/>
  <c r="AC237" i="1"/>
  <c r="AC705" i="1"/>
  <c r="AC706" i="1"/>
  <c r="AC707" i="1"/>
  <c r="AC708" i="1"/>
  <c r="AC238" i="1"/>
  <c r="AC240" i="1"/>
  <c r="AC241" i="1"/>
  <c r="AC242" i="1"/>
  <c r="AC709" i="1"/>
  <c r="AC710" i="1"/>
  <c r="AC711" i="1"/>
  <c r="AC243" i="1"/>
  <c r="AC244" i="1"/>
  <c r="AC245" i="1"/>
  <c r="AC246" i="1"/>
  <c r="AC712" i="1"/>
  <c r="AC713" i="1"/>
  <c r="AC247" i="1"/>
  <c r="AC248" i="1"/>
  <c r="AC714" i="1"/>
  <c r="AC715" i="1"/>
  <c r="AC249" i="1"/>
  <c r="AC250" i="1"/>
  <c r="AC716" i="1"/>
  <c r="AC251" i="1"/>
  <c r="AC717" i="1"/>
  <c r="AC252" i="1"/>
  <c r="AC718" i="1"/>
  <c r="AC719" i="1"/>
  <c r="AC253" i="1"/>
  <c r="AC254" i="1"/>
  <c r="AC720" i="1"/>
  <c r="AC255" i="1"/>
  <c r="AC256" i="1"/>
  <c r="AC721" i="1"/>
  <c r="AC722" i="1"/>
  <c r="AC257" i="1"/>
  <c r="AC258" i="1"/>
  <c r="AC259" i="1"/>
  <c r="AC260" i="1"/>
  <c r="AC261" i="1"/>
  <c r="AC723" i="1"/>
  <c r="AC724" i="1"/>
  <c r="AC262" i="1"/>
  <c r="AC725" i="1"/>
  <c r="AC726" i="1"/>
  <c r="AC263" i="1"/>
  <c r="AC264" i="1"/>
  <c r="AC265" i="1"/>
  <c r="AC727" i="1"/>
  <c r="AC266" i="1"/>
  <c r="AC267" i="1"/>
  <c r="AC268" i="1"/>
  <c r="AC269" i="1"/>
  <c r="AC270" i="1"/>
  <c r="AC271" i="1"/>
  <c r="AC728" i="1"/>
  <c r="AC272" i="1"/>
  <c r="AC729" i="1"/>
  <c r="AC273" i="1"/>
  <c r="AC274" i="1"/>
  <c r="AC730" i="1"/>
  <c r="AC731" i="1"/>
  <c r="AC275" i="1"/>
  <c r="AC276" i="1"/>
  <c r="AC277" i="1"/>
  <c r="AC732" i="1"/>
  <c r="AC733" i="1"/>
  <c r="AC734" i="1"/>
  <c r="AC278" i="1"/>
  <c r="AC279" i="1"/>
  <c r="AC280" i="1"/>
  <c r="AC735" i="1"/>
  <c r="AC736" i="1"/>
  <c r="AC737" i="1"/>
  <c r="AC281" i="1"/>
  <c r="AC282" i="1"/>
  <c r="AC738" i="1"/>
  <c r="AC283" i="1"/>
  <c r="AC739" i="1"/>
  <c r="AC284" i="1"/>
  <c r="AC285" i="1"/>
  <c r="AC286" i="1"/>
  <c r="AC287" i="1"/>
  <c r="AC289" i="1"/>
  <c r="AC740" i="1"/>
  <c r="AC290" i="1"/>
  <c r="AC291" i="1"/>
  <c r="AC741" i="1"/>
  <c r="AC292" i="1"/>
  <c r="AC742" i="1"/>
  <c r="AC293" i="1"/>
  <c r="AC294" i="1"/>
  <c r="AC743" i="1"/>
  <c r="AC744" i="1"/>
  <c r="AC295" i="1"/>
  <c r="AC745" i="1"/>
  <c r="AC296" i="1"/>
  <c r="AC746" i="1"/>
  <c r="AC747" i="1"/>
  <c r="AC748" i="1"/>
  <c r="AC297" i="1"/>
  <c r="AC749" i="1"/>
  <c r="AC750" i="1"/>
  <c r="AC298" i="1"/>
  <c r="AC299" i="1"/>
  <c r="AC300" i="1"/>
  <c r="AC751" i="1"/>
  <c r="AC752" i="1"/>
  <c r="AC301" i="1"/>
  <c r="AC302" i="1"/>
  <c r="AC753" i="1"/>
  <c r="AC303" i="1"/>
  <c r="AC754" i="1"/>
  <c r="AC304" i="1"/>
  <c r="AC755" i="1"/>
  <c r="AC305" i="1"/>
  <c r="AC756" i="1"/>
  <c r="AC306" i="1"/>
  <c r="AC307" i="1"/>
  <c r="AC757" i="1"/>
  <c r="AC308" i="1"/>
  <c r="AC758" i="1"/>
  <c r="AC309" i="1"/>
  <c r="AC310" i="1"/>
  <c r="AC759" i="1"/>
  <c r="AC311" i="1"/>
  <c r="AC760" i="1"/>
  <c r="AC312" i="1"/>
  <c r="AC313" i="1"/>
  <c r="AC761" i="1"/>
  <c r="AC314" i="1"/>
  <c r="AC315" i="1"/>
  <c r="AC763" i="1"/>
  <c r="AC764" i="1"/>
  <c r="AC316" i="1"/>
  <c r="AC765" i="1"/>
  <c r="AC317" i="1"/>
  <c r="AC318" i="1"/>
  <c r="AC766" i="1"/>
  <c r="AC767" i="1"/>
  <c r="AC319" i="1"/>
  <c r="AC768" i="1"/>
  <c r="AC320" i="1"/>
  <c r="AC321" i="1"/>
  <c r="AC322" i="1"/>
  <c r="AC769" i="1"/>
  <c r="AC323" i="1"/>
  <c r="AC324" i="1"/>
  <c r="AC325" i="1"/>
  <c r="AC770" i="1"/>
  <c r="AC771" i="1"/>
  <c r="AC772" i="1"/>
  <c r="AC326" i="1"/>
  <c r="AC774" i="1"/>
  <c r="AC327" i="1"/>
  <c r="AC775" i="1"/>
  <c r="AC328" i="1"/>
  <c r="AC776" i="1"/>
  <c r="AC329" i="1"/>
  <c r="AC330" i="1"/>
  <c r="AC777" i="1"/>
  <c r="AC778" i="1"/>
  <c r="AC331" i="1"/>
  <c r="AC332" i="1"/>
  <c r="AC333" i="1"/>
  <c r="AC779" i="1"/>
  <c r="AC780" i="1"/>
  <c r="AC781" i="1"/>
  <c r="AC782" i="1"/>
  <c r="AC334" i="1"/>
  <c r="AC335" i="1"/>
  <c r="AC336" i="1"/>
  <c r="AC337" i="1"/>
  <c r="AC783" i="1"/>
  <c r="AC338" i="1"/>
  <c r="AC784" i="1"/>
  <c r="AC339" i="1"/>
  <c r="AC785" i="1"/>
  <c r="AC340" i="1"/>
  <c r="AC342" i="1"/>
  <c r="AC786" i="1"/>
  <c r="AC343" i="1"/>
  <c r="AC344" i="1"/>
  <c r="AC787" i="1"/>
  <c r="AC788" i="1"/>
  <c r="AC789" i="1"/>
  <c r="AC790" i="1"/>
  <c r="AC791" i="1"/>
  <c r="AC345" i="1"/>
  <c r="AC792" i="1"/>
  <c r="AC346" i="1"/>
  <c r="AC793" i="1"/>
  <c r="AC794" i="1"/>
  <c r="AC347" i="1"/>
  <c r="AC348" i="1"/>
  <c r="AC349" i="1"/>
  <c r="AC350" i="1"/>
  <c r="AC351" i="1"/>
  <c r="AC352" i="1"/>
  <c r="AC353" i="1"/>
  <c r="AC354" i="1"/>
  <c r="AC355" i="1"/>
  <c r="AC795" i="1"/>
  <c r="AC356" i="1"/>
  <c r="AC357" i="1"/>
  <c r="AC358" i="1"/>
  <c r="AC796" i="1"/>
  <c r="AC797" i="1"/>
  <c r="AC798" i="1"/>
  <c r="AC799" i="1"/>
  <c r="AC359" i="1"/>
  <c r="AC360" i="1"/>
  <c r="AC800" i="1"/>
  <c r="AC802" i="1"/>
  <c r="AC803" i="1"/>
  <c r="AC361" i="1"/>
  <c r="AC362" i="1"/>
  <c r="AC363" i="1"/>
  <c r="AC364" i="1"/>
  <c r="AC365" i="1"/>
  <c r="AC804" i="1"/>
  <c r="AC805" i="1"/>
  <c r="AC366" i="1"/>
  <c r="AC367" i="1"/>
  <c r="AC806" i="1"/>
  <c r="AC368" i="1"/>
  <c r="AC369" i="1"/>
  <c r="AC807" i="1"/>
  <c r="AC370" i="1"/>
  <c r="AC808" i="1"/>
  <c r="AC371" i="1"/>
  <c r="AC809" i="1"/>
  <c r="AC810" i="1"/>
  <c r="AC811" i="1"/>
  <c r="AC812" i="1"/>
  <c r="AC813" i="1"/>
  <c r="AC372" i="1"/>
  <c r="AC814" i="1"/>
  <c r="AC815" i="1"/>
  <c r="AC816" i="1"/>
  <c r="AC817" i="1"/>
  <c r="AC373" i="1"/>
  <c r="AC374" i="1"/>
  <c r="AC375" i="1"/>
  <c r="AC376" i="1"/>
  <c r="AC818" i="1"/>
  <c r="AC377" i="1"/>
  <c r="AC819" i="1"/>
  <c r="AC378" i="1"/>
  <c r="AC379" i="1"/>
  <c r="AC820" i="1"/>
  <c r="AC380" i="1"/>
  <c r="AC381" i="1"/>
  <c r="AC821" i="1"/>
  <c r="AC382" i="1"/>
  <c r="AC822" i="1"/>
  <c r="AC823" i="1"/>
  <c r="AC383" i="1"/>
  <c r="AC384" i="1"/>
  <c r="AC825" i="1"/>
  <c r="AC385" i="1"/>
  <c r="AC386" i="1"/>
  <c r="AC826" i="1"/>
  <c r="AC827" i="1"/>
  <c r="AC828" i="1"/>
  <c r="AC829" i="1"/>
  <c r="AC387" i="1"/>
  <c r="AC830" i="1"/>
  <c r="AC831" i="1"/>
  <c r="AC388" i="1"/>
  <c r="AC389" i="1"/>
  <c r="AC390" i="1"/>
  <c r="AC832" i="1"/>
  <c r="AC833" i="1"/>
  <c r="AC834" i="1"/>
  <c r="AC391" i="1"/>
  <c r="AC836" i="1"/>
  <c r="AC837" i="1"/>
  <c r="AC392" i="1"/>
  <c r="AC393" i="1"/>
  <c r="AC394" i="1"/>
  <c r="AC395" i="1"/>
  <c r="AC838" i="1"/>
  <c r="AC396" i="1"/>
  <c r="AC397" i="1"/>
  <c r="AC399" i="1"/>
  <c r="AC400" i="1"/>
  <c r="AC839" i="1"/>
  <c r="AC840" i="1"/>
  <c r="AC841" i="1"/>
  <c r="AC401" i="1"/>
  <c r="AC842" i="1"/>
  <c r="AC402" i="1"/>
  <c r="AC843" i="1"/>
  <c r="AC844" i="1"/>
  <c r="AC845" i="1"/>
  <c r="AC846" i="1"/>
  <c r="AC847" i="1"/>
  <c r="AC404" i="1"/>
  <c r="AC848" i="1"/>
  <c r="AC405" i="1"/>
  <c r="AC850" i="1"/>
  <c r="AC406" i="1"/>
  <c r="AC851" i="1"/>
  <c r="AC407" i="1"/>
  <c r="AC852" i="1"/>
  <c r="AC408" i="1"/>
  <c r="AC409" i="1"/>
  <c r="AC410" i="1"/>
  <c r="AC853" i="1"/>
  <c r="AC855" i="1"/>
  <c r="AC411" i="1"/>
  <c r="AC412" i="1"/>
  <c r="AC413" i="1"/>
  <c r="AC414" i="1"/>
  <c r="AC415" i="1"/>
  <c r="AC416" i="1"/>
  <c r="AC417" i="1"/>
  <c r="AC856" i="1"/>
  <c r="AC418" i="1"/>
  <c r="AC419" i="1"/>
  <c r="AC857" i="1"/>
  <c r="AC420" i="1"/>
  <c r="AC858" i="1"/>
  <c r="AC859" i="1"/>
  <c r="AC421" i="1"/>
  <c r="AC860" i="1"/>
  <c r="AC422" i="1"/>
  <c r="AC423" i="1"/>
  <c r="AC424" i="1"/>
  <c r="AC861" i="1"/>
  <c r="AC862" i="1"/>
  <c r="AC425" i="1"/>
  <c r="AC426" i="1"/>
  <c r="AC863" i="1"/>
  <c r="AC864" i="1"/>
  <c r="AC427" i="1"/>
  <c r="AC865" i="1"/>
  <c r="AC428" i="1"/>
  <c r="AC429" i="1"/>
  <c r="AC430" i="1"/>
  <c r="AC866" i="1"/>
  <c r="AC431" i="1"/>
  <c r="AC867" i="1"/>
  <c r="AC868" i="1"/>
  <c r="AC869" i="1"/>
  <c r="AC432" i="1"/>
  <c r="AC433" i="1"/>
  <c r="AC870" i="1"/>
  <c r="AC434" i="1"/>
  <c r="AC435" i="1"/>
  <c r="AC436" i="1"/>
  <c r="AC871" i="1"/>
  <c r="AC872" i="1"/>
  <c r="AC873" i="1"/>
  <c r="AC437" i="1"/>
  <c r="AC874" i="1"/>
  <c r="AC438" i="1"/>
  <c r="AC439" i="1"/>
  <c r="AC440" i="1"/>
  <c r="AC441" i="1"/>
  <c r="AC442" i="1"/>
  <c r="AC875" i="1"/>
  <c r="AC443" i="1"/>
  <c r="AC876" i="1"/>
  <c r="AC444" i="1"/>
  <c r="AC877" i="1"/>
  <c r="AC445" i="1"/>
  <c r="AC446" i="1"/>
  <c r="AC878" i="1"/>
  <c r="AC447" i="1"/>
  <c r="AC448" i="1"/>
  <c r="AC879" i="1"/>
  <c r="AC449" i="1"/>
  <c r="AC880" i="1"/>
  <c r="AC450" i="1"/>
  <c r="AC451" i="1"/>
  <c r="AC452" i="1"/>
  <c r="AC881" i="1"/>
  <c r="AC453" i="1"/>
  <c r="AC454" i="1"/>
  <c r="AC882" i="1"/>
  <c r="AC883" i="1"/>
  <c r="AC455" i="1"/>
  <c r="AC884" i="1"/>
  <c r="AC885" i="1"/>
  <c r="AC456" i="1"/>
  <c r="AC886" i="1"/>
  <c r="AC887" i="1"/>
  <c r="AC888" i="1"/>
  <c r="AC457" i="1"/>
  <c r="AC458" i="1"/>
  <c r="AC459" i="1"/>
  <c r="AC889" i="1"/>
  <c r="AC890" i="1"/>
  <c r="AC460" i="1"/>
  <c r="AC461" i="1"/>
  <c r="AC891" i="1"/>
  <c r="AC462" i="1"/>
  <c r="AC463" i="1"/>
  <c r="AC892" i="1"/>
  <c r="AC464" i="1"/>
  <c r="AC465" i="1"/>
  <c r="AC893" i="1"/>
  <c r="AC894" i="1"/>
  <c r="AC895" i="1"/>
  <c r="AC896" i="1"/>
  <c r="AC466" i="1"/>
  <c r="AC897" i="1"/>
  <c r="AC467" i="1"/>
  <c r="AC898" i="1"/>
  <c r="AC899" i="1"/>
  <c r="AC900" i="1"/>
  <c r="AC468" i="1"/>
  <c r="AC469" i="1"/>
  <c r="AC901" i="1"/>
  <c r="AC470" i="1"/>
  <c r="AC902" i="1"/>
  <c r="AC903" i="1"/>
  <c r="AC471" i="1"/>
  <c r="AC904" i="1"/>
  <c r="AC905" i="1"/>
  <c r="AC472" i="1"/>
  <c r="AC906" i="1"/>
  <c r="AC907" i="1"/>
  <c r="AC473" i="1"/>
  <c r="AC474" i="1"/>
  <c r="AC908" i="1"/>
  <c r="AC909" i="1"/>
  <c r="AC475" i="1"/>
  <c r="AC477" i="1"/>
  <c r="AC478" i="1"/>
  <c r="AC479" i="1"/>
  <c r="AC910" i="1"/>
  <c r="AC911" i="1"/>
  <c r="AC480" i="1"/>
  <c r="AC481" i="1"/>
  <c r="AC482" i="1"/>
  <c r="AC483" i="1"/>
  <c r="AC484" i="1"/>
  <c r="AC485" i="1"/>
  <c r="AC912" i="1"/>
  <c r="AC913" i="1"/>
  <c r="AC914" i="1"/>
  <c r="AC915" i="1"/>
  <c r="AC916" i="1"/>
  <c r="AC917" i="1"/>
  <c r="AC486" i="1"/>
  <c r="AC918" i="1"/>
  <c r="AC919" i="1"/>
  <c r="AC920" i="1"/>
  <c r="AC487" i="1"/>
  <c r="AC488" i="1"/>
  <c r="AC921" i="1"/>
  <c r="AC922" i="1"/>
  <c r="AC489" i="1"/>
  <c r="AC490" i="1"/>
  <c r="AC923" i="1"/>
  <c r="AC491" i="1"/>
  <c r="AC924" i="1"/>
  <c r="AC492" i="1"/>
  <c r="AC493" i="1"/>
  <c r="AC925" i="1"/>
  <c r="AC926" i="1"/>
  <c r="AC927" i="1"/>
  <c r="AC494" i="1"/>
  <c r="AC928" i="1"/>
  <c r="AC495" i="1"/>
  <c r="AC929" i="1"/>
  <c r="AC930" i="1"/>
  <c r="AC496" i="1"/>
  <c r="AC497" i="1"/>
  <c r="AC931" i="1"/>
  <c r="AC498" i="1"/>
  <c r="AC499" i="1"/>
  <c r="AC500" i="1"/>
  <c r="AC501" i="1"/>
  <c r="AC932" i="1"/>
  <c r="AC502" i="1"/>
  <c r="AC933" i="1"/>
  <c r="AC195" i="1"/>
  <c r="AC539" i="1"/>
  <c r="AC680" i="1"/>
  <c r="AC608" i="1"/>
  <c r="AC649" i="1"/>
  <c r="AC579" i="1"/>
  <c r="AC239" i="1"/>
  <c r="AC773" i="1"/>
  <c r="AC91" i="1"/>
  <c r="AC159" i="1"/>
  <c r="AC79" i="1"/>
  <c r="AC659" i="1"/>
  <c r="AC2" i="1"/>
  <c r="Q3" i="1"/>
  <c r="Q4" i="1"/>
  <c r="Q5" i="1"/>
  <c r="Q503" i="1"/>
  <c r="Q6" i="1"/>
  <c r="Q504" i="1"/>
  <c r="Q506" i="1"/>
  <c r="Q7" i="1"/>
  <c r="Q507" i="1"/>
  <c r="Q508" i="1"/>
  <c r="Q8" i="1"/>
  <c r="Q9" i="1"/>
  <c r="Q509" i="1"/>
  <c r="Q10" i="1"/>
  <c r="Q11" i="1"/>
  <c r="Q12" i="1"/>
  <c r="Q13" i="1"/>
  <c r="Q510" i="1"/>
  <c r="Q14" i="1"/>
  <c r="Q511" i="1"/>
  <c r="Q512" i="1"/>
  <c r="Q513" i="1"/>
  <c r="Q514" i="1"/>
  <c r="Q15" i="1"/>
  <c r="Q16" i="1"/>
  <c r="Q17" i="1"/>
  <c r="Q515" i="1"/>
  <c r="Q18" i="1"/>
  <c r="Q516" i="1"/>
  <c r="Q19" i="1"/>
  <c r="Q517" i="1"/>
  <c r="Q20" i="1"/>
  <c r="Q21" i="1"/>
  <c r="Q518" i="1"/>
  <c r="Q22" i="1"/>
  <c r="Q23" i="1"/>
  <c r="Q519" i="1"/>
  <c r="Q24" i="1"/>
  <c r="Q25" i="1"/>
  <c r="Q26" i="1"/>
  <c r="Q27" i="1"/>
  <c r="Q520" i="1"/>
  <c r="Q28" i="1"/>
  <c r="Q29" i="1"/>
  <c r="Q30" i="1"/>
  <c r="Q31" i="1"/>
  <c r="Q32" i="1"/>
  <c r="Q521" i="1"/>
  <c r="Q33" i="1"/>
  <c r="Q522" i="1"/>
  <c r="Q34" i="1"/>
  <c r="Q35" i="1"/>
  <c r="Q523" i="1"/>
  <c r="Q524" i="1"/>
  <c r="Q525" i="1"/>
  <c r="Q526" i="1"/>
  <c r="Q36" i="1"/>
  <c r="Q37" i="1"/>
  <c r="Q38" i="1"/>
  <c r="Q39" i="1"/>
  <c r="Q40" i="1"/>
  <c r="Q41" i="1"/>
  <c r="Q42" i="1"/>
  <c r="Q43" i="1"/>
  <c r="Q44" i="1"/>
  <c r="Q527" i="1"/>
  <c r="Q528" i="1"/>
  <c r="Q45" i="1"/>
  <c r="Q46" i="1"/>
  <c r="Q529" i="1"/>
  <c r="Q530" i="1"/>
  <c r="Q47" i="1"/>
  <c r="Q531" i="1"/>
  <c r="Q532" i="1"/>
  <c r="Q533" i="1"/>
  <c r="Q48" i="1"/>
  <c r="Q534" i="1"/>
  <c r="Q535" i="1"/>
  <c r="Q536" i="1"/>
  <c r="Q49" i="1"/>
  <c r="Q537" i="1"/>
  <c r="Q50" i="1"/>
  <c r="Q51" i="1"/>
  <c r="Q52" i="1"/>
  <c r="Q53" i="1"/>
  <c r="Q54" i="1"/>
  <c r="Q55" i="1"/>
  <c r="Q56" i="1"/>
  <c r="Q57" i="1"/>
  <c r="Q538" i="1"/>
  <c r="Q540" i="1"/>
  <c r="Q541" i="1"/>
  <c r="Q58" i="1"/>
  <c r="Q59" i="1"/>
  <c r="Q542" i="1"/>
  <c r="Q60" i="1"/>
  <c r="Q543" i="1"/>
  <c r="Q61" i="1"/>
  <c r="Q544" i="1"/>
  <c r="Q545" i="1"/>
  <c r="Q62" i="1"/>
  <c r="Q546" i="1"/>
  <c r="Q547" i="1"/>
  <c r="Q548" i="1"/>
  <c r="Q63" i="1"/>
  <c r="Q64" i="1"/>
  <c r="Q65" i="1"/>
  <c r="Q66" i="1"/>
  <c r="Q549" i="1"/>
  <c r="Q67" i="1"/>
  <c r="Q550" i="1"/>
  <c r="Q68" i="1"/>
  <c r="Q69" i="1"/>
  <c r="Q70" i="1"/>
  <c r="Q71" i="1"/>
  <c r="Q551" i="1"/>
  <c r="Q72" i="1"/>
  <c r="Q73" i="1"/>
  <c r="Q74" i="1"/>
  <c r="Q75" i="1"/>
  <c r="Q552" i="1"/>
  <c r="Q76" i="1"/>
  <c r="Q77" i="1"/>
  <c r="Q80" i="1"/>
  <c r="Q553" i="1"/>
  <c r="Q554" i="1"/>
  <c r="Q555" i="1"/>
  <c r="Q81" i="1"/>
  <c r="Q82" i="1"/>
  <c r="Q83" i="1"/>
  <c r="Q557" i="1"/>
  <c r="Q84" i="1"/>
  <c r="Q85" i="1"/>
  <c r="Q558" i="1"/>
  <c r="Q559" i="1"/>
  <c r="Q560" i="1"/>
  <c r="Q561" i="1"/>
  <c r="Q87" i="1"/>
  <c r="Q562" i="1"/>
  <c r="Q88" i="1"/>
  <c r="Q89" i="1"/>
  <c r="Q90" i="1"/>
  <c r="Q92" i="1"/>
  <c r="Q93" i="1"/>
  <c r="Q563" i="1"/>
  <c r="Q564" i="1"/>
  <c r="Q94" i="1"/>
  <c r="Q565" i="1"/>
  <c r="Q95" i="1"/>
  <c r="Q96" i="1"/>
  <c r="Q97" i="1"/>
  <c r="Q98" i="1"/>
  <c r="Q566" i="1"/>
  <c r="Q99" i="1"/>
  <c r="Q567" i="1"/>
  <c r="Q568" i="1"/>
  <c r="Q100" i="1"/>
  <c r="Q101" i="1"/>
  <c r="Q569" i="1"/>
  <c r="Q570" i="1"/>
  <c r="Q571" i="1"/>
  <c r="Q102" i="1"/>
  <c r="Q572" i="1"/>
  <c r="Q573" i="1"/>
  <c r="Q103" i="1"/>
  <c r="Q574" i="1"/>
  <c r="Q575" i="1"/>
  <c r="Q576" i="1"/>
  <c r="Q577" i="1"/>
  <c r="Q578" i="1"/>
  <c r="Q580" i="1"/>
  <c r="Q581" i="1"/>
  <c r="Q104" i="1"/>
  <c r="Q582" i="1"/>
  <c r="Q105" i="1"/>
  <c r="Q583" i="1"/>
  <c r="Q106" i="1"/>
  <c r="Q107" i="1"/>
  <c r="Q108" i="1"/>
  <c r="Q109" i="1"/>
  <c r="Q584" i="1"/>
  <c r="Q110" i="1"/>
  <c r="Q585" i="1"/>
  <c r="Q111" i="1"/>
  <c r="Q112" i="1"/>
  <c r="Q113" i="1"/>
  <c r="Q586" i="1"/>
  <c r="Q587" i="1"/>
  <c r="Q588" i="1"/>
  <c r="Q589" i="1"/>
  <c r="Q114" i="1"/>
  <c r="Q115" i="1"/>
  <c r="Q116" i="1"/>
  <c r="Q590" i="1"/>
  <c r="Q591" i="1"/>
  <c r="Q117" i="1"/>
  <c r="Q592" i="1"/>
  <c r="Q118" i="1"/>
  <c r="Q119" i="1"/>
  <c r="Q593" i="1"/>
  <c r="Q594" i="1"/>
  <c r="Q595" i="1"/>
  <c r="Q120" i="1"/>
  <c r="Q596" i="1"/>
  <c r="Q597" i="1"/>
  <c r="Q598" i="1"/>
  <c r="Q121" i="1"/>
  <c r="Q599" i="1"/>
  <c r="Q600" i="1"/>
  <c r="Q122" i="1"/>
  <c r="Q123" i="1"/>
  <c r="Q124" i="1"/>
  <c r="Q125" i="1"/>
  <c r="Q126" i="1"/>
  <c r="Q127" i="1"/>
  <c r="Q601" i="1"/>
  <c r="Q602" i="1"/>
  <c r="Q603" i="1"/>
  <c r="Q128" i="1"/>
  <c r="Q129" i="1"/>
  <c r="Q604" i="1"/>
  <c r="Q605" i="1"/>
  <c r="Q606" i="1"/>
  <c r="Q607" i="1"/>
  <c r="Q130" i="1"/>
  <c r="Q609" i="1"/>
  <c r="Q131" i="1"/>
  <c r="Q132" i="1"/>
  <c r="Q610" i="1"/>
  <c r="Q133" i="1"/>
  <c r="Q134" i="1"/>
  <c r="Q611" i="1"/>
  <c r="Q135" i="1"/>
  <c r="Q136" i="1"/>
  <c r="Q137" i="1"/>
  <c r="Q138" i="1"/>
  <c r="Q139" i="1"/>
  <c r="Q140" i="1"/>
  <c r="Q141" i="1"/>
  <c r="Q142" i="1"/>
  <c r="Q612" i="1"/>
  <c r="Q613" i="1"/>
  <c r="Q614" i="1"/>
  <c r="Q143" i="1"/>
  <c r="Q144" i="1"/>
  <c r="Q145" i="1"/>
  <c r="Q146" i="1"/>
  <c r="Q147" i="1"/>
  <c r="Q615" i="1"/>
  <c r="Q148" i="1"/>
  <c r="Q616" i="1"/>
  <c r="Q617" i="1"/>
  <c r="Q150" i="1"/>
  <c r="Q618" i="1"/>
  <c r="Q619" i="1"/>
  <c r="Q151" i="1"/>
  <c r="Q620" i="1"/>
  <c r="Q152" i="1"/>
  <c r="Q153" i="1"/>
  <c r="Q621" i="1"/>
  <c r="Q622" i="1"/>
  <c r="Q623" i="1"/>
  <c r="Q624" i="1"/>
  <c r="Q154" i="1"/>
  <c r="Q155" i="1"/>
  <c r="Q625" i="1"/>
  <c r="Q626" i="1"/>
  <c r="Q627" i="1"/>
  <c r="Q628" i="1"/>
  <c r="Q156" i="1"/>
  <c r="Q157" i="1"/>
  <c r="Q158" i="1"/>
  <c r="Q629" i="1"/>
  <c r="Q160" i="1"/>
  <c r="Q161" i="1"/>
  <c r="Q162" i="1"/>
  <c r="Q630" i="1"/>
  <c r="Q631" i="1"/>
  <c r="Q164" i="1"/>
  <c r="Q165" i="1"/>
  <c r="Q632" i="1"/>
  <c r="Q167" i="1"/>
  <c r="Q633" i="1"/>
  <c r="Q168" i="1"/>
  <c r="Q634" i="1"/>
  <c r="Q169" i="1"/>
  <c r="Q170" i="1"/>
  <c r="Q171" i="1"/>
  <c r="Q635" i="1"/>
  <c r="Q636" i="1"/>
  <c r="Q172" i="1"/>
  <c r="Q637" i="1"/>
  <c r="Q173" i="1"/>
  <c r="Q638" i="1"/>
  <c r="Q639" i="1"/>
  <c r="Q640" i="1"/>
  <c r="Q174" i="1"/>
  <c r="Q641" i="1"/>
  <c r="Q175" i="1"/>
  <c r="Q176" i="1"/>
  <c r="Q642" i="1"/>
  <c r="Q643" i="1"/>
  <c r="Q177" i="1"/>
  <c r="Q178" i="1"/>
  <c r="Q179" i="1"/>
  <c r="Q644" i="1"/>
  <c r="Q645" i="1"/>
  <c r="Q646" i="1"/>
  <c r="Q180" i="1"/>
  <c r="Q181" i="1"/>
  <c r="Q182" i="1"/>
  <c r="Q183" i="1"/>
  <c r="Q647" i="1"/>
  <c r="Q648" i="1"/>
  <c r="Q184" i="1"/>
  <c r="Q185" i="1"/>
  <c r="Q650" i="1"/>
  <c r="Q186" i="1"/>
  <c r="Q187" i="1"/>
  <c r="Q188" i="1"/>
  <c r="Q189" i="1"/>
  <c r="Q190" i="1"/>
  <c r="Q191" i="1"/>
  <c r="Q651" i="1"/>
  <c r="Q652" i="1"/>
  <c r="Q653" i="1"/>
  <c r="Q192" i="1"/>
  <c r="Q654" i="1"/>
  <c r="Q655" i="1"/>
  <c r="Q193" i="1"/>
  <c r="Q194" i="1"/>
  <c r="Q656" i="1"/>
  <c r="Q657" i="1"/>
  <c r="Q196" i="1"/>
  <c r="Q658" i="1"/>
  <c r="Q197" i="1"/>
  <c r="Q198" i="1"/>
  <c r="Q199" i="1"/>
  <c r="Q660" i="1"/>
  <c r="Q200" i="1"/>
  <c r="Q661" i="1"/>
  <c r="Q662" i="1"/>
  <c r="Q663" i="1"/>
  <c r="Q201" i="1"/>
  <c r="Q202" i="1"/>
  <c r="Q664" i="1"/>
  <c r="Q203" i="1"/>
  <c r="Q204" i="1"/>
  <c r="Q665" i="1"/>
  <c r="Q205" i="1"/>
  <c r="Q666" i="1"/>
  <c r="Q667" i="1"/>
  <c r="Q668" i="1"/>
  <c r="Q206" i="1"/>
  <c r="Q207" i="1"/>
  <c r="Q669" i="1"/>
  <c r="Q670" i="1"/>
  <c r="Q671" i="1"/>
  <c r="Q208" i="1"/>
  <c r="Q209" i="1"/>
  <c r="Q672" i="1"/>
  <c r="Q210" i="1"/>
  <c r="Q673" i="1"/>
  <c r="Q674" i="1"/>
  <c r="Q211" i="1"/>
  <c r="Q675" i="1"/>
  <c r="Q212" i="1"/>
  <c r="Q676" i="1"/>
  <c r="Q677" i="1"/>
  <c r="Q213" i="1"/>
  <c r="Q214" i="1"/>
  <c r="Q678" i="1"/>
  <c r="Q679" i="1"/>
  <c r="Q681" i="1"/>
  <c r="Q215" i="1"/>
  <c r="Q216" i="1"/>
  <c r="Q682" i="1"/>
  <c r="Q684" i="1"/>
  <c r="Q217" i="1"/>
  <c r="Q218" i="1"/>
  <c r="Q685" i="1"/>
  <c r="Q686" i="1"/>
  <c r="Q687" i="1"/>
  <c r="Q219" i="1"/>
  <c r="Q688" i="1"/>
  <c r="Q689" i="1"/>
  <c r="Q690" i="1"/>
  <c r="Q220" i="1"/>
  <c r="Q221" i="1"/>
  <c r="Q222" i="1"/>
  <c r="Q691" i="1"/>
  <c r="Q223" i="1"/>
  <c r="Q224" i="1"/>
  <c r="Q225" i="1"/>
  <c r="Q226" i="1"/>
  <c r="Q692" i="1"/>
  <c r="Q693" i="1"/>
  <c r="Q227" i="1"/>
  <c r="Q694" i="1"/>
  <c r="Q696" i="1"/>
  <c r="Q697" i="1"/>
  <c r="Q228" i="1"/>
  <c r="Q229" i="1"/>
  <c r="Q230" i="1"/>
  <c r="Q231" i="1"/>
  <c r="Q698" i="1"/>
  <c r="Q232" i="1"/>
  <c r="Q699" i="1"/>
  <c r="Q700" i="1"/>
  <c r="Q233" i="1"/>
  <c r="Q701" i="1"/>
  <c r="Q234" i="1"/>
  <c r="Q702" i="1"/>
  <c r="Q235" i="1"/>
  <c r="Q236" i="1"/>
  <c r="Q703" i="1"/>
  <c r="Q704" i="1"/>
  <c r="Q237" i="1"/>
  <c r="Q705" i="1"/>
  <c r="Q706" i="1"/>
  <c r="Q707" i="1"/>
  <c r="Q708" i="1"/>
  <c r="Q238" i="1"/>
  <c r="Q240" i="1"/>
  <c r="Q241" i="1"/>
  <c r="Q242" i="1"/>
  <c r="Q709" i="1"/>
  <c r="Q710" i="1"/>
  <c r="Q711" i="1"/>
  <c r="Q243" i="1"/>
  <c r="Q244" i="1"/>
  <c r="Q245" i="1"/>
  <c r="Q246" i="1"/>
  <c r="Q712" i="1"/>
  <c r="Q713" i="1"/>
  <c r="Q247" i="1"/>
  <c r="Q248" i="1"/>
  <c r="Q714" i="1"/>
  <c r="Q715" i="1"/>
  <c r="Q249" i="1"/>
  <c r="Q250" i="1"/>
  <c r="Q716" i="1"/>
  <c r="Q251" i="1"/>
  <c r="Q717" i="1"/>
  <c r="Q252" i="1"/>
  <c r="Q718" i="1"/>
  <c r="Q719" i="1"/>
  <c r="Q253" i="1"/>
  <c r="Q254" i="1"/>
  <c r="Q720" i="1"/>
  <c r="Q255" i="1"/>
  <c r="Q256" i="1"/>
  <c r="Q721" i="1"/>
  <c r="Q722" i="1"/>
  <c r="Q257" i="1"/>
  <c r="Q258" i="1"/>
  <c r="Q259" i="1"/>
  <c r="Q260" i="1"/>
  <c r="Q261" i="1"/>
  <c r="Q723" i="1"/>
  <c r="Q724" i="1"/>
  <c r="Q262" i="1"/>
  <c r="Q725" i="1"/>
  <c r="Q726" i="1"/>
  <c r="Q263" i="1"/>
  <c r="Q264" i="1"/>
  <c r="Q265" i="1"/>
  <c r="Q727" i="1"/>
  <c r="Q266" i="1"/>
  <c r="Q267" i="1"/>
  <c r="Q268" i="1"/>
  <c r="Q269" i="1"/>
  <c r="Q270" i="1"/>
  <c r="Q271" i="1"/>
  <c r="Q728" i="1"/>
  <c r="Q272" i="1"/>
  <c r="Q729" i="1"/>
  <c r="Q273" i="1"/>
  <c r="Q274" i="1"/>
  <c r="Q730" i="1"/>
  <c r="Q731" i="1"/>
  <c r="Q275" i="1"/>
  <c r="Q276" i="1"/>
  <c r="Q277" i="1"/>
  <c r="Q732" i="1"/>
  <c r="Q733" i="1"/>
  <c r="Q734" i="1"/>
  <c r="Q278" i="1"/>
  <c r="Q279" i="1"/>
  <c r="Q280" i="1"/>
  <c r="Q735" i="1"/>
  <c r="Q736" i="1"/>
  <c r="Q737" i="1"/>
  <c r="Q281" i="1"/>
  <c r="Q282" i="1"/>
  <c r="Q738" i="1"/>
  <c r="Q283" i="1"/>
  <c r="Q739" i="1"/>
  <c r="Q284" i="1"/>
  <c r="Q285" i="1"/>
  <c r="Q286" i="1"/>
  <c r="Q287" i="1"/>
  <c r="Q289" i="1"/>
  <c r="Q740" i="1"/>
  <c r="Q290" i="1"/>
  <c r="Q291" i="1"/>
  <c r="Q741" i="1"/>
  <c r="Q292" i="1"/>
  <c r="Q742" i="1"/>
  <c r="Q293" i="1"/>
  <c r="Q294" i="1"/>
  <c r="Q743" i="1"/>
  <c r="Q744" i="1"/>
  <c r="Q295" i="1"/>
  <c r="Q745" i="1"/>
  <c r="Q296" i="1"/>
  <c r="Q746" i="1"/>
  <c r="Q747" i="1"/>
  <c r="Q748" i="1"/>
  <c r="Q297" i="1"/>
  <c r="Q749" i="1"/>
  <c r="Q750" i="1"/>
  <c r="Q298" i="1"/>
  <c r="Q299" i="1"/>
  <c r="Q300" i="1"/>
  <c r="Q751" i="1"/>
  <c r="Q752" i="1"/>
  <c r="Q301" i="1"/>
  <c r="Q302" i="1"/>
  <c r="Q753" i="1"/>
  <c r="Q303" i="1"/>
  <c r="Q754" i="1"/>
  <c r="Q304" i="1"/>
  <c r="Q755" i="1"/>
  <c r="Q305" i="1"/>
  <c r="Q756" i="1"/>
  <c r="Q306" i="1"/>
  <c r="Q307" i="1"/>
  <c r="Q757" i="1"/>
  <c r="Q308" i="1"/>
  <c r="Q758" i="1"/>
  <c r="Q309" i="1"/>
  <c r="Q310" i="1"/>
  <c r="Q759" i="1"/>
  <c r="Q311" i="1"/>
  <c r="Q760" i="1"/>
  <c r="Q312" i="1"/>
  <c r="Q313" i="1"/>
  <c r="Q761" i="1"/>
  <c r="Q314" i="1"/>
  <c r="Q315" i="1"/>
  <c r="Q763" i="1"/>
  <c r="Q764" i="1"/>
  <c r="Q316" i="1"/>
  <c r="Q765" i="1"/>
  <c r="Q317" i="1"/>
  <c r="Q318" i="1"/>
  <c r="Q766" i="1"/>
  <c r="Q767" i="1"/>
  <c r="Q319" i="1"/>
  <c r="Q768" i="1"/>
  <c r="Q320" i="1"/>
  <c r="Q321" i="1"/>
  <c r="Q322" i="1"/>
  <c r="Q769" i="1"/>
  <c r="Q323" i="1"/>
  <c r="Q324" i="1"/>
  <c r="Q325" i="1"/>
  <c r="Q770" i="1"/>
  <c r="Q771" i="1"/>
  <c r="Q772" i="1"/>
  <c r="Q326" i="1"/>
  <c r="Q774" i="1"/>
  <c r="Q327" i="1"/>
  <c r="Q775" i="1"/>
  <c r="Q328" i="1"/>
  <c r="Q776" i="1"/>
  <c r="Q329" i="1"/>
  <c r="Q330" i="1"/>
  <c r="Q777" i="1"/>
  <c r="Q778" i="1"/>
  <c r="Q331" i="1"/>
  <c r="Q332" i="1"/>
  <c r="Q333" i="1"/>
  <c r="Q779" i="1"/>
  <c r="Q780" i="1"/>
  <c r="Q781" i="1"/>
  <c r="Q782" i="1"/>
  <c r="Q334" i="1"/>
  <c r="Q335" i="1"/>
  <c r="Q336" i="1"/>
  <c r="Q337" i="1"/>
  <c r="Q783" i="1"/>
  <c r="Q338" i="1"/>
  <c r="Q784" i="1"/>
  <c r="Q339" i="1"/>
  <c r="Q785" i="1"/>
  <c r="Q340" i="1"/>
  <c r="Q342" i="1"/>
  <c r="Q786" i="1"/>
  <c r="Q343" i="1"/>
  <c r="Q344" i="1"/>
  <c r="Q787" i="1"/>
  <c r="Q788" i="1"/>
  <c r="Q789" i="1"/>
  <c r="Q790" i="1"/>
  <c r="Q791" i="1"/>
  <c r="Q345" i="1"/>
  <c r="Q792" i="1"/>
  <c r="Q346" i="1"/>
  <c r="Q793" i="1"/>
  <c r="Q794" i="1"/>
  <c r="Q347" i="1"/>
  <c r="Q348" i="1"/>
  <c r="Q349" i="1"/>
  <c r="Q350" i="1"/>
  <c r="Q351" i="1"/>
  <c r="Q352" i="1"/>
  <c r="Q353" i="1"/>
  <c r="Q354" i="1"/>
  <c r="Q355" i="1"/>
  <c r="Q795" i="1"/>
  <c r="Q356" i="1"/>
  <c r="Q357" i="1"/>
  <c r="Q358" i="1"/>
  <c r="Q796" i="1"/>
  <c r="Q797" i="1"/>
  <c r="Q798" i="1"/>
  <c r="Q799" i="1"/>
  <c r="Q359" i="1"/>
  <c r="Q360" i="1"/>
  <c r="Q800" i="1"/>
  <c r="Q802" i="1"/>
  <c r="Q803" i="1"/>
  <c r="Q361" i="1"/>
  <c r="Q362" i="1"/>
  <c r="Q363" i="1"/>
  <c r="Q364" i="1"/>
  <c r="Q365" i="1"/>
  <c r="Q804" i="1"/>
  <c r="Q805" i="1"/>
  <c r="Q366" i="1"/>
  <c r="Q367" i="1"/>
  <c r="Q806" i="1"/>
  <c r="Q368" i="1"/>
  <c r="Q369" i="1"/>
  <c r="Q807" i="1"/>
  <c r="Q370" i="1"/>
  <c r="Q808" i="1"/>
  <c r="Q371" i="1"/>
  <c r="Q809" i="1"/>
  <c r="Q810" i="1"/>
  <c r="Q811" i="1"/>
  <c r="Q812" i="1"/>
  <c r="Q813" i="1"/>
  <c r="Q372" i="1"/>
  <c r="Q814" i="1"/>
  <c r="Q815" i="1"/>
  <c r="Q816" i="1"/>
  <c r="Q817" i="1"/>
  <c r="Q373" i="1"/>
  <c r="Q374" i="1"/>
  <c r="Q375" i="1"/>
  <c r="Q376" i="1"/>
  <c r="Q818" i="1"/>
  <c r="Q377" i="1"/>
  <c r="Q819" i="1"/>
  <c r="Q378" i="1"/>
  <c r="Q379" i="1"/>
  <c r="Q820" i="1"/>
  <c r="Q380" i="1"/>
  <c r="Q381" i="1"/>
  <c r="Q821" i="1"/>
  <c r="Q382" i="1"/>
  <c r="Q822" i="1"/>
  <c r="Q823" i="1"/>
  <c r="Q383" i="1"/>
  <c r="Q384" i="1"/>
  <c r="Q825" i="1"/>
  <c r="Q385" i="1"/>
  <c r="Q386" i="1"/>
  <c r="Q826" i="1"/>
  <c r="Q827" i="1"/>
  <c r="Q828" i="1"/>
  <c r="Q829" i="1"/>
  <c r="Q387" i="1"/>
  <c r="Q830" i="1"/>
  <c r="Q831" i="1"/>
  <c r="Q388" i="1"/>
  <c r="Q389" i="1"/>
  <c r="Q390" i="1"/>
  <c r="Q832" i="1"/>
  <c r="Q833" i="1"/>
  <c r="Q834" i="1"/>
  <c r="Q391" i="1"/>
  <c r="Q836" i="1"/>
  <c r="Q837" i="1"/>
  <c r="Q392" i="1"/>
  <c r="Q393" i="1"/>
  <c r="Q394" i="1"/>
  <c r="Q395" i="1"/>
  <c r="Q838" i="1"/>
  <c r="Q396" i="1"/>
  <c r="Q397" i="1"/>
  <c r="Q399" i="1"/>
  <c r="Q400" i="1"/>
  <c r="Q839" i="1"/>
  <c r="Q840" i="1"/>
  <c r="Q841" i="1"/>
  <c r="Q401" i="1"/>
  <c r="Q842" i="1"/>
  <c r="Q402" i="1"/>
  <c r="Q843" i="1"/>
  <c r="Q844" i="1"/>
  <c r="Q845" i="1"/>
  <c r="Q846" i="1"/>
  <c r="Q847" i="1"/>
  <c r="Q404" i="1"/>
  <c r="Q848" i="1"/>
  <c r="Q405" i="1"/>
  <c r="Q850" i="1"/>
  <c r="Q406" i="1"/>
  <c r="Q851" i="1"/>
  <c r="Q407" i="1"/>
  <c r="Q852" i="1"/>
  <c r="Q408" i="1"/>
  <c r="Q409" i="1"/>
  <c r="Q410" i="1"/>
  <c r="Q853" i="1"/>
  <c r="Q855" i="1"/>
  <c r="Q411" i="1"/>
  <c r="Q412" i="1"/>
  <c r="Q413" i="1"/>
  <c r="Q414" i="1"/>
  <c r="Q415" i="1"/>
  <c r="Q416" i="1"/>
  <c r="Q417" i="1"/>
  <c r="Q856" i="1"/>
  <c r="Q418" i="1"/>
  <c r="Q419" i="1"/>
  <c r="Q857" i="1"/>
  <c r="Q420" i="1"/>
  <c r="Q858" i="1"/>
  <c r="Q859" i="1"/>
  <c r="Q421" i="1"/>
  <c r="Q860" i="1"/>
  <c r="Q422" i="1"/>
  <c r="Q423" i="1"/>
  <c r="Q424" i="1"/>
  <c r="Q861" i="1"/>
  <c r="Q862" i="1"/>
  <c r="Q425" i="1"/>
  <c r="Q426" i="1"/>
  <c r="Q863" i="1"/>
  <c r="Q864" i="1"/>
  <c r="Q427" i="1"/>
  <c r="Q865" i="1"/>
  <c r="Q428" i="1"/>
  <c r="Q429" i="1"/>
  <c r="Q430" i="1"/>
  <c r="Q866" i="1"/>
  <c r="Q431" i="1"/>
  <c r="Q867" i="1"/>
  <c r="Q868" i="1"/>
  <c r="Q869" i="1"/>
  <c r="Q432" i="1"/>
  <c r="Q433" i="1"/>
  <c r="Q870" i="1"/>
  <c r="Q434" i="1"/>
  <c r="Q435" i="1"/>
  <c r="Q436" i="1"/>
  <c r="Q871" i="1"/>
  <c r="Q872" i="1"/>
  <c r="Q873" i="1"/>
  <c r="Q437" i="1"/>
  <c r="Q874" i="1"/>
  <c r="Q438" i="1"/>
  <c r="Q439" i="1"/>
  <c r="Q440" i="1"/>
  <c r="Q441" i="1"/>
  <c r="Q442" i="1"/>
  <c r="Q875" i="1"/>
  <c r="Q443" i="1"/>
  <c r="Q876" i="1"/>
  <c r="Q444" i="1"/>
  <c r="Q877" i="1"/>
  <c r="Q445" i="1"/>
  <c r="Q446" i="1"/>
  <c r="Q878" i="1"/>
  <c r="Q447" i="1"/>
  <c r="Q448" i="1"/>
  <c r="Q879" i="1"/>
  <c r="Q449" i="1"/>
  <c r="Q880" i="1"/>
  <c r="Q450" i="1"/>
  <c r="Q451" i="1"/>
  <c r="Q452" i="1"/>
  <c r="Q881" i="1"/>
  <c r="Q453" i="1"/>
  <c r="Q454" i="1"/>
  <c r="Q882" i="1"/>
  <c r="Q883" i="1"/>
  <c r="Q455" i="1"/>
  <c r="Q884" i="1"/>
  <c r="Q885" i="1"/>
  <c r="Q456" i="1"/>
  <c r="Q886" i="1"/>
  <c r="Q887" i="1"/>
  <c r="Q888" i="1"/>
  <c r="Q457" i="1"/>
  <c r="Q458" i="1"/>
  <c r="Q459" i="1"/>
  <c r="Q889" i="1"/>
  <c r="Q890" i="1"/>
  <c r="Q460" i="1"/>
  <c r="Q461" i="1"/>
  <c r="Q891" i="1"/>
  <c r="Q462" i="1"/>
  <c r="Q463" i="1"/>
  <c r="Q892" i="1"/>
  <c r="Q464" i="1"/>
  <c r="Q465" i="1"/>
  <c r="Q893" i="1"/>
  <c r="Q894" i="1"/>
  <c r="Q895" i="1"/>
  <c r="Q896" i="1"/>
  <c r="Q466" i="1"/>
  <c r="Q897" i="1"/>
  <c r="Q467" i="1"/>
  <c r="Q898" i="1"/>
  <c r="Q899" i="1"/>
  <c r="Q900" i="1"/>
  <c r="Q468" i="1"/>
  <c r="Q469" i="1"/>
  <c r="Q901" i="1"/>
  <c r="Q470" i="1"/>
  <c r="Q902" i="1"/>
  <c r="Q903" i="1"/>
  <c r="Q471" i="1"/>
  <c r="Q904" i="1"/>
  <c r="Q905" i="1"/>
  <c r="Q472" i="1"/>
  <c r="Q906" i="1"/>
  <c r="Q907" i="1"/>
  <c r="Q473" i="1"/>
  <c r="Q474" i="1"/>
  <c r="Q908" i="1"/>
  <c r="Q909" i="1"/>
  <c r="Q475" i="1"/>
  <c r="Q477" i="1"/>
  <c r="Q478" i="1"/>
  <c r="Q479" i="1"/>
  <c r="Q910" i="1"/>
  <c r="Q911" i="1"/>
  <c r="Q480" i="1"/>
  <c r="Q481" i="1"/>
  <c r="Q482" i="1"/>
  <c r="Q483" i="1"/>
  <c r="Q484" i="1"/>
  <c r="Q485" i="1"/>
  <c r="Q912" i="1"/>
  <c r="Q913" i="1"/>
  <c r="Q914" i="1"/>
  <c r="Q915" i="1"/>
  <c r="Q916" i="1"/>
  <c r="Q917" i="1"/>
  <c r="Q486" i="1"/>
  <c r="Q918" i="1"/>
  <c r="Q919" i="1"/>
  <c r="Q920" i="1"/>
  <c r="Q487" i="1"/>
  <c r="Q488" i="1"/>
  <c r="Q921" i="1"/>
  <c r="Q922" i="1"/>
  <c r="Q489" i="1"/>
  <c r="Q490" i="1"/>
  <c r="Q923" i="1"/>
  <c r="Q491" i="1"/>
  <c r="Q924" i="1"/>
  <c r="Q492" i="1"/>
  <c r="Q493" i="1"/>
  <c r="Q925" i="1"/>
  <c r="Q926" i="1"/>
  <c r="Q927" i="1"/>
  <c r="Q494" i="1"/>
  <c r="Q928" i="1"/>
  <c r="Q495" i="1"/>
  <c r="Q929" i="1"/>
  <c r="Q930" i="1"/>
  <c r="Q496" i="1"/>
  <c r="Q497" i="1"/>
  <c r="Q931" i="1"/>
  <c r="Q498" i="1"/>
  <c r="Q499" i="1"/>
  <c r="Q500" i="1"/>
  <c r="Q501" i="1"/>
  <c r="Q932" i="1"/>
  <c r="Q502" i="1"/>
  <c r="Q933" i="1"/>
  <c r="Q195" i="1"/>
  <c r="Q539" i="1"/>
  <c r="Q680" i="1"/>
  <c r="Q608" i="1"/>
  <c r="Q649" i="1"/>
  <c r="Q579" i="1"/>
  <c r="Q239" i="1"/>
  <c r="Q773" i="1"/>
  <c r="Q91" i="1"/>
  <c r="Q159" i="1"/>
  <c r="Q79" i="1"/>
  <c r="Q659" i="1"/>
  <c r="Q2" i="1"/>
  <c r="AT3" i="1"/>
  <c r="AT4" i="1"/>
  <c r="AT5" i="1"/>
  <c r="AT503" i="1"/>
  <c r="AT6" i="1"/>
  <c r="AT504" i="1"/>
  <c r="AT506" i="1"/>
  <c r="AT7" i="1"/>
  <c r="AT507" i="1"/>
  <c r="AT508" i="1"/>
  <c r="AT8" i="1"/>
  <c r="AT9" i="1"/>
  <c r="AT509" i="1"/>
  <c r="AT10" i="1"/>
  <c r="AT11" i="1"/>
  <c r="AT12" i="1"/>
  <c r="AT13" i="1"/>
  <c r="AT510" i="1"/>
  <c r="AT14" i="1"/>
  <c r="AT511" i="1"/>
  <c r="AT512" i="1"/>
  <c r="AT513" i="1"/>
  <c r="AT514" i="1"/>
  <c r="AT15" i="1"/>
  <c r="AT16" i="1"/>
  <c r="AT17" i="1"/>
  <c r="AT515" i="1"/>
  <c r="AT18" i="1"/>
  <c r="AT516" i="1"/>
  <c r="AT19" i="1"/>
  <c r="AT517" i="1"/>
  <c r="AT20" i="1"/>
  <c r="AT21" i="1"/>
  <c r="AT518" i="1"/>
  <c r="AT22" i="1"/>
  <c r="AT23" i="1"/>
  <c r="AT519" i="1"/>
  <c r="AT24" i="1"/>
  <c r="AT25" i="1"/>
  <c r="AT26" i="1"/>
  <c r="AT27" i="1"/>
  <c r="AT520" i="1"/>
  <c r="AT28" i="1"/>
  <c r="AT29" i="1"/>
  <c r="AT30" i="1"/>
  <c r="AT31" i="1"/>
  <c r="AT32" i="1"/>
  <c r="AT521" i="1"/>
  <c r="AT33" i="1"/>
  <c r="AT522" i="1"/>
  <c r="AT34" i="1"/>
  <c r="AT35" i="1"/>
  <c r="AT523" i="1"/>
  <c r="AT524" i="1"/>
  <c r="AT525" i="1"/>
  <c r="AT526" i="1"/>
  <c r="AT36" i="1"/>
  <c r="AT37" i="1"/>
  <c r="AT38" i="1"/>
  <c r="AT39" i="1"/>
  <c r="AT40" i="1"/>
  <c r="AT41" i="1"/>
  <c r="AT42" i="1"/>
  <c r="AT43" i="1"/>
  <c r="AT44" i="1"/>
  <c r="AT527" i="1"/>
  <c r="AT528" i="1"/>
  <c r="AT45" i="1"/>
  <c r="AT46" i="1"/>
  <c r="AT529" i="1"/>
  <c r="AT530" i="1"/>
  <c r="AT47" i="1"/>
  <c r="AT531" i="1"/>
  <c r="AT532" i="1"/>
  <c r="AT533" i="1"/>
  <c r="AT48" i="1"/>
  <c r="AT534" i="1"/>
  <c r="AT535" i="1"/>
  <c r="AT536" i="1"/>
  <c r="AT49" i="1"/>
  <c r="AT537" i="1"/>
  <c r="AT50" i="1"/>
  <c r="AT51" i="1"/>
  <c r="AT52" i="1"/>
  <c r="AT53" i="1"/>
  <c r="AT54" i="1"/>
  <c r="AT55" i="1"/>
  <c r="AT56" i="1"/>
  <c r="AT57" i="1"/>
  <c r="AT538" i="1"/>
  <c r="AT540" i="1"/>
  <c r="AT541" i="1"/>
  <c r="AT58" i="1"/>
  <c r="AT59" i="1"/>
  <c r="AT542" i="1"/>
  <c r="AT60" i="1"/>
  <c r="AT543" i="1"/>
  <c r="AT61" i="1"/>
  <c r="AT544" i="1"/>
  <c r="AT545" i="1"/>
  <c r="AT62" i="1"/>
  <c r="AT546" i="1"/>
  <c r="AT547" i="1"/>
  <c r="AT548" i="1"/>
  <c r="AT63" i="1"/>
  <c r="AT64" i="1"/>
  <c r="AT65" i="1"/>
  <c r="AT66" i="1"/>
  <c r="AT549" i="1"/>
  <c r="AT67" i="1"/>
  <c r="AT550" i="1"/>
  <c r="AT68" i="1"/>
  <c r="AT69" i="1"/>
  <c r="AT70" i="1"/>
  <c r="AT71" i="1"/>
  <c r="AT551" i="1"/>
  <c r="AT72" i="1"/>
  <c r="AT73" i="1"/>
  <c r="AT74" i="1"/>
  <c r="AT75" i="1"/>
  <c r="AT552" i="1"/>
  <c r="AT76" i="1"/>
  <c r="AT77" i="1"/>
  <c r="AT80" i="1"/>
  <c r="AT553" i="1"/>
  <c r="AT554" i="1"/>
  <c r="AT555" i="1"/>
  <c r="AT81" i="1"/>
  <c r="AT82" i="1"/>
  <c r="AT83" i="1"/>
  <c r="AT557" i="1"/>
  <c r="AT84" i="1"/>
  <c r="AT85" i="1"/>
  <c r="AT558" i="1"/>
  <c r="AT559" i="1"/>
  <c r="AT560" i="1"/>
  <c r="AT561" i="1"/>
  <c r="AT87" i="1"/>
  <c r="AT562" i="1"/>
  <c r="AT88" i="1"/>
  <c r="AT89" i="1"/>
  <c r="AT90" i="1"/>
  <c r="AT92" i="1"/>
  <c r="AT93" i="1"/>
  <c r="AT563" i="1"/>
  <c r="AT564" i="1"/>
  <c r="AT94" i="1"/>
  <c r="AT565" i="1"/>
  <c r="AT95" i="1"/>
  <c r="AT96" i="1"/>
  <c r="AT97" i="1"/>
  <c r="AT98" i="1"/>
  <c r="AT566" i="1"/>
  <c r="AT99" i="1"/>
  <c r="AT567" i="1"/>
  <c r="AT568" i="1"/>
  <c r="AT100" i="1"/>
  <c r="AT101" i="1"/>
  <c r="AT569" i="1"/>
  <c r="AT570" i="1"/>
  <c r="AT571" i="1"/>
  <c r="AT102" i="1"/>
  <c r="AT572" i="1"/>
  <c r="AT573" i="1"/>
  <c r="AT103" i="1"/>
  <c r="AT574" i="1"/>
  <c r="AT575" i="1"/>
  <c r="AT576" i="1"/>
  <c r="AT577" i="1"/>
  <c r="AT578" i="1"/>
  <c r="AT580" i="1"/>
  <c r="AT581" i="1"/>
  <c r="AT104" i="1"/>
  <c r="AT582" i="1"/>
  <c r="AT105" i="1"/>
  <c r="AT583" i="1"/>
  <c r="AT106" i="1"/>
  <c r="AT107" i="1"/>
  <c r="AT108" i="1"/>
  <c r="AT109" i="1"/>
  <c r="AT584" i="1"/>
  <c r="AT110" i="1"/>
  <c r="AT585" i="1"/>
  <c r="AT111" i="1"/>
  <c r="AT112" i="1"/>
  <c r="AT113" i="1"/>
  <c r="AT586" i="1"/>
  <c r="AT587" i="1"/>
  <c r="AT588" i="1"/>
  <c r="AT589" i="1"/>
  <c r="AT114" i="1"/>
  <c r="AT115" i="1"/>
  <c r="AT116" i="1"/>
  <c r="AT590" i="1"/>
  <c r="AT591" i="1"/>
  <c r="AT117" i="1"/>
  <c r="AT592" i="1"/>
  <c r="AT118" i="1"/>
  <c r="AT119" i="1"/>
  <c r="AT593" i="1"/>
  <c r="AT594" i="1"/>
  <c r="AT595" i="1"/>
  <c r="AT120" i="1"/>
  <c r="AT596" i="1"/>
  <c r="AT597" i="1"/>
  <c r="AT598" i="1"/>
  <c r="AT121" i="1"/>
  <c r="AT599" i="1"/>
  <c r="AT600" i="1"/>
  <c r="AT122" i="1"/>
  <c r="AT123" i="1"/>
  <c r="AT124" i="1"/>
  <c r="AT125" i="1"/>
  <c r="AT126" i="1"/>
  <c r="AT127" i="1"/>
  <c r="AT601" i="1"/>
  <c r="AT602" i="1"/>
  <c r="AT603" i="1"/>
  <c r="AT128" i="1"/>
  <c r="AT129" i="1"/>
  <c r="AT604" i="1"/>
  <c r="AT605" i="1"/>
  <c r="AT606" i="1"/>
  <c r="AT607" i="1"/>
  <c r="AT130" i="1"/>
  <c r="AT609" i="1"/>
  <c r="AT131" i="1"/>
  <c r="AT132" i="1"/>
  <c r="AT610" i="1"/>
  <c r="AT133" i="1"/>
  <c r="AT134" i="1"/>
  <c r="AT611" i="1"/>
  <c r="AT135" i="1"/>
  <c r="AT136" i="1"/>
  <c r="AT137" i="1"/>
  <c r="AT138" i="1"/>
  <c r="AT139" i="1"/>
  <c r="AT140" i="1"/>
  <c r="AT141" i="1"/>
  <c r="AT142" i="1"/>
  <c r="AT612" i="1"/>
  <c r="AT613" i="1"/>
  <c r="AT614" i="1"/>
  <c r="AT143" i="1"/>
  <c r="AT144" i="1"/>
  <c r="AT145" i="1"/>
  <c r="AT146" i="1"/>
  <c r="AT147" i="1"/>
  <c r="AT615" i="1"/>
  <c r="AT148" i="1"/>
  <c r="AT616" i="1"/>
  <c r="AT617" i="1"/>
  <c r="AT150" i="1"/>
  <c r="AT618" i="1"/>
  <c r="AT619" i="1"/>
  <c r="AT151" i="1"/>
  <c r="AT620" i="1"/>
  <c r="AT152" i="1"/>
  <c r="AT153" i="1"/>
  <c r="AT621" i="1"/>
  <c r="AT622" i="1"/>
  <c r="AT623" i="1"/>
  <c r="AT624" i="1"/>
  <c r="AT154" i="1"/>
  <c r="AT155" i="1"/>
  <c r="AT625" i="1"/>
  <c r="AT626" i="1"/>
  <c r="AT627" i="1"/>
  <c r="AT628" i="1"/>
  <c r="AT156" i="1"/>
  <c r="AT157" i="1"/>
  <c r="AT158" i="1"/>
  <c r="AT629" i="1"/>
  <c r="AT160" i="1"/>
  <c r="AT161" i="1"/>
  <c r="AT162" i="1"/>
  <c r="AT630" i="1"/>
  <c r="AT631" i="1"/>
  <c r="AT164" i="1"/>
  <c r="AT165" i="1"/>
  <c r="AT632" i="1"/>
  <c r="AT167" i="1"/>
  <c r="AT633" i="1"/>
  <c r="AT168" i="1"/>
  <c r="AT634" i="1"/>
  <c r="AT169" i="1"/>
  <c r="AT170" i="1"/>
  <c r="AT171" i="1"/>
  <c r="AT635" i="1"/>
  <c r="AT636" i="1"/>
  <c r="AT172" i="1"/>
  <c r="AT637" i="1"/>
  <c r="AT173" i="1"/>
  <c r="AT638" i="1"/>
  <c r="AT639" i="1"/>
  <c r="AT640" i="1"/>
  <c r="AT174" i="1"/>
  <c r="AT641" i="1"/>
  <c r="AT175" i="1"/>
  <c r="AT176" i="1"/>
  <c r="AT642" i="1"/>
  <c r="AT643" i="1"/>
  <c r="AT177" i="1"/>
  <c r="AT178" i="1"/>
  <c r="AT179" i="1"/>
  <c r="AT644" i="1"/>
  <c r="AT645" i="1"/>
  <c r="AT646" i="1"/>
  <c r="AT180" i="1"/>
  <c r="AT181" i="1"/>
  <c r="AT182" i="1"/>
  <c r="AT183" i="1"/>
  <c r="AT647" i="1"/>
  <c r="AT648" i="1"/>
  <c r="AT184" i="1"/>
  <c r="AT185" i="1"/>
  <c r="AT650" i="1"/>
  <c r="AT186" i="1"/>
  <c r="AT187" i="1"/>
  <c r="AT188" i="1"/>
  <c r="AT189" i="1"/>
  <c r="AT190" i="1"/>
  <c r="AT191" i="1"/>
  <c r="AT651" i="1"/>
  <c r="AT652" i="1"/>
  <c r="AT653" i="1"/>
  <c r="AT192" i="1"/>
  <c r="AT654" i="1"/>
  <c r="AT655" i="1"/>
  <c r="AT193" i="1"/>
  <c r="AT194" i="1"/>
  <c r="AT656" i="1"/>
  <c r="AT657" i="1"/>
  <c r="AT196" i="1"/>
  <c r="AT658" i="1"/>
  <c r="AT197" i="1"/>
  <c r="AT198" i="1"/>
  <c r="AT199" i="1"/>
  <c r="AT660" i="1"/>
  <c r="AT200" i="1"/>
  <c r="AT661" i="1"/>
  <c r="AT662" i="1"/>
  <c r="AT663" i="1"/>
  <c r="AT201" i="1"/>
  <c r="AT202" i="1"/>
  <c r="AT664" i="1"/>
  <c r="AT203" i="1"/>
  <c r="AT204" i="1"/>
  <c r="AT665" i="1"/>
  <c r="AT205" i="1"/>
  <c r="AT666" i="1"/>
  <c r="AT667" i="1"/>
  <c r="AT668" i="1"/>
  <c r="AT206" i="1"/>
  <c r="AT207" i="1"/>
  <c r="AT669" i="1"/>
  <c r="AT670" i="1"/>
  <c r="AT671" i="1"/>
  <c r="AT208" i="1"/>
  <c r="AT209" i="1"/>
  <c r="AT672" i="1"/>
  <c r="AT210" i="1"/>
  <c r="AT673" i="1"/>
  <c r="AT674" i="1"/>
  <c r="AT211" i="1"/>
  <c r="AT675" i="1"/>
  <c r="AT212" i="1"/>
  <c r="AT676" i="1"/>
  <c r="AT677" i="1"/>
  <c r="AT213" i="1"/>
  <c r="AT214" i="1"/>
  <c r="AT678" i="1"/>
  <c r="AT679" i="1"/>
  <c r="AT681" i="1"/>
  <c r="AT215" i="1"/>
  <c r="AT216" i="1"/>
  <c r="AT682" i="1"/>
  <c r="AT684" i="1"/>
  <c r="AT217" i="1"/>
  <c r="AT218" i="1"/>
  <c r="AT685" i="1"/>
  <c r="AT686" i="1"/>
  <c r="AT687" i="1"/>
  <c r="AT219" i="1"/>
  <c r="AT688" i="1"/>
  <c r="AT689" i="1"/>
  <c r="AT690" i="1"/>
  <c r="AT220" i="1"/>
  <c r="AT221" i="1"/>
  <c r="AT222" i="1"/>
  <c r="AT691" i="1"/>
  <c r="AT223" i="1"/>
  <c r="AT224" i="1"/>
  <c r="AT225" i="1"/>
  <c r="AT226" i="1"/>
  <c r="AT692" i="1"/>
  <c r="AT693" i="1"/>
  <c r="AT227" i="1"/>
  <c r="AT694" i="1"/>
  <c r="AT696" i="1"/>
  <c r="AT697" i="1"/>
  <c r="AT228" i="1"/>
  <c r="AT229" i="1"/>
  <c r="AT230" i="1"/>
  <c r="AT231" i="1"/>
  <c r="AT698" i="1"/>
  <c r="AT232" i="1"/>
  <c r="AT699" i="1"/>
  <c r="AT700" i="1"/>
  <c r="AT233" i="1"/>
  <c r="AT701" i="1"/>
  <c r="AT234" i="1"/>
  <c r="AT702" i="1"/>
  <c r="AT235" i="1"/>
  <c r="AT236" i="1"/>
  <c r="AT703" i="1"/>
  <c r="AT704" i="1"/>
  <c r="AT237" i="1"/>
  <c r="AT705" i="1"/>
  <c r="AT706" i="1"/>
  <c r="AT707" i="1"/>
  <c r="AT708" i="1"/>
  <c r="AT238" i="1"/>
  <c r="AT240" i="1"/>
  <c r="AT241" i="1"/>
  <c r="AT242" i="1"/>
  <c r="AT709" i="1"/>
  <c r="AT710" i="1"/>
  <c r="AT711" i="1"/>
  <c r="AT243" i="1"/>
  <c r="AT244" i="1"/>
  <c r="AT245" i="1"/>
  <c r="AT246" i="1"/>
  <c r="AT712" i="1"/>
  <c r="AT713" i="1"/>
  <c r="AT247" i="1"/>
  <c r="AT248" i="1"/>
  <c r="AT714" i="1"/>
  <c r="AT715" i="1"/>
  <c r="AT249" i="1"/>
  <c r="AT250" i="1"/>
  <c r="AT716" i="1"/>
  <c r="AT251" i="1"/>
  <c r="AT717" i="1"/>
  <c r="AT252" i="1"/>
  <c r="AT718" i="1"/>
  <c r="AT719" i="1"/>
  <c r="AT253" i="1"/>
  <c r="AT254" i="1"/>
  <c r="AT720" i="1"/>
  <c r="AT255" i="1"/>
  <c r="AT256" i="1"/>
  <c r="AT721" i="1"/>
  <c r="AT722" i="1"/>
  <c r="AT257" i="1"/>
  <c r="AT258" i="1"/>
  <c r="AT259" i="1"/>
  <c r="AT260" i="1"/>
  <c r="AT261" i="1"/>
  <c r="AT723" i="1"/>
  <c r="AT724" i="1"/>
  <c r="AT262" i="1"/>
  <c r="AT725" i="1"/>
  <c r="AT726" i="1"/>
  <c r="AT263" i="1"/>
  <c r="AT264" i="1"/>
  <c r="AT265" i="1"/>
  <c r="AT727" i="1"/>
  <c r="AT266" i="1"/>
  <c r="AT267" i="1"/>
  <c r="AT268" i="1"/>
  <c r="AT269" i="1"/>
  <c r="AT270" i="1"/>
  <c r="AT271" i="1"/>
  <c r="AT728" i="1"/>
  <c r="AT272" i="1"/>
  <c r="AT729" i="1"/>
  <c r="AT273" i="1"/>
  <c r="AT274" i="1"/>
  <c r="AT730" i="1"/>
  <c r="AT731" i="1"/>
  <c r="AT275" i="1"/>
  <c r="AT276" i="1"/>
  <c r="AT277" i="1"/>
  <c r="AT732" i="1"/>
  <c r="AT733" i="1"/>
  <c r="AT734" i="1"/>
  <c r="AT278" i="1"/>
  <c r="AT279" i="1"/>
  <c r="AT280" i="1"/>
  <c r="AT735" i="1"/>
  <c r="AT736" i="1"/>
  <c r="AT737" i="1"/>
  <c r="AT281" i="1"/>
  <c r="AT282" i="1"/>
  <c r="AT738" i="1"/>
  <c r="AT283" i="1"/>
  <c r="AT739" i="1"/>
  <c r="AT284" i="1"/>
  <c r="AT285" i="1"/>
  <c r="AT286" i="1"/>
  <c r="AT287" i="1"/>
  <c r="AT289" i="1"/>
  <c r="AT740" i="1"/>
  <c r="AT290" i="1"/>
  <c r="AT291" i="1"/>
  <c r="AT741" i="1"/>
  <c r="AT292" i="1"/>
  <c r="AT742" i="1"/>
  <c r="AT293" i="1"/>
  <c r="AT294" i="1"/>
  <c r="AT743" i="1"/>
  <c r="AT744" i="1"/>
  <c r="AT295" i="1"/>
  <c r="AT745" i="1"/>
  <c r="AT296" i="1"/>
  <c r="AT746" i="1"/>
  <c r="AT747" i="1"/>
  <c r="AT748" i="1"/>
  <c r="AT297" i="1"/>
  <c r="AT749" i="1"/>
  <c r="AT750" i="1"/>
  <c r="AT298" i="1"/>
  <c r="AT299" i="1"/>
  <c r="AT300" i="1"/>
  <c r="AT751" i="1"/>
  <c r="AT752" i="1"/>
  <c r="AT301" i="1"/>
  <c r="AT302" i="1"/>
  <c r="AT753" i="1"/>
  <c r="AT303" i="1"/>
  <c r="AT754" i="1"/>
  <c r="AT304" i="1"/>
  <c r="AT755" i="1"/>
  <c r="AT305" i="1"/>
  <c r="AT756" i="1"/>
  <c r="AT306" i="1"/>
  <c r="AT307" i="1"/>
  <c r="AT757" i="1"/>
  <c r="AT308" i="1"/>
  <c r="AT758" i="1"/>
  <c r="AT309" i="1"/>
  <c r="AT310" i="1"/>
  <c r="AT759" i="1"/>
  <c r="AT311" i="1"/>
  <c r="AT760" i="1"/>
  <c r="AT312" i="1"/>
  <c r="AT313" i="1"/>
  <c r="AT761" i="1"/>
  <c r="AT314" i="1"/>
  <c r="AT315" i="1"/>
  <c r="AT763" i="1"/>
  <c r="AT764" i="1"/>
  <c r="AT316" i="1"/>
  <c r="AT765" i="1"/>
  <c r="AT317" i="1"/>
  <c r="AT318" i="1"/>
  <c r="AT766" i="1"/>
  <c r="AT767" i="1"/>
  <c r="AT319" i="1"/>
  <c r="AT768" i="1"/>
  <c r="AT320" i="1"/>
  <c r="AT321" i="1"/>
  <c r="AT322" i="1"/>
  <c r="AT769" i="1"/>
  <c r="AT323" i="1"/>
  <c r="AT324" i="1"/>
  <c r="AT325" i="1"/>
  <c r="AT770" i="1"/>
  <c r="AT771" i="1"/>
  <c r="AT772" i="1"/>
  <c r="AT326" i="1"/>
  <c r="AT774" i="1"/>
  <c r="AT327" i="1"/>
  <c r="AT775" i="1"/>
  <c r="AT328" i="1"/>
  <c r="AT776" i="1"/>
  <c r="AT329" i="1"/>
  <c r="AT330" i="1"/>
  <c r="AT777" i="1"/>
  <c r="AT778" i="1"/>
  <c r="AT331" i="1"/>
  <c r="AT332" i="1"/>
  <c r="AT333" i="1"/>
  <c r="AT779" i="1"/>
  <c r="AT780" i="1"/>
  <c r="AT781" i="1"/>
  <c r="AT782" i="1"/>
  <c r="AT334" i="1"/>
  <c r="AT335" i="1"/>
  <c r="AT336" i="1"/>
  <c r="AT337" i="1"/>
  <c r="AT783" i="1"/>
  <c r="AT338" i="1"/>
  <c r="AT784" i="1"/>
  <c r="AT339" i="1"/>
  <c r="AT785" i="1"/>
  <c r="AT340" i="1"/>
  <c r="AT342" i="1"/>
  <c r="AT786" i="1"/>
  <c r="AT343" i="1"/>
  <c r="AT344" i="1"/>
  <c r="AT787" i="1"/>
  <c r="AT788" i="1"/>
  <c r="AT789" i="1"/>
  <c r="AT790" i="1"/>
  <c r="AT791" i="1"/>
  <c r="AT345" i="1"/>
  <c r="AT792" i="1"/>
  <c r="AT346" i="1"/>
  <c r="AT793" i="1"/>
  <c r="AT794" i="1"/>
  <c r="AT347" i="1"/>
  <c r="AT348" i="1"/>
  <c r="AT349" i="1"/>
  <c r="AT350" i="1"/>
  <c r="AT351" i="1"/>
  <c r="AT352" i="1"/>
  <c r="AT353" i="1"/>
  <c r="AT354" i="1"/>
  <c r="AT355" i="1"/>
  <c r="AT795" i="1"/>
  <c r="AT356" i="1"/>
  <c r="AT357" i="1"/>
  <c r="AT358" i="1"/>
  <c r="AT796" i="1"/>
  <c r="AT797" i="1"/>
  <c r="AT798" i="1"/>
  <c r="AT799" i="1"/>
  <c r="AT359" i="1"/>
  <c r="AT360" i="1"/>
  <c r="AT800" i="1"/>
  <c r="AT802" i="1"/>
  <c r="AT803" i="1"/>
  <c r="AT361" i="1"/>
  <c r="AT362" i="1"/>
  <c r="AT363" i="1"/>
  <c r="AT364" i="1"/>
  <c r="AT365" i="1"/>
  <c r="AT804" i="1"/>
  <c r="AT805" i="1"/>
  <c r="AT366" i="1"/>
  <c r="AT367" i="1"/>
  <c r="AT806" i="1"/>
  <c r="AT368" i="1"/>
  <c r="AT369" i="1"/>
  <c r="AT807" i="1"/>
  <c r="AT370" i="1"/>
  <c r="AT808" i="1"/>
  <c r="AT371" i="1"/>
  <c r="AT809" i="1"/>
  <c r="AT810" i="1"/>
  <c r="AT811" i="1"/>
  <c r="AT812" i="1"/>
  <c r="AT813" i="1"/>
  <c r="AT372" i="1"/>
  <c r="AT814" i="1"/>
  <c r="AT815" i="1"/>
  <c r="AT816" i="1"/>
  <c r="AT817" i="1"/>
  <c r="AT373" i="1"/>
  <c r="AT374" i="1"/>
  <c r="AT375" i="1"/>
  <c r="AT376" i="1"/>
  <c r="AT818" i="1"/>
  <c r="AT377" i="1"/>
  <c r="AT819" i="1"/>
  <c r="AT378" i="1"/>
  <c r="AT379" i="1"/>
  <c r="AT820" i="1"/>
  <c r="AT380" i="1"/>
  <c r="AT381" i="1"/>
  <c r="AT821" i="1"/>
  <c r="AT382" i="1"/>
  <c r="AT822" i="1"/>
  <c r="AT823" i="1"/>
  <c r="AT383" i="1"/>
  <c r="AT384" i="1"/>
  <c r="AT825" i="1"/>
  <c r="AT385" i="1"/>
  <c r="AT386" i="1"/>
  <c r="AT826" i="1"/>
  <c r="AT827" i="1"/>
  <c r="AT828" i="1"/>
  <c r="AT829" i="1"/>
  <c r="AT387" i="1"/>
  <c r="AT830" i="1"/>
  <c r="AT831" i="1"/>
  <c r="AT388" i="1"/>
  <c r="AT389" i="1"/>
  <c r="AT390" i="1"/>
  <c r="AT832" i="1"/>
  <c r="AT833" i="1"/>
  <c r="AT834" i="1"/>
  <c r="AT391" i="1"/>
  <c r="AT836" i="1"/>
  <c r="AT837" i="1"/>
  <c r="AT392" i="1"/>
  <c r="AT393" i="1"/>
  <c r="AT394" i="1"/>
  <c r="AT395" i="1"/>
  <c r="AT838" i="1"/>
  <c r="AT396" i="1"/>
  <c r="AT397" i="1"/>
  <c r="AT399" i="1"/>
  <c r="AT400" i="1"/>
  <c r="AT839" i="1"/>
  <c r="AT840" i="1"/>
  <c r="AT841" i="1"/>
  <c r="AT401" i="1"/>
  <c r="AT842" i="1"/>
  <c r="AT402" i="1"/>
  <c r="AT843" i="1"/>
  <c r="AT844" i="1"/>
  <c r="AT845" i="1"/>
  <c r="AT846" i="1"/>
  <c r="AT847" i="1"/>
  <c r="AT404" i="1"/>
  <c r="AT848" i="1"/>
  <c r="AT405" i="1"/>
  <c r="AT850" i="1"/>
  <c r="AT406" i="1"/>
  <c r="AT851" i="1"/>
  <c r="AT407" i="1"/>
  <c r="AT852" i="1"/>
  <c r="AT408" i="1"/>
  <c r="AT409" i="1"/>
  <c r="AT410" i="1"/>
  <c r="AT853" i="1"/>
  <c r="AT855" i="1"/>
  <c r="AT411" i="1"/>
  <c r="AT412" i="1"/>
  <c r="AT413" i="1"/>
  <c r="AT414" i="1"/>
  <c r="AT415" i="1"/>
  <c r="AT416" i="1"/>
  <c r="AT417" i="1"/>
  <c r="AT856" i="1"/>
  <c r="AT418" i="1"/>
  <c r="AT419" i="1"/>
  <c r="AT857" i="1"/>
  <c r="AT420" i="1"/>
  <c r="AT858" i="1"/>
  <c r="AT859" i="1"/>
  <c r="AT421" i="1"/>
  <c r="AT860" i="1"/>
  <c r="AT422" i="1"/>
  <c r="AT423" i="1"/>
  <c r="AT424" i="1"/>
  <c r="AT861" i="1"/>
  <c r="AT862" i="1"/>
  <c r="AT425" i="1"/>
  <c r="AT426" i="1"/>
  <c r="AT863" i="1"/>
  <c r="AT864" i="1"/>
  <c r="AT427" i="1"/>
  <c r="AT865" i="1"/>
  <c r="AT428" i="1"/>
  <c r="AT429" i="1"/>
  <c r="AT430" i="1"/>
  <c r="AT866" i="1"/>
  <c r="AT431" i="1"/>
  <c r="AT867" i="1"/>
  <c r="AT868" i="1"/>
  <c r="AT869" i="1"/>
  <c r="AT432" i="1"/>
  <c r="AT433" i="1"/>
  <c r="AT870" i="1"/>
  <c r="AT434" i="1"/>
  <c r="AT435" i="1"/>
  <c r="AT436" i="1"/>
  <c r="AT871" i="1"/>
  <c r="AT872" i="1"/>
  <c r="AT873" i="1"/>
  <c r="AT437" i="1"/>
  <c r="AT874" i="1"/>
  <c r="AT438" i="1"/>
  <c r="AT439" i="1"/>
  <c r="AT440" i="1"/>
  <c r="AT441" i="1"/>
  <c r="AT442" i="1"/>
  <c r="AT875" i="1"/>
  <c r="AT443" i="1"/>
  <c r="AT876" i="1"/>
  <c r="AT444" i="1"/>
  <c r="AT877" i="1"/>
  <c r="AT445" i="1"/>
  <c r="AT446" i="1"/>
  <c r="AT878" i="1"/>
  <c r="AT447" i="1"/>
  <c r="AT448" i="1"/>
  <c r="AT879" i="1"/>
  <c r="AT449" i="1"/>
  <c r="AT880" i="1"/>
  <c r="AT450" i="1"/>
  <c r="AT451" i="1"/>
  <c r="AT452" i="1"/>
  <c r="AT881" i="1"/>
  <c r="AT453" i="1"/>
  <c r="AT454" i="1"/>
  <c r="AT882" i="1"/>
  <c r="AT883" i="1"/>
  <c r="AT455" i="1"/>
  <c r="AT884" i="1"/>
  <c r="AT885" i="1"/>
  <c r="AT456" i="1"/>
  <c r="AT886" i="1"/>
  <c r="AT887" i="1"/>
  <c r="AT888" i="1"/>
  <c r="AT457" i="1"/>
  <c r="AT458" i="1"/>
  <c r="AT459" i="1"/>
  <c r="AT889" i="1"/>
  <c r="AT890" i="1"/>
  <c r="AT460" i="1"/>
  <c r="AT461" i="1"/>
  <c r="AT891" i="1"/>
  <c r="AT462" i="1"/>
  <c r="AT463" i="1"/>
  <c r="AT892" i="1"/>
  <c r="AT464" i="1"/>
  <c r="AT465" i="1"/>
  <c r="AT893" i="1"/>
  <c r="AT894" i="1"/>
  <c r="AT895" i="1"/>
  <c r="AT896" i="1"/>
  <c r="AT466" i="1"/>
  <c r="AT897" i="1"/>
  <c r="AT467" i="1"/>
  <c r="AT898" i="1"/>
  <c r="AT899" i="1"/>
  <c r="AT900" i="1"/>
  <c r="AT468" i="1"/>
  <c r="AT469" i="1"/>
  <c r="AT901" i="1"/>
  <c r="AT470" i="1"/>
  <c r="AT902" i="1"/>
  <c r="AT903" i="1"/>
  <c r="AT471" i="1"/>
  <c r="AT904" i="1"/>
  <c r="AT905" i="1"/>
  <c r="AT472" i="1"/>
  <c r="AT906" i="1"/>
  <c r="AT907" i="1"/>
  <c r="AT473" i="1"/>
  <c r="AT474" i="1"/>
  <c r="AT908" i="1"/>
  <c r="AT909" i="1"/>
  <c r="AT475" i="1"/>
  <c r="AT477" i="1"/>
  <c r="AT478" i="1"/>
  <c r="AT479" i="1"/>
  <c r="AT910" i="1"/>
  <c r="AT911" i="1"/>
  <c r="AT480" i="1"/>
  <c r="AT481" i="1"/>
  <c r="AT482" i="1"/>
  <c r="AT483" i="1"/>
  <c r="AT484" i="1"/>
  <c r="AT485" i="1"/>
  <c r="AT912" i="1"/>
  <c r="AT913" i="1"/>
  <c r="AT914" i="1"/>
  <c r="AT915" i="1"/>
  <c r="AT916" i="1"/>
  <c r="AT917" i="1"/>
  <c r="AT486" i="1"/>
  <c r="AT918" i="1"/>
  <c r="AT919" i="1"/>
  <c r="AT920" i="1"/>
  <c r="AT487" i="1"/>
  <c r="AT488" i="1"/>
  <c r="AT921" i="1"/>
  <c r="AT922" i="1"/>
  <c r="AT489" i="1"/>
  <c r="AT490" i="1"/>
  <c r="AT923" i="1"/>
  <c r="AT491" i="1"/>
  <c r="AT924" i="1"/>
  <c r="AT492" i="1"/>
  <c r="AT493" i="1"/>
  <c r="AT925" i="1"/>
  <c r="AT926" i="1"/>
  <c r="AT927" i="1"/>
  <c r="AT494" i="1"/>
  <c r="AT928" i="1"/>
  <c r="AT495" i="1"/>
  <c r="AT929" i="1"/>
  <c r="AT930" i="1"/>
  <c r="AT496" i="1"/>
  <c r="AT497" i="1"/>
  <c r="AT931" i="1"/>
  <c r="AT498" i="1"/>
  <c r="AT499" i="1"/>
  <c r="AT500" i="1"/>
  <c r="AT501" i="1"/>
  <c r="AT932" i="1"/>
  <c r="AT502" i="1"/>
  <c r="AT933" i="1"/>
  <c r="AT195" i="1"/>
  <c r="AT539" i="1"/>
  <c r="AT680" i="1"/>
  <c r="AT608" i="1"/>
  <c r="AT649" i="1"/>
  <c r="AT579" i="1"/>
  <c r="AT239" i="1"/>
  <c r="AT773" i="1"/>
  <c r="AT91" i="1"/>
  <c r="AT159" i="1"/>
  <c r="AT79" i="1"/>
  <c r="AT659" i="1"/>
  <c r="AT2" i="1"/>
  <c r="AQ3" i="1"/>
  <c r="AQ4" i="1"/>
  <c r="AQ5" i="1"/>
  <c r="AQ503" i="1"/>
  <c r="AQ6" i="1"/>
  <c r="AQ504" i="1"/>
  <c r="AQ506" i="1"/>
  <c r="AQ7" i="1"/>
  <c r="AQ507" i="1"/>
  <c r="AQ508" i="1"/>
  <c r="AQ8" i="1"/>
  <c r="AQ9" i="1"/>
  <c r="AQ509" i="1"/>
  <c r="AQ10" i="1"/>
  <c r="AQ11" i="1"/>
  <c r="AQ12" i="1"/>
  <c r="AQ13" i="1"/>
  <c r="AQ510" i="1"/>
  <c r="AQ14" i="1"/>
  <c r="AQ511" i="1"/>
  <c r="AQ512" i="1"/>
  <c r="AQ513" i="1"/>
  <c r="AQ514" i="1"/>
  <c r="AQ15" i="1"/>
  <c r="AQ16" i="1"/>
  <c r="AQ17" i="1"/>
  <c r="AQ515" i="1"/>
  <c r="AQ18" i="1"/>
  <c r="AQ516" i="1"/>
  <c r="AQ19" i="1"/>
  <c r="AQ517" i="1"/>
  <c r="AQ20" i="1"/>
  <c r="AQ21" i="1"/>
  <c r="AQ518" i="1"/>
  <c r="AQ22" i="1"/>
  <c r="AQ23" i="1"/>
  <c r="AQ519" i="1"/>
  <c r="AQ24" i="1"/>
  <c r="AQ25" i="1"/>
  <c r="AQ26" i="1"/>
  <c r="AQ27" i="1"/>
  <c r="AQ520" i="1"/>
  <c r="AQ28" i="1"/>
  <c r="AQ29" i="1"/>
  <c r="AQ30" i="1"/>
  <c r="AQ31" i="1"/>
  <c r="AQ32" i="1"/>
  <c r="AQ521" i="1"/>
  <c r="AQ33" i="1"/>
  <c r="AQ522" i="1"/>
  <c r="AQ34" i="1"/>
  <c r="AQ35" i="1"/>
  <c r="AQ523" i="1"/>
  <c r="AQ524" i="1"/>
  <c r="AQ525" i="1"/>
  <c r="AQ526" i="1"/>
  <c r="AQ36" i="1"/>
  <c r="AQ37" i="1"/>
  <c r="AQ38" i="1"/>
  <c r="AQ39" i="1"/>
  <c r="AQ40" i="1"/>
  <c r="AQ41" i="1"/>
  <c r="AQ42" i="1"/>
  <c r="AQ43" i="1"/>
  <c r="AQ44" i="1"/>
  <c r="AQ527" i="1"/>
  <c r="AQ528" i="1"/>
  <c r="AQ45" i="1"/>
  <c r="AQ46" i="1"/>
  <c r="AQ529" i="1"/>
  <c r="AQ530" i="1"/>
  <c r="AQ47" i="1"/>
  <c r="AQ531" i="1"/>
  <c r="AQ532" i="1"/>
  <c r="AQ533" i="1"/>
  <c r="AQ48" i="1"/>
  <c r="AQ534" i="1"/>
  <c r="AQ535" i="1"/>
  <c r="AQ536" i="1"/>
  <c r="AQ49" i="1"/>
  <c r="AQ537" i="1"/>
  <c r="AQ50" i="1"/>
  <c r="AQ51" i="1"/>
  <c r="AQ52" i="1"/>
  <c r="AQ53" i="1"/>
  <c r="AQ54" i="1"/>
  <c r="AQ55" i="1"/>
  <c r="AQ56" i="1"/>
  <c r="AQ57" i="1"/>
  <c r="AQ538" i="1"/>
  <c r="AQ540" i="1"/>
  <c r="AQ541" i="1"/>
  <c r="AQ58" i="1"/>
  <c r="AQ59" i="1"/>
  <c r="AQ542" i="1"/>
  <c r="AQ60" i="1"/>
  <c r="AQ543" i="1"/>
  <c r="AQ61" i="1"/>
  <c r="AQ544" i="1"/>
  <c r="AQ545" i="1"/>
  <c r="AQ62" i="1"/>
  <c r="AQ546" i="1"/>
  <c r="AQ547" i="1"/>
  <c r="AQ548" i="1"/>
  <c r="AQ63" i="1"/>
  <c r="AQ64" i="1"/>
  <c r="AQ65" i="1"/>
  <c r="AQ66" i="1"/>
  <c r="AQ549" i="1"/>
  <c r="AQ67" i="1"/>
  <c r="AQ550" i="1"/>
  <c r="AQ68" i="1"/>
  <c r="AQ69" i="1"/>
  <c r="AQ70" i="1"/>
  <c r="AQ71" i="1"/>
  <c r="AQ551" i="1"/>
  <c r="AQ72" i="1"/>
  <c r="AQ73" i="1"/>
  <c r="AQ74" i="1"/>
  <c r="AQ75" i="1"/>
  <c r="AQ552" i="1"/>
  <c r="AQ76" i="1"/>
  <c r="AQ77" i="1"/>
  <c r="AQ80" i="1"/>
  <c r="AQ553" i="1"/>
  <c r="AQ554" i="1"/>
  <c r="AQ555" i="1"/>
  <c r="AQ81" i="1"/>
  <c r="AQ82" i="1"/>
  <c r="AQ83" i="1"/>
  <c r="AQ557" i="1"/>
  <c r="AQ84" i="1"/>
  <c r="AQ85" i="1"/>
  <c r="AQ558" i="1"/>
  <c r="AQ559" i="1"/>
  <c r="AQ560" i="1"/>
  <c r="AQ561" i="1"/>
  <c r="AQ87" i="1"/>
  <c r="AQ562" i="1"/>
  <c r="AQ88" i="1"/>
  <c r="AQ89" i="1"/>
  <c r="AQ90" i="1"/>
  <c r="AQ92" i="1"/>
  <c r="AQ93" i="1"/>
  <c r="AQ563" i="1"/>
  <c r="AQ564" i="1"/>
  <c r="AQ94" i="1"/>
  <c r="AQ565" i="1"/>
  <c r="AQ95" i="1"/>
  <c r="AQ96" i="1"/>
  <c r="AQ97" i="1"/>
  <c r="AQ98" i="1"/>
  <c r="AQ566" i="1"/>
  <c r="AQ99" i="1"/>
  <c r="AQ567" i="1"/>
  <c r="AQ568" i="1"/>
  <c r="AQ100" i="1"/>
  <c r="AQ101" i="1"/>
  <c r="AQ569" i="1"/>
  <c r="AQ570" i="1"/>
  <c r="AQ571" i="1"/>
  <c r="AQ102" i="1"/>
  <c r="AQ572" i="1"/>
  <c r="AQ573" i="1"/>
  <c r="AQ103" i="1"/>
  <c r="AQ574" i="1"/>
  <c r="AQ575" i="1"/>
  <c r="AQ576" i="1"/>
  <c r="AQ577" i="1"/>
  <c r="AQ578" i="1"/>
  <c r="AQ580" i="1"/>
  <c r="AQ581" i="1"/>
  <c r="AQ104" i="1"/>
  <c r="AQ582" i="1"/>
  <c r="AQ105" i="1"/>
  <c r="AQ583" i="1"/>
  <c r="AQ106" i="1"/>
  <c r="AQ107" i="1"/>
  <c r="AQ108" i="1"/>
  <c r="AQ109" i="1"/>
  <c r="AQ584" i="1"/>
  <c r="AQ110" i="1"/>
  <c r="AQ585" i="1"/>
  <c r="AQ111" i="1"/>
  <c r="AQ112" i="1"/>
  <c r="AQ113" i="1"/>
  <c r="AQ586" i="1"/>
  <c r="AQ587" i="1"/>
  <c r="AQ588" i="1"/>
  <c r="AQ589" i="1"/>
  <c r="AQ114" i="1"/>
  <c r="AQ115" i="1"/>
  <c r="AQ116" i="1"/>
  <c r="AQ590" i="1"/>
  <c r="AQ591" i="1"/>
  <c r="AQ117" i="1"/>
  <c r="AQ592" i="1"/>
  <c r="AQ118" i="1"/>
  <c r="AQ119" i="1"/>
  <c r="AQ593" i="1"/>
  <c r="AQ594" i="1"/>
  <c r="AQ595" i="1"/>
  <c r="AQ120" i="1"/>
  <c r="AQ596" i="1"/>
  <c r="AQ597" i="1"/>
  <c r="AQ598" i="1"/>
  <c r="AQ121" i="1"/>
  <c r="AQ599" i="1"/>
  <c r="AQ600" i="1"/>
  <c r="AQ122" i="1"/>
  <c r="AQ123" i="1"/>
  <c r="AQ124" i="1"/>
  <c r="AQ125" i="1"/>
  <c r="AQ126" i="1"/>
  <c r="AQ127" i="1"/>
  <c r="AQ601" i="1"/>
  <c r="AQ602" i="1"/>
  <c r="AQ603" i="1"/>
  <c r="AQ128" i="1"/>
  <c r="AQ129" i="1"/>
  <c r="AQ604" i="1"/>
  <c r="AQ605" i="1"/>
  <c r="AQ606" i="1"/>
  <c r="AQ607" i="1"/>
  <c r="AQ130" i="1"/>
  <c r="AQ609" i="1"/>
  <c r="AQ131" i="1"/>
  <c r="AQ132" i="1"/>
  <c r="AQ610" i="1"/>
  <c r="AQ133" i="1"/>
  <c r="AQ134" i="1"/>
  <c r="AQ611" i="1"/>
  <c r="AQ135" i="1"/>
  <c r="AQ136" i="1"/>
  <c r="AQ137" i="1"/>
  <c r="AQ138" i="1"/>
  <c r="AQ139" i="1"/>
  <c r="AQ140" i="1"/>
  <c r="AQ141" i="1"/>
  <c r="AQ142" i="1"/>
  <c r="AQ612" i="1"/>
  <c r="AQ613" i="1"/>
  <c r="AQ614" i="1"/>
  <c r="AQ143" i="1"/>
  <c r="AQ144" i="1"/>
  <c r="AQ145" i="1"/>
  <c r="AQ146" i="1"/>
  <c r="AQ147" i="1"/>
  <c r="AQ615" i="1"/>
  <c r="AQ148" i="1"/>
  <c r="AQ616" i="1"/>
  <c r="AQ617" i="1"/>
  <c r="AQ150" i="1"/>
  <c r="AQ618" i="1"/>
  <c r="AQ619" i="1"/>
  <c r="AQ151" i="1"/>
  <c r="AQ620" i="1"/>
  <c r="AQ152" i="1"/>
  <c r="AQ153" i="1"/>
  <c r="AQ621" i="1"/>
  <c r="AQ622" i="1"/>
  <c r="AQ623" i="1"/>
  <c r="AQ624" i="1"/>
  <c r="AQ154" i="1"/>
  <c r="AQ155" i="1"/>
  <c r="AQ625" i="1"/>
  <c r="AQ626" i="1"/>
  <c r="AQ627" i="1"/>
  <c r="AQ628" i="1"/>
  <c r="AQ156" i="1"/>
  <c r="AQ157" i="1"/>
  <c r="AQ158" i="1"/>
  <c r="AQ629" i="1"/>
  <c r="AQ160" i="1"/>
  <c r="AQ161" i="1"/>
  <c r="AQ162" i="1"/>
  <c r="AQ630" i="1"/>
  <c r="AQ631" i="1"/>
  <c r="AQ164" i="1"/>
  <c r="AQ165" i="1"/>
  <c r="AQ632" i="1"/>
  <c r="AQ167" i="1"/>
  <c r="AQ633" i="1"/>
  <c r="AQ168" i="1"/>
  <c r="AQ634" i="1"/>
  <c r="AQ169" i="1"/>
  <c r="AQ170" i="1"/>
  <c r="AQ171" i="1"/>
  <c r="AQ635" i="1"/>
  <c r="AQ636" i="1"/>
  <c r="AQ172" i="1"/>
  <c r="AQ637" i="1"/>
  <c r="AQ173" i="1"/>
  <c r="AQ638" i="1"/>
  <c r="AQ639" i="1"/>
  <c r="AQ640" i="1"/>
  <c r="AQ174" i="1"/>
  <c r="AQ641" i="1"/>
  <c r="AQ175" i="1"/>
  <c r="AQ176" i="1"/>
  <c r="AQ642" i="1"/>
  <c r="AQ643" i="1"/>
  <c r="AQ177" i="1"/>
  <c r="AQ178" i="1"/>
  <c r="AQ179" i="1"/>
  <c r="AQ644" i="1"/>
  <c r="AQ645" i="1"/>
  <c r="AQ646" i="1"/>
  <c r="AQ180" i="1"/>
  <c r="AQ181" i="1"/>
  <c r="AQ182" i="1"/>
  <c r="AQ183" i="1"/>
  <c r="AQ647" i="1"/>
  <c r="AQ648" i="1"/>
  <c r="AQ184" i="1"/>
  <c r="AQ185" i="1"/>
  <c r="AQ650" i="1"/>
  <c r="AQ186" i="1"/>
  <c r="AQ187" i="1"/>
  <c r="AQ188" i="1"/>
  <c r="AQ189" i="1"/>
  <c r="AQ190" i="1"/>
  <c r="AQ191" i="1"/>
  <c r="AQ651" i="1"/>
  <c r="AQ652" i="1"/>
  <c r="AQ653" i="1"/>
  <c r="AQ192" i="1"/>
  <c r="AQ654" i="1"/>
  <c r="AQ655" i="1"/>
  <c r="AQ193" i="1"/>
  <c r="AQ194" i="1"/>
  <c r="AQ656" i="1"/>
  <c r="AQ657" i="1"/>
  <c r="AQ196" i="1"/>
  <c r="AQ658" i="1"/>
  <c r="AQ197" i="1"/>
  <c r="AQ198" i="1"/>
  <c r="AQ199" i="1"/>
  <c r="AQ660" i="1"/>
  <c r="AQ200" i="1"/>
  <c r="AQ661" i="1"/>
  <c r="AQ662" i="1"/>
  <c r="AQ663" i="1"/>
  <c r="AQ201" i="1"/>
  <c r="AQ202" i="1"/>
  <c r="AQ664" i="1"/>
  <c r="AQ203" i="1"/>
  <c r="AQ204" i="1"/>
  <c r="AQ665" i="1"/>
  <c r="AQ205" i="1"/>
  <c r="AQ666" i="1"/>
  <c r="AQ667" i="1"/>
  <c r="AQ668" i="1"/>
  <c r="AQ206" i="1"/>
  <c r="AQ207" i="1"/>
  <c r="AQ669" i="1"/>
  <c r="AQ670" i="1"/>
  <c r="AQ671" i="1"/>
  <c r="AQ208" i="1"/>
  <c r="AQ209" i="1"/>
  <c r="AQ672" i="1"/>
  <c r="AQ210" i="1"/>
  <c r="AQ673" i="1"/>
  <c r="AQ674" i="1"/>
  <c r="AQ211" i="1"/>
  <c r="AQ675" i="1"/>
  <c r="AQ212" i="1"/>
  <c r="AQ676" i="1"/>
  <c r="AQ677" i="1"/>
  <c r="AQ213" i="1"/>
  <c r="AQ214" i="1"/>
  <c r="AQ678" i="1"/>
  <c r="AQ679" i="1"/>
  <c r="AQ681" i="1"/>
  <c r="AQ215" i="1"/>
  <c r="AQ216" i="1"/>
  <c r="AQ682" i="1"/>
  <c r="AQ684" i="1"/>
  <c r="AQ217" i="1"/>
  <c r="AQ218" i="1"/>
  <c r="AQ685" i="1"/>
  <c r="AQ686" i="1"/>
  <c r="AQ687" i="1"/>
  <c r="AQ219" i="1"/>
  <c r="AQ688" i="1"/>
  <c r="AQ689" i="1"/>
  <c r="AQ690" i="1"/>
  <c r="AQ220" i="1"/>
  <c r="AQ221" i="1"/>
  <c r="AQ222" i="1"/>
  <c r="AQ691" i="1"/>
  <c r="AQ223" i="1"/>
  <c r="AQ224" i="1"/>
  <c r="AQ225" i="1"/>
  <c r="AQ226" i="1"/>
  <c r="AQ692" i="1"/>
  <c r="AQ693" i="1"/>
  <c r="AQ227" i="1"/>
  <c r="AQ694" i="1"/>
  <c r="AQ696" i="1"/>
  <c r="AQ697" i="1"/>
  <c r="AQ228" i="1"/>
  <c r="AQ229" i="1"/>
  <c r="AQ230" i="1"/>
  <c r="AQ231" i="1"/>
  <c r="AQ698" i="1"/>
  <c r="AQ232" i="1"/>
  <c r="AQ699" i="1"/>
  <c r="AQ700" i="1"/>
  <c r="AQ233" i="1"/>
  <c r="AQ701" i="1"/>
  <c r="AQ234" i="1"/>
  <c r="AQ702" i="1"/>
  <c r="AQ235" i="1"/>
  <c r="AQ236" i="1"/>
  <c r="AQ703" i="1"/>
  <c r="AQ704" i="1"/>
  <c r="AQ237" i="1"/>
  <c r="AQ705" i="1"/>
  <c r="AQ706" i="1"/>
  <c r="AQ707" i="1"/>
  <c r="AQ708" i="1"/>
  <c r="AQ238" i="1"/>
  <c r="AQ240" i="1"/>
  <c r="AQ241" i="1"/>
  <c r="AQ242" i="1"/>
  <c r="AQ709" i="1"/>
  <c r="AQ710" i="1"/>
  <c r="AQ711" i="1"/>
  <c r="AQ243" i="1"/>
  <c r="AQ244" i="1"/>
  <c r="AQ245" i="1"/>
  <c r="AQ246" i="1"/>
  <c r="AQ712" i="1"/>
  <c r="AQ713" i="1"/>
  <c r="AQ247" i="1"/>
  <c r="AQ248" i="1"/>
  <c r="AQ714" i="1"/>
  <c r="AQ715" i="1"/>
  <c r="AQ249" i="1"/>
  <c r="AQ250" i="1"/>
  <c r="AQ716" i="1"/>
  <c r="AQ251" i="1"/>
  <c r="AQ717" i="1"/>
  <c r="AQ252" i="1"/>
  <c r="AQ718" i="1"/>
  <c r="AQ719" i="1"/>
  <c r="AQ253" i="1"/>
  <c r="AQ254" i="1"/>
  <c r="AQ720" i="1"/>
  <c r="AQ255" i="1"/>
  <c r="AQ256" i="1"/>
  <c r="AQ721" i="1"/>
  <c r="AQ722" i="1"/>
  <c r="AQ257" i="1"/>
  <c r="AQ258" i="1"/>
  <c r="AQ259" i="1"/>
  <c r="AQ260" i="1"/>
  <c r="AQ261" i="1"/>
  <c r="AQ723" i="1"/>
  <c r="AQ724" i="1"/>
  <c r="AQ262" i="1"/>
  <c r="AQ725" i="1"/>
  <c r="AQ726" i="1"/>
  <c r="AQ263" i="1"/>
  <c r="AQ264" i="1"/>
  <c r="AQ265" i="1"/>
  <c r="AQ727" i="1"/>
  <c r="AQ266" i="1"/>
  <c r="AQ267" i="1"/>
  <c r="AQ268" i="1"/>
  <c r="AQ269" i="1"/>
  <c r="AQ270" i="1"/>
  <c r="AQ271" i="1"/>
  <c r="AQ728" i="1"/>
  <c r="AQ272" i="1"/>
  <c r="AQ729" i="1"/>
  <c r="AQ273" i="1"/>
  <c r="AQ274" i="1"/>
  <c r="AQ730" i="1"/>
  <c r="AQ731" i="1"/>
  <c r="AQ275" i="1"/>
  <c r="AQ276" i="1"/>
  <c r="AQ277" i="1"/>
  <c r="AQ732" i="1"/>
  <c r="AQ733" i="1"/>
  <c r="AQ734" i="1"/>
  <c r="AQ278" i="1"/>
  <c r="AQ279" i="1"/>
  <c r="AQ280" i="1"/>
  <c r="AQ735" i="1"/>
  <c r="AQ736" i="1"/>
  <c r="AQ737" i="1"/>
  <c r="AQ281" i="1"/>
  <c r="AQ282" i="1"/>
  <c r="AQ738" i="1"/>
  <c r="AQ283" i="1"/>
  <c r="AQ739" i="1"/>
  <c r="AQ284" i="1"/>
  <c r="AQ285" i="1"/>
  <c r="AQ286" i="1"/>
  <c r="AQ287" i="1"/>
  <c r="AQ289" i="1"/>
  <c r="AQ740" i="1"/>
  <c r="AQ290" i="1"/>
  <c r="AQ291" i="1"/>
  <c r="AQ741" i="1"/>
  <c r="AQ292" i="1"/>
  <c r="AQ742" i="1"/>
  <c r="AQ293" i="1"/>
  <c r="AQ294" i="1"/>
  <c r="AQ743" i="1"/>
  <c r="AQ744" i="1"/>
  <c r="AQ295" i="1"/>
  <c r="AQ745" i="1"/>
  <c r="AQ296" i="1"/>
  <c r="AQ746" i="1"/>
  <c r="AQ747" i="1"/>
  <c r="AQ748" i="1"/>
  <c r="AQ297" i="1"/>
  <c r="AQ749" i="1"/>
  <c r="AQ750" i="1"/>
  <c r="AQ298" i="1"/>
  <c r="AQ299" i="1"/>
  <c r="AQ300" i="1"/>
  <c r="AQ751" i="1"/>
  <c r="AQ752" i="1"/>
  <c r="AQ301" i="1"/>
  <c r="AQ302" i="1"/>
  <c r="AQ753" i="1"/>
  <c r="AQ303" i="1"/>
  <c r="AQ754" i="1"/>
  <c r="AQ304" i="1"/>
  <c r="AQ755" i="1"/>
  <c r="AQ305" i="1"/>
  <c r="AQ756" i="1"/>
  <c r="AQ306" i="1"/>
  <c r="AQ307" i="1"/>
  <c r="AQ757" i="1"/>
  <c r="AQ308" i="1"/>
  <c r="AQ758" i="1"/>
  <c r="AQ309" i="1"/>
  <c r="AQ310" i="1"/>
  <c r="AQ759" i="1"/>
  <c r="AQ311" i="1"/>
  <c r="AQ760" i="1"/>
  <c r="AQ312" i="1"/>
  <c r="AQ313" i="1"/>
  <c r="AQ761" i="1"/>
  <c r="AQ314" i="1"/>
  <c r="AQ315" i="1"/>
  <c r="AQ763" i="1"/>
  <c r="AQ764" i="1"/>
  <c r="AQ316" i="1"/>
  <c r="AQ765" i="1"/>
  <c r="AQ317" i="1"/>
  <c r="AQ318" i="1"/>
  <c r="AQ766" i="1"/>
  <c r="AQ767" i="1"/>
  <c r="AQ319" i="1"/>
  <c r="AQ768" i="1"/>
  <c r="AQ320" i="1"/>
  <c r="AQ321" i="1"/>
  <c r="AQ322" i="1"/>
  <c r="AQ769" i="1"/>
  <c r="AQ323" i="1"/>
  <c r="AQ324" i="1"/>
  <c r="AQ325" i="1"/>
  <c r="AQ770" i="1"/>
  <c r="AQ771" i="1"/>
  <c r="AQ772" i="1"/>
  <c r="AQ326" i="1"/>
  <c r="AQ774" i="1"/>
  <c r="AQ327" i="1"/>
  <c r="AQ775" i="1"/>
  <c r="AQ328" i="1"/>
  <c r="AQ776" i="1"/>
  <c r="AQ329" i="1"/>
  <c r="AQ330" i="1"/>
  <c r="AQ777" i="1"/>
  <c r="AQ778" i="1"/>
  <c r="AQ331" i="1"/>
  <c r="AQ332" i="1"/>
  <c r="AQ333" i="1"/>
  <c r="AQ779" i="1"/>
  <c r="AQ780" i="1"/>
  <c r="AQ781" i="1"/>
  <c r="AQ782" i="1"/>
  <c r="AQ334" i="1"/>
  <c r="AQ335" i="1"/>
  <c r="AQ336" i="1"/>
  <c r="AQ337" i="1"/>
  <c r="AQ783" i="1"/>
  <c r="AQ338" i="1"/>
  <c r="AQ784" i="1"/>
  <c r="AQ339" i="1"/>
  <c r="AQ785" i="1"/>
  <c r="AQ340" i="1"/>
  <c r="AQ342" i="1"/>
  <c r="AQ786" i="1"/>
  <c r="AQ343" i="1"/>
  <c r="AQ344" i="1"/>
  <c r="AQ787" i="1"/>
  <c r="AQ788" i="1"/>
  <c r="AQ789" i="1"/>
  <c r="AQ790" i="1"/>
  <c r="AQ791" i="1"/>
  <c r="AQ345" i="1"/>
  <c r="AQ792" i="1"/>
  <c r="AQ346" i="1"/>
  <c r="AQ793" i="1"/>
  <c r="AQ794" i="1"/>
  <c r="AQ347" i="1"/>
  <c r="AQ348" i="1"/>
  <c r="AQ349" i="1"/>
  <c r="AQ350" i="1"/>
  <c r="AQ351" i="1"/>
  <c r="AQ352" i="1"/>
  <c r="AQ353" i="1"/>
  <c r="AQ354" i="1"/>
  <c r="AQ355" i="1"/>
  <c r="AQ795" i="1"/>
  <c r="AQ356" i="1"/>
  <c r="AQ357" i="1"/>
  <c r="AQ358" i="1"/>
  <c r="AQ796" i="1"/>
  <c r="AQ797" i="1"/>
  <c r="AQ798" i="1"/>
  <c r="AQ799" i="1"/>
  <c r="AQ359" i="1"/>
  <c r="AQ360" i="1"/>
  <c r="AQ800" i="1"/>
  <c r="AQ802" i="1"/>
  <c r="AQ803" i="1"/>
  <c r="AQ361" i="1"/>
  <c r="AQ362" i="1"/>
  <c r="AQ363" i="1"/>
  <c r="AQ364" i="1"/>
  <c r="AQ365" i="1"/>
  <c r="AQ804" i="1"/>
  <c r="AQ805" i="1"/>
  <c r="AQ366" i="1"/>
  <c r="AQ367" i="1"/>
  <c r="AQ806" i="1"/>
  <c r="AQ368" i="1"/>
  <c r="AQ369" i="1"/>
  <c r="AQ807" i="1"/>
  <c r="AQ370" i="1"/>
  <c r="AQ808" i="1"/>
  <c r="AQ371" i="1"/>
  <c r="AQ809" i="1"/>
  <c r="AQ810" i="1"/>
  <c r="AQ811" i="1"/>
  <c r="AQ812" i="1"/>
  <c r="AQ813" i="1"/>
  <c r="AQ372" i="1"/>
  <c r="AQ814" i="1"/>
  <c r="AQ815" i="1"/>
  <c r="AQ816" i="1"/>
  <c r="AQ817" i="1"/>
  <c r="AQ373" i="1"/>
  <c r="AQ374" i="1"/>
  <c r="AQ375" i="1"/>
  <c r="AQ376" i="1"/>
  <c r="AQ818" i="1"/>
  <c r="AQ377" i="1"/>
  <c r="AQ819" i="1"/>
  <c r="AQ378" i="1"/>
  <c r="AQ379" i="1"/>
  <c r="AQ820" i="1"/>
  <c r="AQ380" i="1"/>
  <c r="AQ381" i="1"/>
  <c r="AQ821" i="1"/>
  <c r="AQ382" i="1"/>
  <c r="AQ822" i="1"/>
  <c r="AQ823" i="1"/>
  <c r="AQ383" i="1"/>
  <c r="AQ384" i="1"/>
  <c r="AQ825" i="1"/>
  <c r="AQ385" i="1"/>
  <c r="AQ386" i="1"/>
  <c r="AQ826" i="1"/>
  <c r="AQ827" i="1"/>
  <c r="AQ828" i="1"/>
  <c r="AQ829" i="1"/>
  <c r="AQ387" i="1"/>
  <c r="AQ830" i="1"/>
  <c r="AQ831" i="1"/>
  <c r="AQ388" i="1"/>
  <c r="AQ389" i="1"/>
  <c r="AQ390" i="1"/>
  <c r="AQ832" i="1"/>
  <c r="AQ833" i="1"/>
  <c r="AQ834" i="1"/>
  <c r="AQ391" i="1"/>
  <c r="AQ836" i="1"/>
  <c r="AQ837" i="1"/>
  <c r="AQ392" i="1"/>
  <c r="AQ393" i="1"/>
  <c r="AQ394" i="1"/>
  <c r="AQ395" i="1"/>
  <c r="AQ838" i="1"/>
  <c r="AQ396" i="1"/>
  <c r="AQ397" i="1"/>
  <c r="AQ399" i="1"/>
  <c r="AQ400" i="1"/>
  <c r="AQ839" i="1"/>
  <c r="AQ840" i="1"/>
  <c r="AQ841" i="1"/>
  <c r="AQ401" i="1"/>
  <c r="AQ842" i="1"/>
  <c r="AQ402" i="1"/>
  <c r="AQ843" i="1"/>
  <c r="AQ844" i="1"/>
  <c r="AQ845" i="1"/>
  <c r="AQ846" i="1"/>
  <c r="AQ847" i="1"/>
  <c r="AQ404" i="1"/>
  <c r="AQ848" i="1"/>
  <c r="AQ405" i="1"/>
  <c r="AQ850" i="1"/>
  <c r="AQ406" i="1"/>
  <c r="AQ851" i="1"/>
  <c r="AQ407" i="1"/>
  <c r="AQ852" i="1"/>
  <c r="AQ408" i="1"/>
  <c r="AQ409" i="1"/>
  <c r="AQ410" i="1"/>
  <c r="AQ853" i="1"/>
  <c r="AQ855" i="1"/>
  <c r="AQ411" i="1"/>
  <c r="AQ412" i="1"/>
  <c r="AQ413" i="1"/>
  <c r="AQ414" i="1"/>
  <c r="AQ415" i="1"/>
  <c r="AQ416" i="1"/>
  <c r="AQ417" i="1"/>
  <c r="AQ856" i="1"/>
  <c r="AQ418" i="1"/>
  <c r="AQ419" i="1"/>
  <c r="AQ857" i="1"/>
  <c r="AQ420" i="1"/>
  <c r="AQ858" i="1"/>
  <c r="AQ859" i="1"/>
  <c r="AQ421" i="1"/>
  <c r="AQ860" i="1"/>
  <c r="AQ422" i="1"/>
  <c r="AQ423" i="1"/>
  <c r="AQ424" i="1"/>
  <c r="AQ861" i="1"/>
  <c r="AQ862" i="1"/>
  <c r="AQ425" i="1"/>
  <c r="AQ426" i="1"/>
  <c r="AQ863" i="1"/>
  <c r="AQ864" i="1"/>
  <c r="AQ427" i="1"/>
  <c r="AQ865" i="1"/>
  <c r="AQ428" i="1"/>
  <c r="AQ429" i="1"/>
  <c r="AQ430" i="1"/>
  <c r="AQ866" i="1"/>
  <c r="AQ431" i="1"/>
  <c r="AQ867" i="1"/>
  <c r="AQ868" i="1"/>
  <c r="AQ869" i="1"/>
  <c r="AQ432" i="1"/>
  <c r="AQ433" i="1"/>
  <c r="AQ870" i="1"/>
  <c r="AQ434" i="1"/>
  <c r="AQ435" i="1"/>
  <c r="AQ436" i="1"/>
  <c r="AQ871" i="1"/>
  <c r="AQ872" i="1"/>
  <c r="AQ873" i="1"/>
  <c r="AQ437" i="1"/>
  <c r="AQ874" i="1"/>
  <c r="AQ438" i="1"/>
  <c r="AQ439" i="1"/>
  <c r="AQ440" i="1"/>
  <c r="AQ441" i="1"/>
  <c r="AQ442" i="1"/>
  <c r="AQ875" i="1"/>
  <c r="AQ443" i="1"/>
  <c r="AQ876" i="1"/>
  <c r="AQ444" i="1"/>
  <c r="AQ877" i="1"/>
  <c r="AQ445" i="1"/>
  <c r="AQ446" i="1"/>
  <c r="AQ878" i="1"/>
  <c r="AQ447" i="1"/>
  <c r="AQ448" i="1"/>
  <c r="AQ879" i="1"/>
  <c r="AQ449" i="1"/>
  <c r="AQ880" i="1"/>
  <c r="AQ450" i="1"/>
  <c r="AQ451" i="1"/>
  <c r="AQ452" i="1"/>
  <c r="AQ881" i="1"/>
  <c r="AQ453" i="1"/>
  <c r="AQ454" i="1"/>
  <c r="AQ882" i="1"/>
  <c r="AQ883" i="1"/>
  <c r="AQ455" i="1"/>
  <c r="AQ884" i="1"/>
  <c r="AQ885" i="1"/>
  <c r="AQ456" i="1"/>
  <c r="AQ886" i="1"/>
  <c r="AQ887" i="1"/>
  <c r="AQ888" i="1"/>
  <c r="AQ457" i="1"/>
  <c r="AQ458" i="1"/>
  <c r="AQ459" i="1"/>
  <c r="AQ889" i="1"/>
  <c r="AQ890" i="1"/>
  <c r="AQ460" i="1"/>
  <c r="AQ461" i="1"/>
  <c r="AQ891" i="1"/>
  <c r="AQ462" i="1"/>
  <c r="AQ463" i="1"/>
  <c r="AQ892" i="1"/>
  <c r="AQ464" i="1"/>
  <c r="AQ465" i="1"/>
  <c r="AQ893" i="1"/>
  <c r="AQ894" i="1"/>
  <c r="AQ895" i="1"/>
  <c r="AQ896" i="1"/>
  <c r="AQ466" i="1"/>
  <c r="AQ897" i="1"/>
  <c r="AQ467" i="1"/>
  <c r="AQ898" i="1"/>
  <c r="AQ899" i="1"/>
  <c r="AQ900" i="1"/>
  <c r="AQ468" i="1"/>
  <c r="AQ469" i="1"/>
  <c r="AQ901" i="1"/>
  <c r="AQ470" i="1"/>
  <c r="AQ902" i="1"/>
  <c r="AQ903" i="1"/>
  <c r="AQ471" i="1"/>
  <c r="AQ904" i="1"/>
  <c r="AQ905" i="1"/>
  <c r="AQ472" i="1"/>
  <c r="AQ906" i="1"/>
  <c r="AQ907" i="1"/>
  <c r="AQ473" i="1"/>
  <c r="AQ474" i="1"/>
  <c r="AQ908" i="1"/>
  <c r="AQ909" i="1"/>
  <c r="AQ475" i="1"/>
  <c r="AQ477" i="1"/>
  <c r="AQ478" i="1"/>
  <c r="AQ479" i="1"/>
  <c r="AQ910" i="1"/>
  <c r="AQ911" i="1"/>
  <c r="AQ480" i="1"/>
  <c r="AQ481" i="1"/>
  <c r="AQ482" i="1"/>
  <c r="AQ483" i="1"/>
  <c r="AQ484" i="1"/>
  <c r="AQ485" i="1"/>
  <c r="AQ912" i="1"/>
  <c r="AQ913" i="1"/>
  <c r="AQ914" i="1"/>
  <c r="AQ915" i="1"/>
  <c r="AQ916" i="1"/>
  <c r="AQ917" i="1"/>
  <c r="AQ486" i="1"/>
  <c r="AQ918" i="1"/>
  <c r="AQ919" i="1"/>
  <c r="AQ920" i="1"/>
  <c r="AQ487" i="1"/>
  <c r="AQ488" i="1"/>
  <c r="AQ921" i="1"/>
  <c r="AQ922" i="1"/>
  <c r="AQ489" i="1"/>
  <c r="AQ490" i="1"/>
  <c r="AQ923" i="1"/>
  <c r="AQ491" i="1"/>
  <c r="AQ924" i="1"/>
  <c r="AQ492" i="1"/>
  <c r="AQ493" i="1"/>
  <c r="AQ925" i="1"/>
  <c r="AQ926" i="1"/>
  <c r="AQ927" i="1"/>
  <c r="AQ494" i="1"/>
  <c r="AQ928" i="1"/>
  <c r="AQ495" i="1"/>
  <c r="AQ929" i="1"/>
  <c r="AQ930" i="1"/>
  <c r="AQ496" i="1"/>
  <c r="AQ497" i="1"/>
  <c r="AQ931" i="1"/>
  <c r="AQ498" i="1"/>
  <c r="AQ499" i="1"/>
  <c r="AQ500" i="1"/>
  <c r="AQ501" i="1"/>
  <c r="AQ932" i="1"/>
  <c r="AQ502" i="1"/>
  <c r="AQ933" i="1"/>
  <c r="AQ195" i="1"/>
  <c r="AQ539" i="1"/>
  <c r="AQ680" i="1"/>
  <c r="AQ608" i="1"/>
  <c r="AQ649" i="1"/>
  <c r="AQ579" i="1"/>
  <c r="AQ239" i="1"/>
  <c r="AQ773" i="1"/>
  <c r="AQ91" i="1"/>
  <c r="AQ159" i="1"/>
  <c r="AQ79" i="1"/>
  <c r="AQ659" i="1"/>
  <c r="AQ2" i="1"/>
  <c r="Z2" i="1"/>
  <c r="Z3" i="1"/>
  <c r="Z4" i="1"/>
  <c r="Z5" i="1"/>
  <c r="Z503" i="1"/>
  <c r="Z6" i="1"/>
  <c r="Z504" i="1"/>
  <c r="Z506" i="1"/>
  <c r="Z7" i="1"/>
  <c r="Z507" i="1"/>
  <c r="Z508" i="1"/>
  <c r="Z8" i="1"/>
  <c r="Z9" i="1"/>
  <c r="Z509" i="1"/>
  <c r="Z10" i="1"/>
  <c r="Z11" i="1"/>
  <c r="Z12" i="1"/>
  <c r="Z13" i="1"/>
  <c r="Z510" i="1"/>
  <c r="Z14" i="1"/>
  <c r="Z511" i="1"/>
  <c r="Z512" i="1"/>
  <c r="Z513" i="1"/>
  <c r="Z514" i="1"/>
  <c r="Z15" i="1"/>
  <c r="Z16" i="1"/>
  <c r="Z17" i="1"/>
  <c r="Z515" i="1"/>
  <c r="Z18" i="1"/>
  <c r="Z516" i="1"/>
  <c r="Z19" i="1"/>
  <c r="Z517" i="1"/>
  <c r="Z20" i="1"/>
  <c r="Z21" i="1"/>
  <c r="Z518" i="1"/>
  <c r="Z22" i="1"/>
  <c r="Z23" i="1"/>
  <c r="Z519" i="1"/>
  <c r="Z24" i="1"/>
  <c r="Z25" i="1"/>
  <c r="Z26" i="1"/>
  <c r="Z27" i="1"/>
  <c r="Z520" i="1"/>
  <c r="Z28" i="1"/>
  <c r="Z29" i="1"/>
  <c r="Z30" i="1"/>
  <c r="Z31" i="1"/>
  <c r="Z32" i="1"/>
  <c r="Z521" i="1"/>
  <c r="Z33" i="1"/>
  <c r="Z522" i="1"/>
  <c r="Z34" i="1"/>
  <c r="Z35" i="1"/>
  <c r="Z523" i="1"/>
  <c r="Z524" i="1"/>
  <c r="Z525" i="1"/>
  <c r="Z526" i="1"/>
  <c r="Z36" i="1"/>
  <c r="Z37" i="1"/>
  <c r="Z38" i="1"/>
  <c r="Z39" i="1"/>
  <c r="Z40" i="1"/>
  <c r="Z41" i="1"/>
  <c r="Z42" i="1"/>
  <c r="Z43" i="1"/>
  <c r="Z44" i="1"/>
  <c r="Z527" i="1"/>
  <c r="Z528" i="1"/>
  <c r="Z45" i="1"/>
  <c r="Z46" i="1"/>
  <c r="Z529" i="1"/>
  <c r="Z530" i="1"/>
  <c r="Z47" i="1"/>
  <c r="Z531" i="1"/>
  <c r="Z532" i="1"/>
  <c r="Z533" i="1"/>
  <c r="Z48" i="1"/>
  <c r="Z534" i="1"/>
  <c r="Z535" i="1"/>
  <c r="Z536" i="1"/>
  <c r="Z49" i="1"/>
  <c r="Z537" i="1"/>
  <c r="Z50" i="1"/>
  <c r="Z51" i="1"/>
  <c r="Z52" i="1"/>
  <c r="Z53" i="1"/>
  <c r="Z54" i="1"/>
  <c r="Z55" i="1"/>
  <c r="Z56" i="1"/>
  <c r="Z57" i="1"/>
  <c r="Z538" i="1"/>
  <c r="Z540" i="1"/>
  <c r="Z541" i="1"/>
  <c r="Z58" i="1"/>
  <c r="Z59" i="1"/>
  <c r="Z542" i="1"/>
  <c r="Z60" i="1"/>
  <c r="Z543" i="1"/>
  <c r="Z61" i="1"/>
  <c r="Z544" i="1"/>
  <c r="Z545" i="1"/>
  <c r="Z62" i="1"/>
  <c r="Z546" i="1"/>
  <c r="Z547" i="1"/>
  <c r="Z548" i="1"/>
  <c r="Z63" i="1"/>
  <c r="Z64" i="1"/>
  <c r="Z65" i="1"/>
  <c r="Z66" i="1"/>
  <c r="Z549" i="1"/>
  <c r="Z67" i="1"/>
  <c r="Z550" i="1"/>
  <c r="Z68" i="1"/>
  <c r="Z69" i="1"/>
  <c r="Z70" i="1"/>
  <c r="Z71" i="1"/>
  <c r="Z551" i="1"/>
  <c r="Z72" i="1"/>
  <c r="Z73" i="1"/>
  <c r="Z74" i="1"/>
  <c r="Z75" i="1"/>
  <c r="Z552" i="1"/>
  <c r="Z76" i="1"/>
  <c r="Z77" i="1"/>
  <c r="Z80" i="1"/>
  <c r="Z553" i="1"/>
  <c r="Z554" i="1"/>
  <c r="Z555" i="1"/>
  <c r="Z81" i="1"/>
  <c r="Z82" i="1"/>
  <c r="Z83" i="1"/>
  <c r="Z557" i="1"/>
  <c r="Z84" i="1"/>
  <c r="Z85" i="1"/>
  <c r="Z558" i="1"/>
  <c r="Z559" i="1"/>
  <c r="Z560" i="1"/>
  <c r="Z561" i="1"/>
  <c r="Z87" i="1"/>
  <c r="Z562" i="1"/>
  <c r="Z88" i="1"/>
  <c r="Z89" i="1"/>
  <c r="Z90" i="1"/>
  <c r="Z92" i="1"/>
  <c r="Z93" i="1"/>
  <c r="Z563" i="1"/>
  <c r="Z564" i="1"/>
  <c r="Z94" i="1"/>
  <c r="Z565" i="1"/>
  <c r="Z95" i="1"/>
  <c r="Z96" i="1"/>
  <c r="Z97" i="1"/>
  <c r="Z98" i="1"/>
  <c r="Z566" i="1"/>
  <c r="Z99" i="1"/>
  <c r="Z567" i="1"/>
  <c r="Z568" i="1"/>
  <c r="Z100" i="1"/>
  <c r="Z101" i="1"/>
  <c r="Z569" i="1"/>
  <c r="Z570" i="1"/>
  <c r="Z571" i="1"/>
  <c r="Z102" i="1"/>
  <c r="Z572" i="1"/>
  <c r="Z573" i="1"/>
  <c r="Z103" i="1"/>
  <c r="Z574" i="1"/>
  <c r="Z575" i="1"/>
  <c r="Z576" i="1"/>
  <c r="Z577" i="1"/>
  <c r="Z578" i="1"/>
  <c r="Z580" i="1"/>
  <c r="Z581" i="1"/>
  <c r="Z104" i="1"/>
  <c r="Z582" i="1"/>
  <c r="Z105" i="1"/>
  <c r="Z583" i="1"/>
  <c r="Z106" i="1"/>
  <c r="Z107" i="1"/>
  <c r="Z108" i="1"/>
  <c r="Z109" i="1"/>
  <c r="Z584" i="1"/>
  <c r="Z110" i="1"/>
  <c r="Z585" i="1"/>
  <c r="Z111" i="1"/>
  <c r="Z112" i="1"/>
  <c r="Z113" i="1"/>
  <c r="Z586" i="1"/>
  <c r="Z587" i="1"/>
  <c r="Z588" i="1"/>
  <c r="Z589" i="1"/>
  <c r="Z114" i="1"/>
  <c r="Z115" i="1"/>
  <c r="Z116" i="1"/>
  <c r="Z590" i="1"/>
  <c r="Z591" i="1"/>
  <c r="Z117" i="1"/>
  <c r="Z592" i="1"/>
  <c r="Z118" i="1"/>
  <c r="Z119" i="1"/>
  <c r="Z593" i="1"/>
  <c r="Z594" i="1"/>
  <c r="Z595" i="1"/>
  <c r="Z120" i="1"/>
  <c r="Z596" i="1"/>
  <c r="Z597" i="1"/>
  <c r="Z598" i="1"/>
  <c r="Z121" i="1"/>
  <c r="Z599" i="1"/>
  <c r="Z600" i="1"/>
  <c r="Z122" i="1"/>
  <c r="Z123" i="1"/>
  <c r="Z124" i="1"/>
  <c r="Z125" i="1"/>
  <c r="Z126" i="1"/>
  <c r="Z127" i="1"/>
  <c r="Z601" i="1"/>
  <c r="Z602" i="1"/>
  <c r="Z603" i="1"/>
  <c r="Z128" i="1"/>
  <c r="Z129" i="1"/>
  <c r="Z604" i="1"/>
  <c r="Z605" i="1"/>
  <c r="Z606" i="1"/>
  <c r="Z607" i="1"/>
  <c r="Z130" i="1"/>
  <c r="Z609" i="1"/>
  <c r="Z131" i="1"/>
  <c r="Z132" i="1"/>
  <c r="Z610" i="1"/>
  <c r="Z133" i="1"/>
  <c r="Z134" i="1"/>
  <c r="Z611" i="1"/>
  <c r="Z135" i="1"/>
  <c r="Z136" i="1"/>
  <c r="Z137" i="1"/>
  <c r="Z138" i="1"/>
  <c r="Z139" i="1"/>
  <c r="Z140" i="1"/>
  <c r="Z141" i="1"/>
  <c r="Z142" i="1"/>
  <c r="Z612" i="1"/>
  <c r="Z613" i="1"/>
  <c r="Z614" i="1"/>
  <c r="Z143" i="1"/>
  <c r="Z144" i="1"/>
  <c r="Z145" i="1"/>
  <c r="Z146" i="1"/>
  <c r="Z147" i="1"/>
  <c r="Z615" i="1"/>
  <c r="Z148" i="1"/>
  <c r="Z616" i="1"/>
  <c r="Z617" i="1"/>
  <c r="Z150" i="1"/>
  <c r="Z618" i="1"/>
  <c r="Z619" i="1"/>
  <c r="Z151" i="1"/>
  <c r="Z620" i="1"/>
  <c r="Z152" i="1"/>
  <c r="Z153" i="1"/>
  <c r="Z621" i="1"/>
  <c r="Z622" i="1"/>
  <c r="Z623" i="1"/>
  <c r="Z624" i="1"/>
  <c r="Z154" i="1"/>
  <c r="Z155" i="1"/>
  <c r="Z625" i="1"/>
  <c r="Z626" i="1"/>
  <c r="Z627" i="1"/>
  <c r="Z628" i="1"/>
  <c r="Z156" i="1"/>
  <c r="Z157" i="1"/>
  <c r="Z158" i="1"/>
  <c r="Z629" i="1"/>
  <c r="Z160" i="1"/>
  <c r="Z161" i="1"/>
  <c r="Z162" i="1"/>
  <c r="Z630" i="1"/>
  <c r="Z631" i="1"/>
  <c r="Z164" i="1"/>
  <c r="Z165" i="1"/>
  <c r="Z632" i="1"/>
  <c r="Z167" i="1"/>
  <c r="Z633" i="1"/>
  <c r="Z168" i="1"/>
  <c r="Z634" i="1"/>
  <c r="Z169" i="1"/>
  <c r="Z170" i="1"/>
  <c r="Z171" i="1"/>
  <c r="Z635" i="1"/>
  <c r="Z636" i="1"/>
  <c r="Z172" i="1"/>
  <c r="Z637" i="1"/>
  <c r="Z173" i="1"/>
  <c r="Z638" i="1"/>
  <c r="Z639" i="1"/>
  <c r="Z640" i="1"/>
  <c r="Z174" i="1"/>
  <c r="Z641" i="1"/>
  <c r="Z175" i="1"/>
  <c r="Z176" i="1"/>
  <c r="Z642" i="1"/>
  <c r="Z643" i="1"/>
  <c r="Z177" i="1"/>
  <c r="Z178" i="1"/>
  <c r="Z179" i="1"/>
  <c r="Z644" i="1"/>
  <c r="Z645" i="1"/>
  <c r="Z646" i="1"/>
  <c r="Z180" i="1"/>
  <c r="Z181" i="1"/>
  <c r="Z182" i="1"/>
  <c r="Z183" i="1"/>
  <c r="Z647" i="1"/>
  <c r="Z648" i="1"/>
  <c r="Z184" i="1"/>
  <c r="Z185" i="1"/>
  <c r="Z650" i="1"/>
  <c r="Z186" i="1"/>
  <c r="Z187" i="1"/>
  <c r="Z188" i="1"/>
  <c r="Z189" i="1"/>
  <c r="Z190" i="1"/>
  <c r="Z191" i="1"/>
  <c r="Z651" i="1"/>
  <c r="Z652" i="1"/>
  <c r="Z653" i="1"/>
  <c r="Z192" i="1"/>
  <c r="Z654" i="1"/>
  <c r="Z655" i="1"/>
  <c r="Z193" i="1"/>
  <c r="Z194" i="1"/>
  <c r="Z656" i="1"/>
  <c r="Z657" i="1"/>
  <c r="Z196" i="1"/>
  <c r="Z658" i="1"/>
  <c r="Z197" i="1"/>
  <c r="Z198" i="1"/>
  <c r="Z199" i="1"/>
  <c r="Z660" i="1"/>
  <c r="Z200" i="1"/>
  <c r="Z661" i="1"/>
  <c r="Z662" i="1"/>
  <c r="Z663" i="1"/>
  <c r="Z201" i="1"/>
  <c r="Z202" i="1"/>
  <c r="Z664" i="1"/>
  <c r="Z203" i="1"/>
  <c r="Z204" i="1"/>
  <c r="Z665" i="1"/>
  <c r="Z205" i="1"/>
  <c r="Z666" i="1"/>
  <c r="Z667" i="1"/>
  <c r="Z668" i="1"/>
  <c r="Z206" i="1"/>
  <c r="Z207" i="1"/>
  <c r="Z669" i="1"/>
  <c r="Z670" i="1"/>
  <c r="Z671" i="1"/>
  <c r="Z208" i="1"/>
  <c r="Z209" i="1"/>
  <c r="Z672" i="1"/>
  <c r="Z210" i="1"/>
  <c r="Z673" i="1"/>
  <c r="Z674" i="1"/>
  <c r="Z211" i="1"/>
  <c r="Z675" i="1"/>
  <c r="Z212" i="1"/>
  <c r="Z676" i="1"/>
  <c r="Z677" i="1"/>
  <c r="Z213" i="1"/>
  <c r="Z214" i="1"/>
  <c r="Z678" i="1"/>
  <c r="Z679" i="1"/>
  <c r="Z681" i="1"/>
  <c r="Z215" i="1"/>
  <c r="Z216" i="1"/>
  <c r="Z682" i="1"/>
  <c r="Z684" i="1"/>
  <c r="Z217" i="1"/>
  <c r="Z218" i="1"/>
  <c r="Z685" i="1"/>
  <c r="Z686" i="1"/>
  <c r="Z687" i="1"/>
  <c r="Z219" i="1"/>
  <c r="Z688" i="1"/>
  <c r="Z689" i="1"/>
  <c r="Z690" i="1"/>
  <c r="Z220" i="1"/>
  <c r="Z221" i="1"/>
  <c r="Z222" i="1"/>
  <c r="Z691" i="1"/>
  <c r="Z223" i="1"/>
  <c r="Z224" i="1"/>
  <c r="Z225" i="1"/>
  <c r="Z226" i="1"/>
  <c r="Z692" i="1"/>
  <c r="Z693" i="1"/>
  <c r="Z227" i="1"/>
  <c r="Z694" i="1"/>
  <c r="Z696" i="1"/>
  <c r="Z697" i="1"/>
  <c r="Z228" i="1"/>
  <c r="Z229" i="1"/>
  <c r="Z230" i="1"/>
  <c r="Z231" i="1"/>
  <c r="Z698" i="1"/>
  <c r="Z232" i="1"/>
  <c r="Z699" i="1"/>
  <c r="Z700" i="1"/>
  <c r="Z233" i="1"/>
  <c r="Z701" i="1"/>
  <c r="Z234" i="1"/>
  <c r="Z702" i="1"/>
  <c r="Z235" i="1"/>
  <c r="Z236" i="1"/>
  <c r="Z703" i="1"/>
  <c r="Z704" i="1"/>
  <c r="Z237" i="1"/>
  <c r="Z705" i="1"/>
  <c r="Z706" i="1"/>
  <c r="Z707" i="1"/>
  <c r="Z708" i="1"/>
  <c r="Z238" i="1"/>
  <c r="Z240" i="1"/>
  <c r="Z241" i="1"/>
  <c r="Z242" i="1"/>
  <c r="Z709" i="1"/>
  <c r="Z710" i="1"/>
  <c r="Z711" i="1"/>
  <c r="Z243" i="1"/>
  <c r="Z244" i="1"/>
  <c r="Z245" i="1"/>
  <c r="Z246" i="1"/>
  <c r="Z712" i="1"/>
  <c r="Z713" i="1"/>
  <c r="Z247" i="1"/>
  <c r="Z248" i="1"/>
  <c r="Z714" i="1"/>
  <c r="Z715" i="1"/>
  <c r="Z249" i="1"/>
  <c r="Z250" i="1"/>
  <c r="Z716" i="1"/>
  <c r="Z251" i="1"/>
  <c r="Z717" i="1"/>
  <c r="Z252" i="1"/>
  <c r="Z718" i="1"/>
  <c r="Z719" i="1"/>
  <c r="Z253" i="1"/>
  <c r="Z254" i="1"/>
  <c r="Z720" i="1"/>
  <c r="Z255" i="1"/>
  <c r="Z256" i="1"/>
  <c r="Z721" i="1"/>
  <c r="Z722" i="1"/>
  <c r="Z257" i="1"/>
  <c r="Z258" i="1"/>
  <c r="Z259" i="1"/>
  <c r="Z260" i="1"/>
  <c r="Z261" i="1"/>
  <c r="Z723" i="1"/>
  <c r="Z724" i="1"/>
  <c r="Z262" i="1"/>
  <c r="Z725" i="1"/>
  <c r="Z726" i="1"/>
  <c r="Z263" i="1"/>
  <c r="Z264" i="1"/>
  <c r="Z265" i="1"/>
  <c r="Z727" i="1"/>
  <c r="Z266" i="1"/>
  <c r="Z267" i="1"/>
  <c r="Z268" i="1"/>
  <c r="Z269" i="1"/>
  <c r="Z270" i="1"/>
  <c r="Z271" i="1"/>
  <c r="Z728" i="1"/>
  <c r="Z272" i="1"/>
  <c r="Z729" i="1"/>
  <c r="Z273" i="1"/>
  <c r="Z274" i="1"/>
  <c r="Z730" i="1"/>
  <c r="Z731" i="1"/>
  <c r="Z275" i="1"/>
  <c r="Z276" i="1"/>
  <c r="Z277" i="1"/>
  <c r="Z732" i="1"/>
  <c r="Z733" i="1"/>
  <c r="Z734" i="1"/>
  <c r="Z278" i="1"/>
  <c r="Z279" i="1"/>
  <c r="Z280" i="1"/>
  <c r="Z735" i="1"/>
  <c r="Z736" i="1"/>
  <c r="Z737" i="1"/>
  <c r="Z281" i="1"/>
  <c r="Z282" i="1"/>
  <c r="Z738" i="1"/>
  <c r="Z283" i="1"/>
  <c r="Z739" i="1"/>
  <c r="Z284" i="1"/>
  <c r="Z285" i="1"/>
  <c r="Z286" i="1"/>
  <c r="Z287" i="1"/>
  <c r="Z289" i="1"/>
  <c r="Z740" i="1"/>
  <c r="Z290" i="1"/>
  <c r="Z291" i="1"/>
  <c r="Z741" i="1"/>
  <c r="Z292" i="1"/>
  <c r="Z742" i="1"/>
  <c r="Z293" i="1"/>
  <c r="Z294" i="1"/>
  <c r="Z743" i="1"/>
  <c r="Z744" i="1"/>
  <c r="Z295" i="1"/>
  <c r="Z745" i="1"/>
  <c r="Z296" i="1"/>
  <c r="Z746" i="1"/>
  <c r="Z747" i="1"/>
  <c r="Z748" i="1"/>
  <c r="Z297" i="1"/>
  <c r="Z749" i="1"/>
  <c r="Z750" i="1"/>
  <c r="Z298" i="1"/>
  <c r="Z299" i="1"/>
  <c r="Z300" i="1"/>
  <c r="Z751" i="1"/>
  <c r="Z752" i="1"/>
  <c r="Z301" i="1"/>
  <c r="Z302" i="1"/>
  <c r="Z753" i="1"/>
  <c r="Z303" i="1"/>
  <c r="Z754" i="1"/>
  <c r="Z304" i="1"/>
  <c r="Z755" i="1"/>
  <c r="Z305" i="1"/>
  <c r="Z756" i="1"/>
  <c r="Z306" i="1"/>
  <c r="Z307" i="1"/>
  <c r="Z757" i="1"/>
  <c r="Z308" i="1"/>
  <c r="Z758" i="1"/>
  <c r="Z309" i="1"/>
  <c r="Z310" i="1"/>
  <c r="Z759" i="1"/>
  <c r="Z311" i="1"/>
  <c r="Z760" i="1"/>
  <c r="Z312" i="1"/>
  <c r="Z313" i="1"/>
  <c r="Z761" i="1"/>
  <c r="Z314" i="1"/>
  <c r="Z315" i="1"/>
  <c r="Z763" i="1"/>
  <c r="Z764" i="1"/>
  <c r="Z316" i="1"/>
  <c r="Z765" i="1"/>
  <c r="Z317" i="1"/>
  <c r="Z318" i="1"/>
  <c r="Z766" i="1"/>
  <c r="Z767" i="1"/>
  <c r="Z319" i="1"/>
  <c r="Z768" i="1"/>
  <c r="Z320" i="1"/>
  <c r="Z321" i="1"/>
  <c r="Z322" i="1"/>
  <c r="Z769" i="1"/>
  <c r="Z323" i="1"/>
  <c r="Z324" i="1"/>
  <c r="Z325" i="1"/>
  <c r="Z770" i="1"/>
  <c r="Z771" i="1"/>
  <c r="Z772" i="1"/>
  <c r="Z326" i="1"/>
  <c r="Z774" i="1"/>
  <c r="Z327" i="1"/>
  <c r="Z775" i="1"/>
  <c r="Z328" i="1"/>
  <c r="Z776" i="1"/>
  <c r="Z329" i="1"/>
  <c r="Z330" i="1"/>
  <c r="Z777" i="1"/>
  <c r="Z778" i="1"/>
  <c r="Z331" i="1"/>
  <c r="Z332" i="1"/>
  <c r="Z333" i="1"/>
  <c r="Z779" i="1"/>
  <c r="Z780" i="1"/>
  <c r="Z781" i="1"/>
  <c r="Z782" i="1"/>
  <c r="Z334" i="1"/>
  <c r="Z335" i="1"/>
  <c r="Z336" i="1"/>
  <c r="Z337" i="1"/>
  <c r="Z783" i="1"/>
  <c r="Z338" i="1"/>
  <c r="Z784" i="1"/>
  <c r="Z339" i="1"/>
  <c r="Z785" i="1"/>
  <c r="Z340" i="1"/>
  <c r="Z342" i="1"/>
  <c r="Z786" i="1"/>
  <c r="Z343" i="1"/>
  <c r="Z344" i="1"/>
  <c r="Z787" i="1"/>
  <c r="Z788" i="1"/>
  <c r="Z789" i="1"/>
  <c r="Z790" i="1"/>
  <c r="Z791" i="1"/>
  <c r="Z345" i="1"/>
  <c r="Z792" i="1"/>
  <c r="Z346" i="1"/>
  <c r="Z793" i="1"/>
  <c r="Z794" i="1"/>
  <c r="Z347" i="1"/>
  <c r="Z348" i="1"/>
  <c r="Z349" i="1"/>
  <c r="Z350" i="1"/>
  <c r="Z351" i="1"/>
  <c r="Z352" i="1"/>
  <c r="Z353" i="1"/>
  <c r="Z354" i="1"/>
  <c r="Z355" i="1"/>
  <c r="Z795" i="1"/>
  <c r="Z356" i="1"/>
  <c r="Z357" i="1"/>
  <c r="Z358" i="1"/>
  <c r="Z796" i="1"/>
  <c r="Z797" i="1"/>
  <c r="Z798" i="1"/>
  <c r="Z799" i="1"/>
  <c r="Z359" i="1"/>
  <c r="Z360" i="1"/>
  <c r="Z800" i="1"/>
  <c r="Z802" i="1"/>
  <c r="Z803" i="1"/>
  <c r="Z361" i="1"/>
  <c r="Z362" i="1"/>
  <c r="Z363" i="1"/>
  <c r="Z364" i="1"/>
  <c r="Z365" i="1"/>
  <c r="Z804" i="1"/>
  <c r="Z805" i="1"/>
  <c r="Z366" i="1"/>
  <c r="Z367" i="1"/>
  <c r="Z806" i="1"/>
  <c r="Z368" i="1"/>
  <c r="Z369" i="1"/>
  <c r="Z807" i="1"/>
  <c r="Z370" i="1"/>
  <c r="Z808" i="1"/>
  <c r="Z371" i="1"/>
  <c r="Z809" i="1"/>
  <c r="Z810" i="1"/>
  <c r="Z811" i="1"/>
  <c r="Z812" i="1"/>
  <c r="Z813" i="1"/>
  <c r="Z372" i="1"/>
  <c r="Z814" i="1"/>
  <c r="Z815" i="1"/>
  <c r="Z816" i="1"/>
  <c r="Z817" i="1"/>
  <c r="Z373" i="1"/>
  <c r="Z374" i="1"/>
  <c r="Z375" i="1"/>
  <c r="Z376" i="1"/>
  <c r="Z818" i="1"/>
  <c r="Z377" i="1"/>
  <c r="Z819" i="1"/>
  <c r="Z378" i="1"/>
  <c r="Z379" i="1"/>
  <c r="Z820" i="1"/>
  <c r="Z380" i="1"/>
  <c r="Z381" i="1"/>
  <c r="Z821" i="1"/>
  <c r="Z382" i="1"/>
  <c r="Z822" i="1"/>
  <c r="Z823" i="1"/>
  <c r="Z383" i="1"/>
  <c r="Z384" i="1"/>
  <c r="Z825" i="1"/>
  <c r="Z385" i="1"/>
  <c r="Z386" i="1"/>
  <c r="Z826" i="1"/>
  <c r="Z827" i="1"/>
  <c r="Z828" i="1"/>
  <c r="Z829" i="1"/>
  <c r="Z387" i="1"/>
  <c r="Z830" i="1"/>
  <c r="Z831" i="1"/>
  <c r="Z388" i="1"/>
  <c r="Z389" i="1"/>
  <c r="Z390" i="1"/>
  <c r="Z832" i="1"/>
  <c r="Z833" i="1"/>
  <c r="Z834" i="1"/>
  <c r="Z391" i="1"/>
  <c r="Z836" i="1"/>
  <c r="Z837" i="1"/>
  <c r="Z392" i="1"/>
  <c r="Z393" i="1"/>
  <c r="Z394" i="1"/>
  <c r="Z395" i="1"/>
  <c r="Z838" i="1"/>
  <c r="Z396" i="1"/>
  <c r="Z397" i="1"/>
  <c r="Z399" i="1"/>
  <c r="Z400" i="1"/>
  <c r="Z839" i="1"/>
  <c r="Z840" i="1"/>
  <c r="Z841" i="1"/>
  <c r="Z401" i="1"/>
  <c r="Z842" i="1"/>
  <c r="Z402" i="1"/>
  <c r="Z843" i="1"/>
  <c r="Z844" i="1"/>
  <c r="Z845" i="1"/>
  <c r="Z846" i="1"/>
  <c r="Z847" i="1"/>
  <c r="Z404" i="1"/>
  <c r="Z848" i="1"/>
  <c r="Z405" i="1"/>
  <c r="Z850" i="1"/>
  <c r="Z406" i="1"/>
  <c r="Z851" i="1"/>
  <c r="Z407" i="1"/>
  <c r="Z852" i="1"/>
  <c r="Z408" i="1"/>
  <c r="Z409" i="1"/>
  <c r="Z410" i="1"/>
  <c r="Z853" i="1"/>
  <c r="Z855" i="1"/>
  <c r="Z411" i="1"/>
  <c r="Z412" i="1"/>
  <c r="Z413" i="1"/>
  <c r="Z414" i="1"/>
  <c r="Z415" i="1"/>
  <c r="Z416" i="1"/>
  <c r="Z417" i="1"/>
  <c r="Z856" i="1"/>
  <c r="Z418" i="1"/>
  <c r="Z419" i="1"/>
  <c r="Z857" i="1"/>
  <c r="Z420" i="1"/>
  <c r="Z858" i="1"/>
  <c r="Z859" i="1"/>
  <c r="Z421" i="1"/>
  <c r="Z860" i="1"/>
  <c r="Z422" i="1"/>
  <c r="Z423" i="1"/>
  <c r="Z424" i="1"/>
  <c r="Z861" i="1"/>
  <c r="Z862" i="1"/>
  <c r="Z425" i="1"/>
  <c r="Z426" i="1"/>
  <c r="Z863" i="1"/>
  <c r="Z864" i="1"/>
  <c r="Z427" i="1"/>
  <c r="Z865" i="1"/>
  <c r="Z428" i="1"/>
  <c r="Z429" i="1"/>
  <c r="Z430" i="1"/>
  <c r="Z866" i="1"/>
  <c r="Z431" i="1"/>
  <c r="Z867" i="1"/>
  <c r="Z868" i="1"/>
  <c r="Z869" i="1"/>
  <c r="Z432" i="1"/>
  <c r="Z433" i="1"/>
  <c r="Z870" i="1"/>
  <c r="Z434" i="1"/>
  <c r="Z435" i="1"/>
  <c r="Z436" i="1"/>
  <c r="Z871" i="1"/>
  <c r="Z872" i="1"/>
  <c r="Z873" i="1"/>
  <c r="Z437" i="1"/>
  <c r="Z874" i="1"/>
  <c r="Z438" i="1"/>
  <c r="Z439" i="1"/>
  <c r="Z440" i="1"/>
  <c r="Z441" i="1"/>
  <c r="Z442" i="1"/>
  <c r="Z875" i="1"/>
  <c r="Z443" i="1"/>
  <c r="Z876" i="1"/>
  <c r="Z444" i="1"/>
  <c r="Z877" i="1"/>
  <c r="Z445" i="1"/>
  <c r="Z446" i="1"/>
  <c r="Z878" i="1"/>
  <c r="Z447" i="1"/>
  <c r="Z448" i="1"/>
  <c r="Z879" i="1"/>
  <c r="Z449" i="1"/>
  <c r="Z880" i="1"/>
  <c r="Z450" i="1"/>
  <c r="Z451" i="1"/>
  <c r="Z452" i="1"/>
  <c r="Z881" i="1"/>
  <c r="Z453" i="1"/>
  <c r="Z454" i="1"/>
  <c r="Z882" i="1"/>
  <c r="Z883" i="1"/>
  <c r="Z455" i="1"/>
  <c r="Z884" i="1"/>
  <c r="Z885" i="1"/>
  <c r="Z456" i="1"/>
  <c r="Z886" i="1"/>
  <c r="Z887" i="1"/>
  <c r="Z888" i="1"/>
  <c r="Z457" i="1"/>
  <c r="Z458" i="1"/>
  <c r="Z459" i="1"/>
  <c r="Z889" i="1"/>
  <c r="Z890" i="1"/>
  <c r="Z460" i="1"/>
  <c r="Z461" i="1"/>
  <c r="Z891" i="1"/>
  <c r="Z462" i="1"/>
  <c r="Z463" i="1"/>
  <c r="Z892" i="1"/>
  <c r="Z464" i="1"/>
  <c r="Z465" i="1"/>
  <c r="Z893" i="1"/>
  <c r="Z894" i="1"/>
  <c r="Z895" i="1"/>
  <c r="Z896" i="1"/>
  <c r="Z466" i="1"/>
  <c r="Z897" i="1"/>
  <c r="Z467" i="1"/>
  <c r="Z898" i="1"/>
  <c r="Z899" i="1"/>
  <c r="Z900" i="1"/>
  <c r="Z468" i="1"/>
  <c r="Z469" i="1"/>
  <c r="Z901" i="1"/>
  <c r="Z470" i="1"/>
  <c r="Z902" i="1"/>
  <c r="Z903" i="1"/>
  <c r="Z471" i="1"/>
  <c r="Z904" i="1"/>
  <c r="Z905" i="1"/>
  <c r="Z472" i="1"/>
  <c r="Z906" i="1"/>
  <c r="Z907" i="1"/>
  <c r="Z473" i="1"/>
  <c r="Z474" i="1"/>
  <c r="Z908" i="1"/>
  <c r="Z909" i="1"/>
  <c r="Z475" i="1"/>
  <c r="Z477" i="1"/>
  <c r="Z478" i="1"/>
  <c r="Z479" i="1"/>
  <c r="Z910" i="1"/>
  <c r="Z911" i="1"/>
  <c r="Z480" i="1"/>
  <c r="Z481" i="1"/>
  <c r="Z482" i="1"/>
  <c r="Z483" i="1"/>
  <c r="Z484" i="1"/>
  <c r="Z485" i="1"/>
  <c r="Z912" i="1"/>
  <c r="Z913" i="1"/>
  <c r="Z914" i="1"/>
  <c r="Z915" i="1"/>
  <c r="Z916" i="1"/>
  <c r="Z917" i="1"/>
  <c r="Z486" i="1"/>
  <c r="Z918" i="1"/>
  <c r="Z919" i="1"/>
  <c r="Z920" i="1"/>
  <c r="Z487" i="1"/>
  <c r="Z488" i="1"/>
  <c r="Z921" i="1"/>
  <c r="Z922" i="1"/>
  <c r="Z489" i="1"/>
  <c r="Z490" i="1"/>
  <c r="Z923" i="1"/>
  <c r="Z491" i="1"/>
  <c r="Z924" i="1"/>
  <c r="Z492" i="1"/>
  <c r="Z493" i="1"/>
  <c r="Z925" i="1"/>
  <c r="Z926" i="1"/>
  <c r="Z927" i="1"/>
  <c r="Z494" i="1"/>
  <c r="Z928" i="1"/>
  <c r="Z495" i="1"/>
  <c r="Z929" i="1"/>
  <c r="Z930" i="1"/>
  <c r="Z496" i="1"/>
  <c r="Z497" i="1"/>
  <c r="Z931" i="1"/>
  <c r="Z498" i="1"/>
  <c r="Z499" i="1"/>
  <c r="Z500" i="1"/>
  <c r="Z501" i="1"/>
  <c r="Z932" i="1"/>
  <c r="Z502" i="1"/>
  <c r="Z933" i="1"/>
  <c r="Z195" i="1"/>
  <c r="Z539" i="1"/>
  <c r="Z680" i="1"/>
  <c r="Z608" i="1"/>
  <c r="Z649" i="1"/>
  <c r="Z579" i="1"/>
  <c r="Z239" i="1"/>
  <c r="Z773" i="1"/>
  <c r="Z91" i="1"/>
  <c r="Z159" i="1"/>
  <c r="Z79" i="1"/>
  <c r="Z659" i="1"/>
  <c r="X3" i="1"/>
  <c r="X4" i="1"/>
  <c r="X5" i="1"/>
  <c r="X503" i="1"/>
  <c r="X6" i="1"/>
  <c r="X504" i="1"/>
  <c r="X506" i="1"/>
  <c r="X7" i="1"/>
  <c r="X507" i="1"/>
  <c r="X508" i="1"/>
  <c r="X8" i="1"/>
  <c r="X9" i="1"/>
  <c r="X509" i="1"/>
  <c r="X10" i="1"/>
  <c r="X11" i="1"/>
  <c r="X12" i="1"/>
  <c r="X13" i="1"/>
  <c r="X510" i="1"/>
  <c r="X14" i="1"/>
  <c r="X511" i="1"/>
  <c r="X512" i="1"/>
  <c r="X513" i="1"/>
  <c r="X514" i="1"/>
  <c r="X15" i="1"/>
  <c r="X16" i="1"/>
  <c r="X17" i="1"/>
  <c r="X515" i="1"/>
  <c r="X18" i="1"/>
  <c r="X516" i="1"/>
  <c r="X19" i="1"/>
  <c r="X517" i="1"/>
  <c r="X20" i="1"/>
  <c r="X21" i="1"/>
  <c r="X518" i="1"/>
  <c r="X22" i="1"/>
  <c r="X23" i="1"/>
  <c r="X519" i="1"/>
  <c r="X24" i="1"/>
  <c r="X25" i="1"/>
  <c r="X26" i="1"/>
  <c r="X27" i="1"/>
  <c r="X520" i="1"/>
  <c r="X28" i="1"/>
  <c r="X29" i="1"/>
  <c r="X30" i="1"/>
  <c r="X31" i="1"/>
  <c r="X32" i="1"/>
  <c r="X521" i="1"/>
  <c r="X33" i="1"/>
  <c r="X522" i="1"/>
  <c r="X34" i="1"/>
  <c r="X35" i="1"/>
  <c r="X523" i="1"/>
  <c r="X524" i="1"/>
  <c r="X525" i="1"/>
  <c r="X526" i="1"/>
  <c r="X36" i="1"/>
  <c r="X37" i="1"/>
  <c r="X38" i="1"/>
  <c r="X39" i="1"/>
  <c r="X40" i="1"/>
  <c r="X41" i="1"/>
  <c r="X42" i="1"/>
  <c r="X43" i="1"/>
  <c r="X44" i="1"/>
  <c r="X527" i="1"/>
  <c r="X528" i="1"/>
  <c r="X45" i="1"/>
  <c r="X46" i="1"/>
  <c r="X529" i="1"/>
  <c r="X530" i="1"/>
  <c r="X47" i="1"/>
  <c r="X531" i="1"/>
  <c r="X532" i="1"/>
  <c r="X533" i="1"/>
  <c r="X48" i="1"/>
  <c r="X534" i="1"/>
  <c r="X535" i="1"/>
  <c r="X536" i="1"/>
  <c r="X49" i="1"/>
  <c r="X537" i="1"/>
  <c r="X50" i="1"/>
  <c r="X51" i="1"/>
  <c r="X52" i="1"/>
  <c r="X53" i="1"/>
  <c r="X54" i="1"/>
  <c r="X55" i="1"/>
  <c r="X56" i="1"/>
  <c r="X57" i="1"/>
  <c r="X538" i="1"/>
  <c r="X540" i="1"/>
  <c r="X541" i="1"/>
  <c r="X58" i="1"/>
  <c r="X59" i="1"/>
  <c r="X542" i="1"/>
  <c r="X60" i="1"/>
  <c r="X543" i="1"/>
  <c r="X61" i="1"/>
  <c r="X544" i="1"/>
  <c r="X545" i="1"/>
  <c r="X62" i="1"/>
  <c r="X546" i="1"/>
  <c r="X547" i="1"/>
  <c r="X548" i="1"/>
  <c r="X63" i="1"/>
  <c r="X64" i="1"/>
  <c r="X65" i="1"/>
  <c r="X66" i="1"/>
  <c r="X549" i="1"/>
  <c r="X67" i="1"/>
  <c r="X550" i="1"/>
  <c r="X68" i="1"/>
  <c r="X69" i="1"/>
  <c r="X70" i="1"/>
  <c r="X71" i="1"/>
  <c r="X551" i="1"/>
  <c r="X72" i="1"/>
  <c r="X73" i="1"/>
  <c r="X74" i="1"/>
  <c r="X75" i="1"/>
  <c r="X552" i="1"/>
  <c r="X76" i="1"/>
  <c r="X77" i="1"/>
  <c r="X80" i="1"/>
  <c r="X553" i="1"/>
  <c r="X554" i="1"/>
  <c r="X555" i="1"/>
  <c r="X81" i="1"/>
  <c r="X82" i="1"/>
  <c r="X83" i="1"/>
  <c r="X557" i="1"/>
  <c r="X84" i="1"/>
  <c r="X85" i="1"/>
  <c r="X558" i="1"/>
  <c r="X559" i="1"/>
  <c r="X560" i="1"/>
  <c r="X561" i="1"/>
  <c r="X87" i="1"/>
  <c r="X562" i="1"/>
  <c r="X88" i="1"/>
  <c r="X89" i="1"/>
  <c r="X90" i="1"/>
  <c r="X92" i="1"/>
  <c r="X93" i="1"/>
  <c r="X563" i="1"/>
  <c r="X564" i="1"/>
  <c r="X94" i="1"/>
  <c r="X565" i="1"/>
  <c r="X95" i="1"/>
  <c r="X96" i="1"/>
  <c r="X97" i="1"/>
  <c r="X98" i="1"/>
  <c r="X566" i="1"/>
  <c r="X99" i="1"/>
  <c r="X567" i="1"/>
  <c r="X568" i="1"/>
  <c r="X100" i="1"/>
  <c r="X101" i="1"/>
  <c r="X569" i="1"/>
  <c r="X570" i="1"/>
  <c r="X571" i="1"/>
  <c r="X102" i="1"/>
  <c r="X572" i="1"/>
  <c r="X573" i="1"/>
  <c r="X103" i="1"/>
  <c r="X574" i="1"/>
  <c r="X575" i="1"/>
  <c r="X576" i="1"/>
  <c r="X577" i="1"/>
  <c r="X578" i="1"/>
  <c r="X580" i="1"/>
  <c r="X581" i="1"/>
  <c r="X104" i="1"/>
  <c r="X582" i="1"/>
  <c r="X105" i="1"/>
  <c r="X583" i="1"/>
  <c r="X106" i="1"/>
  <c r="X107" i="1"/>
  <c r="X108" i="1"/>
  <c r="X109" i="1"/>
  <c r="X584" i="1"/>
  <c r="X110" i="1"/>
  <c r="X585" i="1"/>
  <c r="X111" i="1"/>
  <c r="X112" i="1"/>
  <c r="X113" i="1"/>
  <c r="X586" i="1"/>
  <c r="X587" i="1"/>
  <c r="X588" i="1"/>
  <c r="X589" i="1"/>
  <c r="X114" i="1"/>
  <c r="X115" i="1"/>
  <c r="X116" i="1"/>
  <c r="X590" i="1"/>
  <c r="X591" i="1"/>
  <c r="X117" i="1"/>
  <c r="X592" i="1"/>
  <c r="X118" i="1"/>
  <c r="X119" i="1"/>
  <c r="X593" i="1"/>
  <c r="X594" i="1"/>
  <c r="X595" i="1"/>
  <c r="X120" i="1"/>
  <c r="X596" i="1"/>
  <c r="X597" i="1"/>
  <c r="X598" i="1"/>
  <c r="X121" i="1"/>
  <c r="X599" i="1"/>
  <c r="X600" i="1"/>
  <c r="X122" i="1"/>
  <c r="X123" i="1"/>
  <c r="X124" i="1"/>
  <c r="X125" i="1"/>
  <c r="X126" i="1"/>
  <c r="X127" i="1"/>
  <c r="X601" i="1"/>
  <c r="X602" i="1"/>
  <c r="X603" i="1"/>
  <c r="X128" i="1"/>
  <c r="X129" i="1"/>
  <c r="X604" i="1"/>
  <c r="X605" i="1"/>
  <c r="X606" i="1"/>
  <c r="X607" i="1"/>
  <c r="X130" i="1"/>
  <c r="X609" i="1"/>
  <c r="X131" i="1"/>
  <c r="X132" i="1"/>
  <c r="X610" i="1"/>
  <c r="X133" i="1"/>
  <c r="X134" i="1"/>
  <c r="X611" i="1"/>
  <c r="X135" i="1"/>
  <c r="X136" i="1"/>
  <c r="X137" i="1"/>
  <c r="X138" i="1"/>
  <c r="X139" i="1"/>
  <c r="X140" i="1"/>
  <c r="X141" i="1"/>
  <c r="X142" i="1"/>
  <c r="X612" i="1"/>
  <c r="X613" i="1"/>
  <c r="X614" i="1"/>
  <c r="X143" i="1"/>
  <c r="X144" i="1"/>
  <c r="X145" i="1"/>
  <c r="X146" i="1"/>
  <c r="X147" i="1"/>
  <c r="X615" i="1"/>
  <c r="X148" i="1"/>
  <c r="X616" i="1"/>
  <c r="X617" i="1"/>
  <c r="X150" i="1"/>
  <c r="X618" i="1"/>
  <c r="X619" i="1"/>
  <c r="X151" i="1"/>
  <c r="X620" i="1"/>
  <c r="X152" i="1"/>
  <c r="X153" i="1"/>
  <c r="X621" i="1"/>
  <c r="X622" i="1"/>
  <c r="X623" i="1"/>
  <c r="X624" i="1"/>
  <c r="X154" i="1"/>
  <c r="X155" i="1"/>
  <c r="X625" i="1"/>
  <c r="X626" i="1"/>
  <c r="X627" i="1"/>
  <c r="X628" i="1"/>
  <c r="X156" i="1"/>
  <c r="X157" i="1"/>
  <c r="X158" i="1"/>
  <c r="X629" i="1"/>
  <c r="X160" i="1"/>
  <c r="X161" i="1"/>
  <c r="X162" i="1"/>
  <c r="X630" i="1"/>
  <c r="X631" i="1"/>
  <c r="X164" i="1"/>
  <c r="X165" i="1"/>
  <c r="X632" i="1"/>
  <c r="X167" i="1"/>
  <c r="X633" i="1"/>
  <c r="X168" i="1"/>
  <c r="X634" i="1"/>
  <c r="X169" i="1"/>
  <c r="X170" i="1"/>
  <c r="X171" i="1"/>
  <c r="X635" i="1"/>
  <c r="X636" i="1"/>
  <c r="X172" i="1"/>
  <c r="X637" i="1"/>
  <c r="X173" i="1"/>
  <c r="X638" i="1"/>
  <c r="X639" i="1"/>
  <c r="X640" i="1"/>
  <c r="X174" i="1"/>
  <c r="X641" i="1"/>
  <c r="X175" i="1"/>
  <c r="X176" i="1"/>
  <c r="X642" i="1"/>
  <c r="X643" i="1"/>
  <c r="X177" i="1"/>
  <c r="X178" i="1"/>
  <c r="X179" i="1"/>
  <c r="X644" i="1"/>
  <c r="X645" i="1"/>
  <c r="X646" i="1"/>
  <c r="X180" i="1"/>
  <c r="X181" i="1"/>
  <c r="X182" i="1"/>
  <c r="X183" i="1"/>
  <c r="X647" i="1"/>
  <c r="X648" i="1"/>
  <c r="X184" i="1"/>
  <c r="X185" i="1"/>
  <c r="X650" i="1"/>
  <c r="X186" i="1"/>
  <c r="X187" i="1"/>
  <c r="X188" i="1"/>
  <c r="X189" i="1"/>
  <c r="X190" i="1"/>
  <c r="X191" i="1"/>
  <c r="X651" i="1"/>
  <c r="X652" i="1"/>
  <c r="X653" i="1"/>
  <c r="X192" i="1"/>
  <c r="X654" i="1"/>
  <c r="X655" i="1"/>
  <c r="X193" i="1"/>
  <c r="X194" i="1"/>
  <c r="X656" i="1"/>
  <c r="X657" i="1"/>
  <c r="X196" i="1"/>
  <c r="X658" i="1"/>
  <c r="X197" i="1"/>
  <c r="X198" i="1"/>
  <c r="X199" i="1"/>
  <c r="X660" i="1"/>
  <c r="X200" i="1"/>
  <c r="X661" i="1"/>
  <c r="X662" i="1"/>
  <c r="X663" i="1"/>
  <c r="X201" i="1"/>
  <c r="X202" i="1"/>
  <c r="X664" i="1"/>
  <c r="X203" i="1"/>
  <c r="X204" i="1"/>
  <c r="X665" i="1"/>
  <c r="X205" i="1"/>
  <c r="X666" i="1"/>
  <c r="X667" i="1"/>
  <c r="X668" i="1"/>
  <c r="X206" i="1"/>
  <c r="X207" i="1"/>
  <c r="X669" i="1"/>
  <c r="X670" i="1"/>
  <c r="X671" i="1"/>
  <c r="X208" i="1"/>
  <c r="X209" i="1"/>
  <c r="X672" i="1"/>
  <c r="X210" i="1"/>
  <c r="X673" i="1"/>
  <c r="X674" i="1"/>
  <c r="X211" i="1"/>
  <c r="X675" i="1"/>
  <c r="X212" i="1"/>
  <c r="X676" i="1"/>
  <c r="X677" i="1"/>
  <c r="X213" i="1"/>
  <c r="X214" i="1"/>
  <c r="X678" i="1"/>
  <c r="X679" i="1"/>
  <c r="X681" i="1"/>
  <c r="X215" i="1"/>
  <c r="X216" i="1"/>
  <c r="X682" i="1"/>
  <c r="X684" i="1"/>
  <c r="X217" i="1"/>
  <c r="X218" i="1"/>
  <c r="X685" i="1"/>
  <c r="X686" i="1"/>
  <c r="X687" i="1"/>
  <c r="X219" i="1"/>
  <c r="X688" i="1"/>
  <c r="X689" i="1"/>
  <c r="X690" i="1"/>
  <c r="X220" i="1"/>
  <c r="X221" i="1"/>
  <c r="X222" i="1"/>
  <c r="X691" i="1"/>
  <c r="X223" i="1"/>
  <c r="X224" i="1"/>
  <c r="X225" i="1"/>
  <c r="X226" i="1"/>
  <c r="X692" i="1"/>
  <c r="X693" i="1"/>
  <c r="X227" i="1"/>
  <c r="X694" i="1"/>
  <c r="X696" i="1"/>
  <c r="X697" i="1"/>
  <c r="X228" i="1"/>
  <c r="X229" i="1"/>
  <c r="X230" i="1"/>
  <c r="X231" i="1"/>
  <c r="X698" i="1"/>
  <c r="X232" i="1"/>
  <c r="X699" i="1"/>
  <c r="X700" i="1"/>
  <c r="X233" i="1"/>
  <c r="X701" i="1"/>
  <c r="X234" i="1"/>
  <c r="X702" i="1"/>
  <c r="X235" i="1"/>
  <c r="X236" i="1"/>
  <c r="X703" i="1"/>
  <c r="X704" i="1"/>
  <c r="X237" i="1"/>
  <c r="X705" i="1"/>
  <c r="X706" i="1"/>
  <c r="X707" i="1"/>
  <c r="X708" i="1"/>
  <c r="X238" i="1"/>
  <c r="X240" i="1"/>
  <c r="X241" i="1"/>
  <c r="X242" i="1"/>
  <c r="X709" i="1"/>
  <c r="X710" i="1"/>
  <c r="X711" i="1"/>
  <c r="X243" i="1"/>
  <c r="X244" i="1"/>
  <c r="X245" i="1"/>
  <c r="X246" i="1"/>
  <c r="X712" i="1"/>
  <c r="X713" i="1"/>
  <c r="X247" i="1"/>
  <c r="X248" i="1"/>
  <c r="X714" i="1"/>
  <c r="X715" i="1"/>
  <c r="X249" i="1"/>
  <c r="X250" i="1"/>
  <c r="X716" i="1"/>
  <c r="X251" i="1"/>
  <c r="X717" i="1"/>
  <c r="X252" i="1"/>
  <c r="X718" i="1"/>
  <c r="X719" i="1"/>
  <c r="X253" i="1"/>
  <c r="X254" i="1"/>
  <c r="X720" i="1"/>
  <c r="X255" i="1"/>
  <c r="X256" i="1"/>
  <c r="X721" i="1"/>
  <c r="X722" i="1"/>
  <c r="X257" i="1"/>
  <c r="X258" i="1"/>
  <c r="X259" i="1"/>
  <c r="X260" i="1"/>
  <c r="X261" i="1"/>
  <c r="X723" i="1"/>
  <c r="X724" i="1"/>
  <c r="X262" i="1"/>
  <c r="X725" i="1"/>
  <c r="X726" i="1"/>
  <c r="X263" i="1"/>
  <c r="X264" i="1"/>
  <c r="X265" i="1"/>
  <c r="X727" i="1"/>
  <c r="X266" i="1"/>
  <c r="X267" i="1"/>
  <c r="X268" i="1"/>
  <c r="X269" i="1"/>
  <c r="X270" i="1"/>
  <c r="X271" i="1"/>
  <c r="X728" i="1"/>
  <c r="X272" i="1"/>
  <c r="X729" i="1"/>
  <c r="X273" i="1"/>
  <c r="X274" i="1"/>
  <c r="X730" i="1"/>
  <c r="X731" i="1"/>
  <c r="X275" i="1"/>
  <c r="X276" i="1"/>
  <c r="X277" i="1"/>
  <c r="X732" i="1"/>
  <c r="X733" i="1"/>
  <c r="X734" i="1"/>
  <c r="X278" i="1"/>
  <c r="X279" i="1"/>
  <c r="X280" i="1"/>
  <c r="X735" i="1"/>
  <c r="X736" i="1"/>
  <c r="X737" i="1"/>
  <c r="X281" i="1"/>
  <c r="X282" i="1"/>
  <c r="X738" i="1"/>
  <c r="X283" i="1"/>
  <c r="X739" i="1"/>
  <c r="X284" i="1"/>
  <c r="X285" i="1"/>
  <c r="X286" i="1"/>
  <c r="X287" i="1"/>
  <c r="X289" i="1"/>
  <c r="X740" i="1"/>
  <c r="X290" i="1"/>
  <c r="X291" i="1"/>
  <c r="X741" i="1"/>
  <c r="X292" i="1"/>
  <c r="X742" i="1"/>
  <c r="X293" i="1"/>
  <c r="X294" i="1"/>
  <c r="X743" i="1"/>
  <c r="X744" i="1"/>
  <c r="X295" i="1"/>
  <c r="X745" i="1"/>
  <c r="X296" i="1"/>
  <c r="X746" i="1"/>
  <c r="X747" i="1"/>
  <c r="X748" i="1"/>
  <c r="X297" i="1"/>
  <c r="X749" i="1"/>
  <c r="X750" i="1"/>
  <c r="X298" i="1"/>
  <c r="X299" i="1"/>
  <c r="X300" i="1"/>
  <c r="X751" i="1"/>
  <c r="X752" i="1"/>
  <c r="X301" i="1"/>
  <c r="X302" i="1"/>
  <c r="X753" i="1"/>
  <c r="X303" i="1"/>
  <c r="X754" i="1"/>
  <c r="X304" i="1"/>
  <c r="X755" i="1"/>
  <c r="X305" i="1"/>
  <c r="X756" i="1"/>
  <c r="X306" i="1"/>
  <c r="X307" i="1"/>
  <c r="X757" i="1"/>
  <c r="X308" i="1"/>
  <c r="X758" i="1"/>
  <c r="X309" i="1"/>
  <c r="X310" i="1"/>
  <c r="X759" i="1"/>
  <c r="X311" i="1"/>
  <c r="X760" i="1"/>
  <c r="X312" i="1"/>
  <c r="X313" i="1"/>
  <c r="X761" i="1"/>
  <c r="X314" i="1"/>
  <c r="X315" i="1"/>
  <c r="X763" i="1"/>
  <c r="X764" i="1"/>
  <c r="X316" i="1"/>
  <c r="X765" i="1"/>
  <c r="X317" i="1"/>
  <c r="X318" i="1"/>
  <c r="X766" i="1"/>
  <c r="X767" i="1"/>
  <c r="X319" i="1"/>
  <c r="X768" i="1"/>
  <c r="X320" i="1"/>
  <c r="X321" i="1"/>
  <c r="X322" i="1"/>
  <c r="X769" i="1"/>
  <c r="X323" i="1"/>
  <c r="X324" i="1"/>
  <c r="X325" i="1"/>
  <c r="X770" i="1"/>
  <c r="X771" i="1"/>
  <c r="X772" i="1"/>
  <c r="X326" i="1"/>
  <c r="X774" i="1"/>
  <c r="X327" i="1"/>
  <c r="X775" i="1"/>
  <c r="X328" i="1"/>
  <c r="X776" i="1"/>
  <c r="X329" i="1"/>
  <c r="X330" i="1"/>
  <c r="X777" i="1"/>
  <c r="X778" i="1"/>
  <c r="X331" i="1"/>
  <c r="X332" i="1"/>
  <c r="X333" i="1"/>
  <c r="X779" i="1"/>
  <c r="X780" i="1"/>
  <c r="X781" i="1"/>
  <c r="X782" i="1"/>
  <c r="X334" i="1"/>
  <c r="X335" i="1"/>
  <c r="X336" i="1"/>
  <c r="X337" i="1"/>
  <c r="X783" i="1"/>
  <c r="X338" i="1"/>
  <c r="X784" i="1"/>
  <c r="X339" i="1"/>
  <c r="X785" i="1"/>
  <c r="X340" i="1"/>
  <c r="X342" i="1"/>
  <c r="X786" i="1"/>
  <c r="X343" i="1"/>
  <c r="X344" i="1"/>
  <c r="X787" i="1"/>
  <c r="X788" i="1"/>
  <c r="X789" i="1"/>
  <c r="X790" i="1"/>
  <c r="X791" i="1"/>
  <c r="X345" i="1"/>
  <c r="X792" i="1"/>
  <c r="X346" i="1"/>
  <c r="X793" i="1"/>
  <c r="X794" i="1"/>
  <c r="X347" i="1"/>
  <c r="X348" i="1"/>
  <c r="X349" i="1"/>
  <c r="X350" i="1"/>
  <c r="X351" i="1"/>
  <c r="X352" i="1"/>
  <c r="X353" i="1"/>
  <c r="X354" i="1"/>
  <c r="X355" i="1"/>
  <c r="X795" i="1"/>
  <c r="X356" i="1"/>
  <c r="X357" i="1"/>
  <c r="X358" i="1"/>
  <c r="X796" i="1"/>
  <c r="X797" i="1"/>
  <c r="X798" i="1"/>
  <c r="X799" i="1"/>
  <c r="X359" i="1"/>
  <c r="X360" i="1"/>
  <c r="X800" i="1"/>
  <c r="X802" i="1"/>
  <c r="X803" i="1"/>
  <c r="X361" i="1"/>
  <c r="X362" i="1"/>
  <c r="X363" i="1"/>
  <c r="X364" i="1"/>
  <c r="X365" i="1"/>
  <c r="X804" i="1"/>
  <c r="X805" i="1"/>
  <c r="X366" i="1"/>
  <c r="X367" i="1"/>
  <c r="X806" i="1"/>
  <c r="X368" i="1"/>
  <c r="X369" i="1"/>
  <c r="X807" i="1"/>
  <c r="X370" i="1"/>
  <c r="X808" i="1"/>
  <c r="X371" i="1"/>
  <c r="X809" i="1"/>
  <c r="X810" i="1"/>
  <c r="X811" i="1"/>
  <c r="X812" i="1"/>
  <c r="X813" i="1"/>
  <c r="X372" i="1"/>
  <c r="X814" i="1"/>
  <c r="X815" i="1"/>
  <c r="X816" i="1"/>
  <c r="X817" i="1"/>
  <c r="X373" i="1"/>
  <c r="X374" i="1"/>
  <c r="X375" i="1"/>
  <c r="X376" i="1"/>
  <c r="X818" i="1"/>
  <c r="X377" i="1"/>
  <c r="X819" i="1"/>
  <c r="X378" i="1"/>
  <c r="X379" i="1"/>
  <c r="X820" i="1"/>
  <c r="X380" i="1"/>
  <c r="X381" i="1"/>
  <c r="X821" i="1"/>
  <c r="X382" i="1"/>
  <c r="X822" i="1"/>
  <c r="X823" i="1"/>
  <c r="X383" i="1"/>
  <c r="X384" i="1"/>
  <c r="X825" i="1"/>
  <c r="X385" i="1"/>
  <c r="X386" i="1"/>
  <c r="X826" i="1"/>
  <c r="X827" i="1"/>
  <c r="X828" i="1"/>
  <c r="X829" i="1"/>
  <c r="X387" i="1"/>
  <c r="X830" i="1"/>
  <c r="X831" i="1"/>
  <c r="X388" i="1"/>
  <c r="X389" i="1"/>
  <c r="X390" i="1"/>
  <c r="X832" i="1"/>
  <c r="X833" i="1"/>
  <c r="X834" i="1"/>
  <c r="X391" i="1"/>
  <c r="X836" i="1"/>
  <c r="X837" i="1"/>
  <c r="X392" i="1"/>
  <c r="X393" i="1"/>
  <c r="X394" i="1"/>
  <c r="X395" i="1"/>
  <c r="X838" i="1"/>
  <c r="X396" i="1"/>
  <c r="X397" i="1"/>
  <c r="X399" i="1"/>
  <c r="X400" i="1"/>
  <c r="X839" i="1"/>
  <c r="X840" i="1"/>
  <c r="X841" i="1"/>
  <c r="X401" i="1"/>
  <c r="X842" i="1"/>
  <c r="X402" i="1"/>
  <c r="X843" i="1"/>
  <c r="X844" i="1"/>
  <c r="X845" i="1"/>
  <c r="X846" i="1"/>
  <c r="X847" i="1"/>
  <c r="X404" i="1"/>
  <c r="X848" i="1"/>
  <c r="X405" i="1"/>
  <c r="X850" i="1"/>
  <c r="X406" i="1"/>
  <c r="X851" i="1"/>
  <c r="X407" i="1"/>
  <c r="X852" i="1"/>
  <c r="X408" i="1"/>
  <c r="X409" i="1"/>
  <c r="X410" i="1"/>
  <c r="X853" i="1"/>
  <c r="X855" i="1"/>
  <c r="X411" i="1"/>
  <c r="X412" i="1"/>
  <c r="X413" i="1"/>
  <c r="X414" i="1"/>
  <c r="X415" i="1"/>
  <c r="X416" i="1"/>
  <c r="X417" i="1"/>
  <c r="X856" i="1"/>
  <c r="X418" i="1"/>
  <c r="X419" i="1"/>
  <c r="X857" i="1"/>
  <c r="X420" i="1"/>
  <c r="X858" i="1"/>
  <c r="X859" i="1"/>
  <c r="X421" i="1"/>
  <c r="X860" i="1"/>
  <c r="X422" i="1"/>
  <c r="X423" i="1"/>
  <c r="X424" i="1"/>
  <c r="X861" i="1"/>
  <c r="X862" i="1"/>
  <c r="X425" i="1"/>
  <c r="X426" i="1"/>
  <c r="X863" i="1"/>
  <c r="X864" i="1"/>
  <c r="X427" i="1"/>
  <c r="X865" i="1"/>
  <c r="X428" i="1"/>
  <c r="X429" i="1"/>
  <c r="X430" i="1"/>
  <c r="X866" i="1"/>
  <c r="X431" i="1"/>
  <c r="X867" i="1"/>
  <c r="X868" i="1"/>
  <c r="X869" i="1"/>
  <c r="X432" i="1"/>
  <c r="X433" i="1"/>
  <c r="X870" i="1"/>
  <c r="X434" i="1"/>
  <c r="X435" i="1"/>
  <c r="X436" i="1"/>
  <c r="X871" i="1"/>
  <c r="X872" i="1"/>
  <c r="X873" i="1"/>
  <c r="X437" i="1"/>
  <c r="X874" i="1"/>
  <c r="X438" i="1"/>
  <c r="X439" i="1"/>
  <c r="X440" i="1"/>
  <c r="X441" i="1"/>
  <c r="X442" i="1"/>
  <c r="X875" i="1"/>
  <c r="X443" i="1"/>
  <c r="X876" i="1"/>
  <c r="X444" i="1"/>
  <c r="X877" i="1"/>
  <c r="X445" i="1"/>
  <c r="X446" i="1"/>
  <c r="X878" i="1"/>
  <c r="X447" i="1"/>
  <c r="X448" i="1"/>
  <c r="X879" i="1"/>
  <c r="X449" i="1"/>
  <c r="X880" i="1"/>
  <c r="X450" i="1"/>
  <c r="X451" i="1"/>
  <c r="X452" i="1"/>
  <c r="X881" i="1"/>
  <c r="X453" i="1"/>
  <c r="X454" i="1"/>
  <c r="X882" i="1"/>
  <c r="X883" i="1"/>
  <c r="X455" i="1"/>
  <c r="X884" i="1"/>
  <c r="X885" i="1"/>
  <c r="X456" i="1"/>
  <c r="X886" i="1"/>
  <c r="X887" i="1"/>
  <c r="X888" i="1"/>
  <c r="X457" i="1"/>
  <c r="X458" i="1"/>
  <c r="X459" i="1"/>
  <c r="X889" i="1"/>
  <c r="X890" i="1"/>
  <c r="X460" i="1"/>
  <c r="X461" i="1"/>
  <c r="X891" i="1"/>
  <c r="X462" i="1"/>
  <c r="X463" i="1"/>
  <c r="X892" i="1"/>
  <c r="X464" i="1"/>
  <c r="X465" i="1"/>
  <c r="X893" i="1"/>
  <c r="X894" i="1"/>
  <c r="X895" i="1"/>
  <c r="X896" i="1"/>
  <c r="X466" i="1"/>
  <c r="X897" i="1"/>
  <c r="X467" i="1"/>
  <c r="X898" i="1"/>
  <c r="X899" i="1"/>
  <c r="X900" i="1"/>
  <c r="X468" i="1"/>
  <c r="X469" i="1"/>
  <c r="X901" i="1"/>
  <c r="X470" i="1"/>
  <c r="X902" i="1"/>
  <c r="X903" i="1"/>
  <c r="X471" i="1"/>
  <c r="X904" i="1"/>
  <c r="X905" i="1"/>
  <c r="X472" i="1"/>
  <c r="X906" i="1"/>
  <c r="X907" i="1"/>
  <c r="X473" i="1"/>
  <c r="X474" i="1"/>
  <c r="X908" i="1"/>
  <c r="X909" i="1"/>
  <c r="X475" i="1"/>
  <c r="X477" i="1"/>
  <c r="X478" i="1"/>
  <c r="X479" i="1"/>
  <c r="X910" i="1"/>
  <c r="X911" i="1"/>
  <c r="X480" i="1"/>
  <c r="X481" i="1"/>
  <c r="X482" i="1"/>
  <c r="X483" i="1"/>
  <c r="X484" i="1"/>
  <c r="X485" i="1"/>
  <c r="X912" i="1"/>
  <c r="X913" i="1"/>
  <c r="X914" i="1"/>
  <c r="X915" i="1"/>
  <c r="X916" i="1"/>
  <c r="X917" i="1"/>
  <c r="X486" i="1"/>
  <c r="X918" i="1"/>
  <c r="X919" i="1"/>
  <c r="X920" i="1"/>
  <c r="X487" i="1"/>
  <c r="X488" i="1"/>
  <c r="X921" i="1"/>
  <c r="X922" i="1"/>
  <c r="X489" i="1"/>
  <c r="X490" i="1"/>
  <c r="X923" i="1"/>
  <c r="X491" i="1"/>
  <c r="X924" i="1"/>
  <c r="X492" i="1"/>
  <c r="X493" i="1"/>
  <c r="X925" i="1"/>
  <c r="X926" i="1"/>
  <c r="X927" i="1"/>
  <c r="X494" i="1"/>
  <c r="X928" i="1"/>
  <c r="X495" i="1"/>
  <c r="X929" i="1"/>
  <c r="X930" i="1"/>
  <c r="X496" i="1"/>
  <c r="X497" i="1"/>
  <c r="X931" i="1"/>
  <c r="X498" i="1"/>
  <c r="X499" i="1"/>
  <c r="X500" i="1"/>
  <c r="X501" i="1"/>
  <c r="X932" i="1"/>
  <c r="X502" i="1"/>
  <c r="X933" i="1"/>
  <c r="X195" i="1"/>
  <c r="X539" i="1"/>
  <c r="X680" i="1"/>
  <c r="X608" i="1"/>
  <c r="X649" i="1"/>
  <c r="X579" i="1"/>
  <c r="X239" i="1"/>
  <c r="X773" i="1"/>
  <c r="X91" i="1"/>
  <c r="X159" i="1"/>
  <c r="X79" i="1"/>
  <c r="X659" i="1"/>
  <c r="X2" i="1"/>
  <c r="V3" i="1"/>
  <c r="V4" i="1"/>
  <c r="V5" i="1"/>
  <c r="V503" i="1"/>
  <c r="V6" i="1"/>
  <c r="V504" i="1"/>
  <c r="V506" i="1"/>
  <c r="V7" i="1"/>
  <c r="V507" i="1"/>
  <c r="V508" i="1"/>
  <c r="V8" i="1"/>
  <c r="V9" i="1"/>
  <c r="V509" i="1"/>
  <c r="V10" i="1"/>
  <c r="V11" i="1"/>
  <c r="V12" i="1"/>
  <c r="V13" i="1"/>
  <c r="V510" i="1"/>
  <c r="V14" i="1"/>
  <c r="V511" i="1"/>
  <c r="V512" i="1"/>
  <c r="V513" i="1"/>
  <c r="V514" i="1"/>
  <c r="V15" i="1"/>
  <c r="V16" i="1"/>
  <c r="V17" i="1"/>
  <c r="V515" i="1"/>
  <c r="V18" i="1"/>
  <c r="V516" i="1"/>
  <c r="V19" i="1"/>
  <c r="V517" i="1"/>
  <c r="V20" i="1"/>
  <c r="V21" i="1"/>
  <c r="V518" i="1"/>
  <c r="V22" i="1"/>
  <c r="V23" i="1"/>
  <c r="V519" i="1"/>
  <c r="V24" i="1"/>
  <c r="V25" i="1"/>
  <c r="V26" i="1"/>
  <c r="V27" i="1"/>
  <c r="V520" i="1"/>
  <c r="V28" i="1"/>
  <c r="V29" i="1"/>
  <c r="V30" i="1"/>
  <c r="V31" i="1"/>
  <c r="V32" i="1"/>
  <c r="V521" i="1"/>
  <c r="V33" i="1"/>
  <c r="V522" i="1"/>
  <c r="V34" i="1"/>
  <c r="V35" i="1"/>
  <c r="V523" i="1"/>
  <c r="V524" i="1"/>
  <c r="V525" i="1"/>
  <c r="V526" i="1"/>
  <c r="V36" i="1"/>
  <c r="V37" i="1"/>
  <c r="V38" i="1"/>
  <c r="V39" i="1"/>
  <c r="V40" i="1"/>
  <c r="V41" i="1"/>
  <c r="V42" i="1"/>
  <c r="V43" i="1"/>
  <c r="V44" i="1"/>
  <c r="V527" i="1"/>
  <c r="V528" i="1"/>
  <c r="V45" i="1"/>
  <c r="V46" i="1"/>
  <c r="V529" i="1"/>
  <c r="V530" i="1"/>
  <c r="V47" i="1"/>
  <c r="V531" i="1"/>
  <c r="V532" i="1"/>
  <c r="V533" i="1"/>
  <c r="V48" i="1"/>
  <c r="V534" i="1"/>
  <c r="V535" i="1"/>
  <c r="V536" i="1"/>
  <c r="V49" i="1"/>
  <c r="V537" i="1"/>
  <c r="V50" i="1"/>
  <c r="V51" i="1"/>
  <c r="V52" i="1"/>
  <c r="V53" i="1"/>
  <c r="V54" i="1"/>
  <c r="V55" i="1"/>
  <c r="V56" i="1"/>
  <c r="V57" i="1"/>
  <c r="V538" i="1"/>
  <c r="V540" i="1"/>
  <c r="V541" i="1"/>
  <c r="V58" i="1"/>
  <c r="V59" i="1"/>
  <c r="V542" i="1"/>
  <c r="V60" i="1"/>
  <c r="V543" i="1"/>
  <c r="V61" i="1"/>
  <c r="V544" i="1"/>
  <c r="V545" i="1"/>
  <c r="V62" i="1"/>
  <c r="V546" i="1"/>
  <c r="V547" i="1"/>
  <c r="V548" i="1"/>
  <c r="V63" i="1"/>
  <c r="V64" i="1"/>
  <c r="V65" i="1"/>
  <c r="V66" i="1"/>
  <c r="V549" i="1"/>
  <c r="V67" i="1"/>
  <c r="V550" i="1"/>
  <c r="V68" i="1"/>
  <c r="V69" i="1"/>
  <c r="V70" i="1"/>
  <c r="V71" i="1"/>
  <c r="V551" i="1"/>
  <c r="V72" i="1"/>
  <c r="V73" i="1"/>
  <c r="V74" i="1"/>
  <c r="V75" i="1"/>
  <c r="V552" i="1"/>
  <c r="V76" i="1"/>
  <c r="V77" i="1"/>
  <c r="V80" i="1"/>
  <c r="V553" i="1"/>
  <c r="V554" i="1"/>
  <c r="V555" i="1"/>
  <c r="V81" i="1"/>
  <c r="V82" i="1"/>
  <c r="V83" i="1"/>
  <c r="V557" i="1"/>
  <c r="V84" i="1"/>
  <c r="V85" i="1"/>
  <c r="V558" i="1"/>
  <c r="V559" i="1"/>
  <c r="V560" i="1"/>
  <c r="V561" i="1"/>
  <c r="V87" i="1"/>
  <c r="V562" i="1"/>
  <c r="V88" i="1"/>
  <c r="V89" i="1"/>
  <c r="V90" i="1"/>
  <c r="V92" i="1"/>
  <c r="V93" i="1"/>
  <c r="V563" i="1"/>
  <c r="V564" i="1"/>
  <c r="V94" i="1"/>
  <c r="V565" i="1"/>
  <c r="V95" i="1"/>
  <c r="V96" i="1"/>
  <c r="V97" i="1"/>
  <c r="V98" i="1"/>
  <c r="V566" i="1"/>
  <c r="V99" i="1"/>
  <c r="V567" i="1"/>
  <c r="V568" i="1"/>
  <c r="V100" i="1"/>
  <c r="V101" i="1"/>
  <c r="V569" i="1"/>
  <c r="V570" i="1"/>
  <c r="V571" i="1"/>
  <c r="V102" i="1"/>
  <c r="V572" i="1"/>
  <c r="V573" i="1"/>
  <c r="V103" i="1"/>
  <c r="V574" i="1"/>
  <c r="V575" i="1"/>
  <c r="V576" i="1"/>
  <c r="V577" i="1"/>
  <c r="V578" i="1"/>
  <c r="V580" i="1"/>
  <c r="V581" i="1"/>
  <c r="V104" i="1"/>
  <c r="V582" i="1"/>
  <c r="V105" i="1"/>
  <c r="V583" i="1"/>
  <c r="V106" i="1"/>
  <c r="V107" i="1"/>
  <c r="V108" i="1"/>
  <c r="V109" i="1"/>
  <c r="V584" i="1"/>
  <c r="V110" i="1"/>
  <c r="V585" i="1"/>
  <c r="V111" i="1"/>
  <c r="V112" i="1"/>
  <c r="V113" i="1"/>
  <c r="V586" i="1"/>
  <c r="V587" i="1"/>
  <c r="V588" i="1"/>
  <c r="V589" i="1"/>
  <c r="V114" i="1"/>
  <c r="V115" i="1"/>
  <c r="V116" i="1"/>
  <c r="V590" i="1"/>
  <c r="V591" i="1"/>
  <c r="V117" i="1"/>
  <c r="V592" i="1"/>
  <c r="V118" i="1"/>
  <c r="V119" i="1"/>
  <c r="V593" i="1"/>
  <c r="V594" i="1"/>
  <c r="V595" i="1"/>
  <c r="V120" i="1"/>
  <c r="V596" i="1"/>
  <c r="V597" i="1"/>
  <c r="V598" i="1"/>
  <c r="V121" i="1"/>
  <c r="V599" i="1"/>
  <c r="V600" i="1"/>
  <c r="V122" i="1"/>
  <c r="V123" i="1"/>
  <c r="V124" i="1"/>
  <c r="V125" i="1"/>
  <c r="V126" i="1"/>
  <c r="V127" i="1"/>
  <c r="V601" i="1"/>
  <c r="V602" i="1"/>
  <c r="V603" i="1"/>
  <c r="V128" i="1"/>
  <c r="V129" i="1"/>
  <c r="V604" i="1"/>
  <c r="V605" i="1"/>
  <c r="V606" i="1"/>
  <c r="V607" i="1"/>
  <c r="V130" i="1"/>
  <c r="V609" i="1"/>
  <c r="V131" i="1"/>
  <c r="V132" i="1"/>
  <c r="V610" i="1"/>
  <c r="V133" i="1"/>
  <c r="V134" i="1"/>
  <c r="V611" i="1"/>
  <c r="V135" i="1"/>
  <c r="V136" i="1"/>
  <c r="V137" i="1"/>
  <c r="V138" i="1"/>
  <c r="V139" i="1"/>
  <c r="V140" i="1"/>
  <c r="V141" i="1"/>
  <c r="V142" i="1"/>
  <c r="V612" i="1"/>
  <c r="V613" i="1"/>
  <c r="V614" i="1"/>
  <c r="V143" i="1"/>
  <c r="V144" i="1"/>
  <c r="V145" i="1"/>
  <c r="V146" i="1"/>
  <c r="V147" i="1"/>
  <c r="V615" i="1"/>
  <c r="V148" i="1"/>
  <c r="V616" i="1"/>
  <c r="V617" i="1"/>
  <c r="V150" i="1"/>
  <c r="V618" i="1"/>
  <c r="V619" i="1"/>
  <c r="V151" i="1"/>
  <c r="V620" i="1"/>
  <c r="V152" i="1"/>
  <c r="V153" i="1"/>
  <c r="V621" i="1"/>
  <c r="V622" i="1"/>
  <c r="V623" i="1"/>
  <c r="V624" i="1"/>
  <c r="V154" i="1"/>
  <c r="V155" i="1"/>
  <c r="V625" i="1"/>
  <c r="V626" i="1"/>
  <c r="V627" i="1"/>
  <c r="V628" i="1"/>
  <c r="V156" i="1"/>
  <c r="V157" i="1"/>
  <c r="V158" i="1"/>
  <c r="V629" i="1"/>
  <c r="V160" i="1"/>
  <c r="V161" i="1"/>
  <c r="V162" i="1"/>
  <c r="V630" i="1"/>
  <c r="V631" i="1"/>
  <c r="V164" i="1"/>
  <c r="V165" i="1"/>
  <c r="V632" i="1"/>
  <c r="V167" i="1"/>
  <c r="V633" i="1"/>
  <c r="V168" i="1"/>
  <c r="V634" i="1"/>
  <c r="V169" i="1"/>
  <c r="V170" i="1"/>
  <c r="V171" i="1"/>
  <c r="V635" i="1"/>
  <c r="V636" i="1"/>
  <c r="V172" i="1"/>
  <c r="V637" i="1"/>
  <c r="V173" i="1"/>
  <c r="V638" i="1"/>
  <c r="V639" i="1"/>
  <c r="V640" i="1"/>
  <c r="V174" i="1"/>
  <c r="V641" i="1"/>
  <c r="V175" i="1"/>
  <c r="V176" i="1"/>
  <c r="V642" i="1"/>
  <c r="V643" i="1"/>
  <c r="V177" i="1"/>
  <c r="V178" i="1"/>
  <c r="V179" i="1"/>
  <c r="V644" i="1"/>
  <c r="V645" i="1"/>
  <c r="V646" i="1"/>
  <c r="V180" i="1"/>
  <c r="V181" i="1"/>
  <c r="V182" i="1"/>
  <c r="V183" i="1"/>
  <c r="V647" i="1"/>
  <c r="V648" i="1"/>
  <c r="V184" i="1"/>
  <c r="V185" i="1"/>
  <c r="V650" i="1"/>
  <c r="V186" i="1"/>
  <c r="V187" i="1"/>
  <c r="V188" i="1"/>
  <c r="V189" i="1"/>
  <c r="V190" i="1"/>
  <c r="V191" i="1"/>
  <c r="V651" i="1"/>
  <c r="V652" i="1"/>
  <c r="V653" i="1"/>
  <c r="V192" i="1"/>
  <c r="V654" i="1"/>
  <c r="V655" i="1"/>
  <c r="V193" i="1"/>
  <c r="V194" i="1"/>
  <c r="V656" i="1"/>
  <c r="V657" i="1"/>
  <c r="V196" i="1"/>
  <c r="V658" i="1"/>
  <c r="V197" i="1"/>
  <c r="V198" i="1"/>
  <c r="V199" i="1"/>
  <c r="V660" i="1"/>
  <c r="V200" i="1"/>
  <c r="V661" i="1"/>
  <c r="V662" i="1"/>
  <c r="V663" i="1"/>
  <c r="V201" i="1"/>
  <c r="V202" i="1"/>
  <c r="V664" i="1"/>
  <c r="V203" i="1"/>
  <c r="V204" i="1"/>
  <c r="V665" i="1"/>
  <c r="V205" i="1"/>
  <c r="V666" i="1"/>
  <c r="V667" i="1"/>
  <c r="V668" i="1"/>
  <c r="V206" i="1"/>
  <c r="V207" i="1"/>
  <c r="V669" i="1"/>
  <c r="V670" i="1"/>
  <c r="V671" i="1"/>
  <c r="V208" i="1"/>
  <c r="V209" i="1"/>
  <c r="V672" i="1"/>
  <c r="V210" i="1"/>
  <c r="V673" i="1"/>
  <c r="V674" i="1"/>
  <c r="V211" i="1"/>
  <c r="V675" i="1"/>
  <c r="V212" i="1"/>
  <c r="V676" i="1"/>
  <c r="V677" i="1"/>
  <c r="V213" i="1"/>
  <c r="V214" i="1"/>
  <c r="V678" i="1"/>
  <c r="V679" i="1"/>
  <c r="V681" i="1"/>
  <c r="V215" i="1"/>
  <c r="V216" i="1"/>
  <c r="V682" i="1"/>
  <c r="V684" i="1"/>
  <c r="V217" i="1"/>
  <c r="V218" i="1"/>
  <c r="V685" i="1"/>
  <c r="V686" i="1"/>
  <c r="V687" i="1"/>
  <c r="V219" i="1"/>
  <c r="V688" i="1"/>
  <c r="V689" i="1"/>
  <c r="V690" i="1"/>
  <c r="V220" i="1"/>
  <c r="V221" i="1"/>
  <c r="V222" i="1"/>
  <c r="V691" i="1"/>
  <c r="V223" i="1"/>
  <c r="V224" i="1"/>
  <c r="V225" i="1"/>
  <c r="V226" i="1"/>
  <c r="V692" i="1"/>
  <c r="V693" i="1"/>
  <c r="V227" i="1"/>
  <c r="V694" i="1"/>
  <c r="V696" i="1"/>
  <c r="V697" i="1"/>
  <c r="V228" i="1"/>
  <c r="V229" i="1"/>
  <c r="V230" i="1"/>
  <c r="V231" i="1"/>
  <c r="V698" i="1"/>
  <c r="V232" i="1"/>
  <c r="V699" i="1"/>
  <c r="V700" i="1"/>
  <c r="V233" i="1"/>
  <c r="V701" i="1"/>
  <c r="V234" i="1"/>
  <c r="V702" i="1"/>
  <c r="V235" i="1"/>
  <c r="V236" i="1"/>
  <c r="V703" i="1"/>
  <c r="V704" i="1"/>
  <c r="V237" i="1"/>
  <c r="V705" i="1"/>
  <c r="V706" i="1"/>
  <c r="V707" i="1"/>
  <c r="V708" i="1"/>
  <c r="V238" i="1"/>
  <c r="V240" i="1"/>
  <c r="V241" i="1"/>
  <c r="V242" i="1"/>
  <c r="V709" i="1"/>
  <c r="V710" i="1"/>
  <c r="V711" i="1"/>
  <c r="V243" i="1"/>
  <c r="V244" i="1"/>
  <c r="V245" i="1"/>
  <c r="V246" i="1"/>
  <c r="V712" i="1"/>
  <c r="V713" i="1"/>
  <c r="V247" i="1"/>
  <c r="V248" i="1"/>
  <c r="V714" i="1"/>
  <c r="V715" i="1"/>
  <c r="V249" i="1"/>
  <c r="V250" i="1"/>
  <c r="V716" i="1"/>
  <c r="V251" i="1"/>
  <c r="V717" i="1"/>
  <c r="V252" i="1"/>
  <c r="V718" i="1"/>
  <c r="V719" i="1"/>
  <c r="V253" i="1"/>
  <c r="V254" i="1"/>
  <c r="V720" i="1"/>
  <c r="V255" i="1"/>
  <c r="V256" i="1"/>
  <c r="V721" i="1"/>
  <c r="V722" i="1"/>
  <c r="V257" i="1"/>
  <c r="V258" i="1"/>
  <c r="V259" i="1"/>
  <c r="V260" i="1"/>
  <c r="V261" i="1"/>
  <c r="V723" i="1"/>
  <c r="V724" i="1"/>
  <c r="V262" i="1"/>
  <c r="V725" i="1"/>
  <c r="V726" i="1"/>
  <c r="V263" i="1"/>
  <c r="V264" i="1"/>
  <c r="V265" i="1"/>
  <c r="V727" i="1"/>
  <c r="V266" i="1"/>
  <c r="V267" i="1"/>
  <c r="V268" i="1"/>
  <c r="V269" i="1"/>
  <c r="V270" i="1"/>
  <c r="V271" i="1"/>
  <c r="V728" i="1"/>
  <c r="V272" i="1"/>
  <c r="V729" i="1"/>
  <c r="V273" i="1"/>
  <c r="V274" i="1"/>
  <c r="V730" i="1"/>
  <c r="V731" i="1"/>
  <c r="V275" i="1"/>
  <c r="V276" i="1"/>
  <c r="V277" i="1"/>
  <c r="V732" i="1"/>
  <c r="V733" i="1"/>
  <c r="V734" i="1"/>
  <c r="V278" i="1"/>
  <c r="V279" i="1"/>
  <c r="V280" i="1"/>
  <c r="V735" i="1"/>
  <c r="V736" i="1"/>
  <c r="V737" i="1"/>
  <c r="V281" i="1"/>
  <c r="V282" i="1"/>
  <c r="V738" i="1"/>
  <c r="V283" i="1"/>
  <c r="V739" i="1"/>
  <c r="V284" i="1"/>
  <c r="V285" i="1"/>
  <c r="V286" i="1"/>
  <c r="V287" i="1"/>
  <c r="V289" i="1"/>
  <c r="V740" i="1"/>
  <c r="V290" i="1"/>
  <c r="V291" i="1"/>
  <c r="V741" i="1"/>
  <c r="V292" i="1"/>
  <c r="V742" i="1"/>
  <c r="V293" i="1"/>
  <c r="V294" i="1"/>
  <c r="V743" i="1"/>
  <c r="V744" i="1"/>
  <c r="V295" i="1"/>
  <c r="V745" i="1"/>
  <c r="V296" i="1"/>
  <c r="V746" i="1"/>
  <c r="V747" i="1"/>
  <c r="V748" i="1"/>
  <c r="V297" i="1"/>
  <c r="V749" i="1"/>
  <c r="V750" i="1"/>
  <c r="V298" i="1"/>
  <c r="V299" i="1"/>
  <c r="V300" i="1"/>
  <c r="V751" i="1"/>
  <c r="V752" i="1"/>
  <c r="V301" i="1"/>
  <c r="V302" i="1"/>
  <c r="V753" i="1"/>
  <c r="V303" i="1"/>
  <c r="V754" i="1"/>
  <c r="V304" i="1"/>
  <c r="V755" i="1"/>
  <c r="V305" i="1"/>
  <c r="V756" i="1"/>
  <c r="V306" i="1"/>
  <c r="V307" i="1"/>
  <c r="V757" i="1"/>
  <c r="V308" i="1"/>
  <c r="V758" i="1"/>
  <c r="V309" i="1"/>
  <c r="V310" i="1"/>
  <c r="V759" i="1"/>
  <c r="V311" i="1"/>
  <c r="V760" i="1"/>
  <c r="V312" i="1"/>
  <c r="V313" i="1"/>
  <c r="V761" i="1"/>
  <c r="V314" i="1"/>
  <c r="V315" i="1"/>
  <c r="V763" i="1"/>
  <c r="V764" i="1"/>
  <c r="V316" i="1"/>
  <c r="V765" i="1"/>
  <c r="V317" i="1"/>
  <c r="V318" i="1"/>
  <c r="V766" i="1"/>
  <c r="V767" i="1"/>
  <c r="V319" i="1"/>
  <c r="V768" i="1"/>
  <c r="V320" i="1"/>
  <c r="V321" i="1"/>
  <c r="V322" i="1"/>
  <c r="V769" i="1"/>
  <c r="V323" i="1"/>
  <c r="V324" i="1"/>
  <c r="V325" i="1"/>
  <c r="V770" i="1"/>
  <c r="V771" i="1"/>
  <c r="V772" i="1"/>
  <c r="V326" i="1"/>
  <c r="V774" i="1"/>
  <c r="V327" i="1"/>
  <c r="V775" i="1"/>
  <c r="V328" i="1"/>
  <c r="V776" i="1"/>
  <c r="V329" i="1"/>
  <c r="V330" i="1"/>
  <c r="V777" i="1"/>
  <c r="V778" i="1"/>
  <c r="V331" i="1"/>
  <c r="V332" i="1"/>
  <c r="V333" i="1"/>
  <c r="V779" i="1"/>
  <c r="V780" i="1"/>
  <c r="V781" i="1"/>
  <c r="V782" i="1"/>
  <c r="V334" i="1"/>
  <c r="V335" i="1"/>
  <c r="V336" i="1"/>
  <c r="V337" i="1"/>
  <c r="V783" i="1"/>
  <c r="V338" i="1"/>
  <c r="V784" i="1"/>
  <c r="V339" i="1"/>
  <c r="V785" i="1"/>
  <c r="V340" i="1"/>
  <c r="V342" i="1"/>
  <c r="V786" i="1"/>
  <c r="V343" i="1"/>
  <c r="V344" i="1"/>
  <c r="V787" i="1"/>
  <c r="V788" i="1"/>
  <c r="V789" i="1"/>
  <c r="V790" i="1"/>
  <c r="V791" i="1"/>
  <c r="V345" i="1"/>
  <c r="V792" i="1"/>
  <c r="V346" i="1"/>
  <c r="V793" i="1"/>
  <c r="V794" i="1"/>
  <c r="V347" i="1"/>
  <c r="V348" i="1"/>
  <c r="V349" i="1"/>
  <c r="V350" i="1"/>
  <c r="V351" i="1"/>
  <c r="V352" i="1"/>
  <c r="V353" i="1"/>
  <c r="V354" i="1"/>
  <c r="V355" i="1"/>
  <c r="V795" i="1"/>
  <c r="V356" i="1"/>
  <c r="V357" i="1"/>
  <c r="V358" i="1"/>
  <c r="V796" i="1"/>
  <c r="V797" i="1"/>
  <c r="V798" i="1"/>
  <c r="V799" i="1"/>
  <c r="V359" i="1"/>
  <c r="V360" i="1"/>
  <c r="V800" i="1"/>
  <c r="V802" i="1"/>
  <c r="V803" i="1"/>
  <c r="V361" i="1"/>
  <c r="V362" i="1"/>
  <c r="V363" i="1"/>
  <c r="V364" i="1"/>
  <c r="V365" i="1"/>
  <c r="V804" i="1"/>
  <c r="V805" i="1"/>
  <c r="V366" i="1"/>
  <c r="V367" i="1"/>
  <c r="V806" i="1"/>
  <c r="V368" i="1"/>
  <c r="V369" i="1"/>
  <c r="V807" i="1"/>
  <c r="V370" i="1"/>
  <c r="V808" i="1"/>
  <c r="V371" i="1"/>
  <c r="V809" i="1"/>
  <c r="V810" i="1"/>
  <c r="V811" i="1"/>
  <c r="V812" i="1"/>
  <c r="V813" i="1"/>
  <c r="V372" i="1"/>
  <c r="V814" i="1"/>
  <c r="V815" i="1"/>
  <c r="V816" i="1"/>
  <c r="V817" i="1"/>
  <c r="V373" i="1"/>
  <c r="V374" i="1"/>
  <c r="V375" i="1"/>
  <c r="V376" i="1"/>
  <c r="V818" i="1"/>
  <c r="V377" i="1"/>
  <c r="V819" i="1"/>
  <c r="V378" i="1"/>
  <c r="V379" i="1"/>
  <c r="V820" i="1"/>
  <c r="V380" i="1"/>
  <c r="V381" i="1"/>
  <c r="V821" i="1"/>
  <c r="V382" i="1"/>
  <c r="V822" i="1"/>
  <c r="V823" i="1"/>
  <c r="V383" i="1"/>
  <c r="V384" i="1"/>
  <c r="V825" i="1"/>
  <c r="V385" i="1"/>
  <c r="V386" i="1"/>
  <c r="V826" i="1"/>
  <c r="V827" i="1"/>
  <c r="V828" i="1"/>
  <c r="V829" i="1"/>
  <c r="V387" i="1"/>
  <c r="V830" i="1"/>
  <c r="V831" i="1"/>
  <c r="V388" i="1"/>
  <c r="V389" i="1"/>
  <c r="V390" i="1"/>
  <c r="V832" i="1"/>
  <c r="V833" i="1"/>
  <c r="V834" i="1"/>
  <c r="V391" i="1"/>
  <c r="V836" i="1"/>
  <c r="V837" i="1"/>
  <c r="V392" i="1"/>
  <c r="V393" i="1"/>
  <c r="V394" i="1"/>
  <c r="V395" i="1"/>
  <c r="V838" i="1"/>
  <c r="V396" i="1"/>
  <c r="V397" i="1"/>
  <c r="V399" i="1"/>
  <c r="V400" i="1"/>
  <c r="V839" i="1"/>
  <c r="V840" i="1"/>
  <c r="V841" i="1"/>
  <c r="V401" i="1"/>
  <c r="V842" i="1"/>
  <c r="V402" i="1"/>
  <c r="V843" i="1"/>
  <c r="V844" i="1"/>
  <c r="V845" i="1"/>
  <c r="V846" i="1"/>
  <c r="V847" i="1"/>
  <c r="V404" i="1"/>
  <c r="V848" i="1"/>
  <c r="V405" i="1"/>
  <c r="V850" i="1"/>
  <c r="V406" i="1"/>
  <c r="V851" i="1"/>
  <c r="V407" i="1"/>
  <c r="V852" i="1"/>
  <c r="V408" i="1"/>
  <c r="V409" i="1"/>
  <c r="V410" i="1"/>
  <c r="V853" i="1"/>
  <c r="V855" i="1"/>
  <c r="V411" i="1"/>
  <c r="V412" i="1"/>
  <c r="V413" i="1"/>
  <c r="V414" i="1"/>
  <c r="V415" i="1"/>
  <c r="V416" i="1"/>
  <c r="V417" i="1"/>
  <c r="V856" i="1"/>
  <c r="V418" i="1"/>
  <c r="V419" i="1"/>
  <c r="V857" i="1"/>
  <c r="V420" i="1"/>
  <c r="V858" i="1"/>
  <c r="V859" i="1"/>
  <c r="V421" i="1"/>
  <c r="V860" i="1"/>
  <c r="V422" i="1"/>
  <c r="V423" i="1"/>
  <c r="V424" i="1"/>
  <c r="V861" i="1"/>
  <c r="V862" i="1"/>
  <c r="V425" i="1"/>
  <c r="V426" i="1"/>
  <c r="V863" i="1"/>
  <c r="V864" i="1"/>
  <c r="V427" i="1"/>
  <c r="V865" i="1"/>
  <c r="V428" i="1"/>
  <c r="V429" i="1"/>
  <c r="V430" i="1"/>
  <c r="V866" i="1"/>
  <c r="V431" i="1"/>
  <c r="V867" i="1"/>
  <c r="V868" i="1"/>
  <c r="V869" i="1"/>
  <c r="V432" i="1"/>
  <c r="V433" i="1"/>
  <c r="V870" i="1"/>
  <c r="V434" i="1"/>
  <c r="V435" i="1"/>
  <c r="V436" i="1"/>
  <c r="V871" i="1"/>
  <c r="V872" i="1"/>
  <c r="V873" i="1"/>
  <c r="V437" i="1"/>
  <c r="V874" i="1"/>
  <c r="V438" i="1"/>
  <c r="V439" i="1"/>
  <c r="V440" i="1"/>
  <c r="V441" i="1"/>
  <c r="V442" i="1"/>
  <c r="V875" i="1"/>
  <c r="V443" i="1"/>
  <c r="V876" i="1"/>
  <c r="V444" i="1"/>
  <c r="V877" i="1"/>
  <c r="V445" i="1"/>
  <c r="V446" i="1"/>
  <c r="V878" i="1"/>
  <c r="V447" i="1"/>
  <c r="V448" i="1"/>
  <c r="V879" i="1"/>
  <c r="V449" i="1"/>
  <c r="V880" i="1"/>
  <c r="V450" i="1"/>
  <c r="V451" i="1"/>
  <c r="V452" i="1"/>
  <c r="V881" i="1"/>
  <c r="V453" i="1"/>
  <c r="V454" i="1"/>
  <c r="V882" i="1"/>
  <c r="V883" i="1"/>
  <c r="V455" i="1"/>
  <c r="V884" i="1"/>
  <c r="V885" i="1"/>
  <c r="V456" i="1"/>
  <c r="V886" i="1"/>
  <c r="V887" i="1"/>
  <c r="V888" i="1"/>
  <c r="V457" i="1"/>
  <c r="V458" i="1"/>
  <c r="V459" i="1"/>
  <c r="V889" i="1"/>
  <c r="V890" i="1"/>
  <c r="V460" i="1"/>
  <c r="V461" i="1"/>
  <c r="V891" i="1"/>
  <c r="V462" i="1"/>
  <c r="V463" i="1"/>
  <c r="V892" i="1"/>
  <c r="V464" i="1"/>
  <c r="V465" i="1"/>
  <c r="V893" i="1"/>
  <c r="V894" i="1"/>
  <c r="V895" i="1"/>
  <c r="V896" i="1"/>
  <c r="V466" i="1"/>
  <c r="V897" i="1"/>
  <c r="V467" i="1"/>
  <c r="V898" i="1"/>
  <c r="V899" i="1"/>
  <c r="V900" i="1"/>
  <c r="V468" i="1"/>
  <c r="V469" i="1"/>
  <c r="V901" i="1"/>
  <c r="V470" i="1"/>
  <c r="V902" i="1"/>
  <c r="V903" i="1"/>
  <c r="V471" i="1"/>
  <c r="V904" i="1"/>
  <c r="V905" i="1"/>
  <c r="V472" i="1"/>
  <c r="V906" i="1"/>
  <c r="V907" i="1"/>
  <c r="V473" i="1"/>
  <c r="V474" i="1"/>
  <c r="V908" i="1"/>
  <c r="V909" i="1"/>
  <c r="V475" i="1"/>
  <c r="V477" i="1"/>
  <c r="V478" i="1"/>
  <c r="V479" i="1"/>
  <c r="V910" i="1"/>
  <c r="V911" i="1"/>
  <c r="V480" i="1"/>
  <c r="V481" i="1"/>
  <c r="V482" i="1"/>
  <c r="V483" i="1"/>
  <c r="V484" i="1"/>
  <c r="V485" i="1"/>
  <c r="V912" i="1"/>
  <c r="V913" i="1"/>
  <c r="V914" i="1"/>
  <c r="V915" i="1"/>
  <c r="V916" i="1"/>
  <c r="V917" i="1"/>
  <c r="V486" i="1"/>
  <c r="V918" i="1"/>
  <c r="V919" i="1"/>
  <c r="V920" i="1"/>
  <c r="V487" i="1"/>
  <c r="V488" i="1"/>
  <c r="V921" i="1"/>
  <c r="V922" i="1"/>
  <c r="V489" i="1"/>
  <c r="V490" i="1"/>
  <c r="V923" i="1"/>
  <c r="V491" i="1"/>
  <c r="V924" i="1"/>
  <c r="V492" i="1"/>
  <c r="V493" i="1"/>
  <c r="V925" i="1"/>
  <c r="V926" i="1"/>
  <c r="V927" i="1"/>
  <c r="V494" i="1"/>
  <c r="V928" i="1"/>
  <c r="V495" i="1"/>
  <c r="V929" i="1"/>
  <c r="V930" i="1"/>
  <c r="V496" i="1"/>
  <c r="V497" i="1"/>
  <c r="V931" i="1"/>
  <c r="V498" i="1"/>
  <c r="V499" i="1"/>
  <c r="V500" i="1"/>
  <c r="V501" i="1"/>
  <c r="V932" i="1"/>
  <c r="V502" i="1"/>
  <c r="V933" i="1"/>
  <c r="V195" i="1"/>
  <c r="V539" i="1"/>
  <c r="V680" i="1"/>
  <c r="V608" i="1"/>
  <c r="V649" i="1"/>
  <c r="V579" i="1"/>
  <c r="V239" i="1"/>
  <c r="V773" i="1"/>
  <c r="V91" i="1"/>
  <c r="V159" i="1"/>
  <c r="V79" i="1"/>
  <c r="V659" i="1"/>
  <c r="V2" i="1"/>
  <c r="T3" i="1"/>
  <c r="T4" i="1"/>
  <c r="T5" i="1"/>
  <c r="T503" i="1"/>
  <c r="T6" i="1"/>
  <c r="T504" i="1"/>
  <c r="T506" i="1"/>
  <c r="T7" i="1"/>
  <c r="T507" i="1"/>
  <c r="T508" i="1"/>
  <c r="T8" i="1"/>
  <c r="T9" i="1"/>
  <c r="T509" i="1"/>
  <c r="T10" i="1"/>
  <c r="T11" i="1"/>
  <c r="T12" i="1"/>
  <c r="T13" i="1"/>
  <c r="T510" i="1"/>
  <c r="T14" i="1"/>
  <c r="T511" i="1"/>
  <c r="T512" i="1"/>
  <c r="T513" i="1"/>
  <c r="T514" i="1"/>
  <c r="T15" i="1"/>
  <c r="T16" i="1"/>
  <c r="T17" i="1"/>
  <c r="T515" i="1"/>
  <c r="T18" i="1"/>
  <c r="T516" i="1"/>
  <c r="T19" i="1"/>
  <c r="T517" i="1"/>
  <c r="T20" i="1"/>
  <c r="T21" i="1"/>
  <c r="T518" i="1"/>
  <c r="T22" i="1"/>
  <c r="T23" i="1"/>
  <c r="T519" i="1"/>
  <c r="T24" i="1"/>
  <c r="T25" i="1"/>
  <c r="T26" i="1"/>
  <c r="T27" i="1"/>
  <c r="T520" i="1"/>
  <c r="T28" i="1"/>
  <c r="T29" i="1"/>
  <c r="T30" i="1"/>
  <c r="T31" i="1"/>
  <c r="T32" i="1"/>
  <c r="T521" i="1"/>
  <c r="T33" i="1"/>
  <c r="T522" i="1"/>
  <c r="T34" i="1"/>
  <c r="T35" i="1"/>
  <c r="T523" i="1"/>
  <c r="T524" i="1"/>
  <c r="T525" i="1"/>
  <c r="T526" i="1"/>
  <c r="T36" i="1"/>
  <c r="T37" i="1"/>
  <c r="T38" i="1"/>
  <c r="T39" i="1"/>
  <c r="T40" i="1"/>
  <c r="T41" i="1"/>
  <c r="T42" i="1"/>
  <c r="T43" i="1"/>
  <c r="T44" i="1"/>
  <c r="T527" i="1"/>
  <c r="T528" i="1"/>
  <c r="T45" i="1"/>
  <c r="T46" i="1"/>
  <c r="T529" i="1"/>
  <c r="T530" i="1"/>
  <c r="T47" i="1"/>
  <c r="T531" i="1"/>
  <c r="T532" i="1"/>
  <c r="T533" i="1"/>
  <c r="T48" i="1"/>
  <c r="T534" i="1"/>
  <c r="T535" i="1"/>
  <c r="T536" i="1"/>
  <c r="T49" i="1"/>
  <c r="T537" i="1"/>
  <c r="T50" i="1"/>
  <c r="T51" i="1"/>
  <c r="T52" i="1"/>
  <c r="T53" i="1"/>
  <c r="T54" i="1"/>
  <c r="T55" i="1"/>
  <c r="T56" i="1"/>
  <c r="T57" i="1"/>
  <c r="T538" i="1"/>
  <c r="T540" i="1"/>
  <c r="T541" i="1"/>
  <c r="T58" i="1"/>
  <c r="T59" i="1"/>
  <c r="T542" i="1"/>
  <c r="T60" i="1"/>
  <c r="T543" i="1"/>
  <c r="T61" i="1"/>
  <c r="T544" i="1"/>
  <c r="T545" i="1"/>
  <c r="T62" i="1"/>
  <c r="T546" i="1"/>
  <c r="T547" i="1"/>
  <c r="T548" i="1"/>
  <c r="T63" i="1"/>
  <c r="T64" i="1"/>
  <c r="T65" i="1"/>
  <c r="T66" i="1"/>
  <c r="T549" i="1"/>
  <c r="T67" i="1"/>
  <c r="T550" i="1"/>
  <c r="T68" i="1"/>
  <c r="T69" i="1"/>
  <c r="T70" i="1"/>
  <c r="T71" i="1"/>
  <c r="T551" i="1"/>
  <c r="T72" i="1"/>
  <c r="T73" i="1"/>
  <c r="T74" i="1"/>
  <c r="T75" i="1"/>
  <c r="T552" i="1"/>
  <c r="T76" i="1"/>
  <c r="T77" i="1"/>
  <c r="T80" i="1"/>
  <c r="T553" i="1"/>
  <c r="T554" i="1"/>
  <c r="T555" i="1"/>
  <c r="T81" i="1"/>
  <c r="T82" i="1"/>
  <c r="T83" i="1"/>
  <c r="T557" i="1"/>
  <c r="T84" i="1"/>
  <c r="T85" i="1"/>
  <c r="T558" i="1"/>
  <c r="T559" i="1"/>
  <c r="T560" i="1"/>
  <c r="T561" i="1"/>
  <c r="T87" i="1"/>
  <c r="T562" i="1"/>
  <c r="T88" i="1"/>
  <c r="T89" i="1"/>
  <c r="T90" i="1"/>
  <c r="T92" i="1"/>
  <c r="T93" i="1"/>
  <c r="T563" i="1"/>
  <c r="T564" i="1"/>
  <c r="T94" i="1"/>
  <c r="T565" i="1"/>
  <c r="T95" i="1"/>
  <c r="T96" i="1"/>
  <c r="T97" i="1"/>
  <c r="T98" i="1"/>
  <c r="T566" i="1"/>
  <c r="T99" i="1"/>
  <c r="T567" i="1"/>
  <c r="T568" i="1"/>
  <c r="T100" i="1"/>
  <c r="T101" i="1"/>
  <c r="T569" i="1"/>
  <c r="T570" i="1"/>
  <c r="T571" i="1"/>
  <c r="T102" i="1"/>
  <c r="T572" i="1"/>
  <c r="T573" i="1"/>
  <c r="T103" i="1"/>
  <c r="T574" i="1"/>
  <c r="T575" i="1"/>
  <c r="T576" i="1"/>
  <c r="T577" i="1"/>
  <c r="T578" i="1"/>
  <c r="T580" i="1"/>
  <c r="T581" i="1"/>
  <c r="T104" i="1"/>
  <c r="T582" i="1"/>
  <c r="T105" i="1"/>
  <c r="T583" i="1"/>
  <c r="T106" i="1"/>
  <c r="T107" i="1"/>
  <c r="T108" i="1"/>
  <c r="T109" i="1"/>
  <c r="T584" i="1"/>
  <c r="T110" i="1"/>
  <c r="T585" i="1"/>
  <c r="T111" i="1"/>
  <c r="T112" i="1"/>
  <c r="T113" i="1"/>
  <c r="T586" i="1"/>
  <c r="T587" i="1"/>
  <c r="T588" i="1"/>
  <c r="T589" i="1"/>
  <c r="T114" i="1"/>
  <c r="T115" i="1"/>
  <c r="T116" i="1"/>
  <c r="T590" i="1"/>
  <c r="T591" i="1"/>
  <c r="T117" i="1"/>
  <c r="T592" i="1"/>
  <c r="T118" i="1"/>
  <c r="T119" i="1"/>
  <c r="T593" i="1"/>
  <c r="T594" i="1"/>
  <c r="T595" i="1"/>
  <c r="T120" i="1"/>
  <c r="T596" i="1"/>
  <c r="T597" i="1"/>
  <c r="T598" i="1"/>
  <c r="T121" i="1"/>
  <c r="T599" i="1"/>
  <c r="T600" i="1"/>
  <c r="T122" i="1"/>
  <c r="T123" i="1"/>
  <c r="T124" i="1"/>
  <c r="T125" i="1"/>
  <c r="T126" i="1"/>
  <c r="T127" i="1"/>
  <c r="T601" i="1"/>
  <c r="T602" i="1"/>
  <c r="T603" i="1"/>
  <c r="T128" i="1"/>
  <c r="T129" i="1"/>
  <c r="T604" i="1"/>
  <c r="T605" i="1"/>
  <c r="T606" i="1"/>
  <c r="T607" i="1"/>
  <c r="T130" i="1"/>
  <c r="T609" i="1"/>
  <c r="T131" i="1"/>
  <c r="T132" i="1"/>
  <c r="T610" i="1"/>
  <c r="T133" i="1"/>
  <c r="T134" i="1"/>
  <c r="T611" i="1"/>
  <c r="T135" i="1"/>
  <c r="T136" i="1"/>
  <c r="T137" i="1"/>
  <c r="T138" i="1"/>
  <c r="T139" i="1"/>
  <c r="T140" i="1"/>
  <c r="T141" i="1"/>
  <c r="T142" i="1"/>
  <c r="T612" i="1"/>
  <c r="T613" i="1"/>
  <c r="T614" i="1"/>
  <c r="T143" i="1"/>
  <c r="T144" i="1"/>
  <c r="T145" i="1"/>
  <c r="T146" i="1"/>
  <c r="T147" i="1"/>
  <c r="T615" i="1"/>
  <c r="T148" i="1"/>
  <c r="T616" i="1"/>
  <c r="T617" i="1"/>
  <c r="T150" i="1"/>
  <c r="T618" i="1"/>
  <c r="T619" i="1"/>
  <c r="T151" i="1"/>
  <c r="T620" i="1"/>
  <c r="T152" i="1"/>
  <c r="T153" i="1"/>
  <c r="T621" i="1"/>
  <c r="T622" i="1"/>
  <c r="T623" i="1"/>
  <c r="T624" i="1"/>
  <c r="T154" i="1"/>
  <c r="T155" i="1"/>
  <c r="T625" i="1"/>
  <c r="T626" i="1"/>
  <c r="T627" i="1"/>
  <c r="T628" i="1"/>
  <c r="T156" i="1"/>
  <c r="T157" i="1"/>
  <c r="T158" i="1"/>
  <c r="T629" i="1"/>
  <c r="T160" i="1"/>
  <c r="T161" i="1"/>
  <c r="T162" i="1"/>
  <c r="T630" i="1"/>
  <c r="T631" i="1"/>
  <c r="T164" i="1"/>
  <c r="T165" i="1"/>
  <c r="T632" i="1"/>
  <c r="T167" i="1"/>
  <c r="T633" i="1"/>
  <c r="T168" i="1"/>
  <c r="T634" i="1"/>
  <c r="T169" i="1"/>
  <c r="T170" i="1"/>
  <c r="T171" i="1"/>
  <c r="T635" i="1"/>
  <c r="T636" i="1"/>
  <c r="T172" i="1"/>
  <c r="T637" i="1"/>
  <c r="T173" i="1"/>
  <c r="T638" i="1"/>
  <c r="T639" i="1"/>
  <c r="T640" i="1"/>
  <c r="T174" i="1"/>
  <c r="T641" i="1"/>
  <c r="T175" i="1"/>
  <c r="T176" i="1"/>
  <c r="T642" i="1"/>
  <c r="T643" i="1"/>
  <c r="T177" i="1"/>
  <c r="T178" i="1"/>
  <c r="T179" i="1"/>
  <c r="T644" i="1"/>
  <c r="T645" i="1"/>
  <c r="T646" i="1"/>
  <c r="T180" i="1"/>
  <c r="T181" i="1"/>
  <c r="T182" i="1"/>
  <c r="T183" i="1"/>
  <c r="T647" i="1"/>
  <c r="T648" i="1"/>
  <c r="T184" i="1"/>
  <c r="T185" i="1"/>
  <c r="T650" i="1"/>
  <c r="T186" i="1"/>
  <c r="T187" i="1"/>
  <c r="T188" i="1"/>
  <c r="T189" i="1"/>
  <c r="T190" i="1"/>
  <c r="T191" i="1"/>
  <c r="T651" i="1"/>
  <c r="T652" i="1"/>
  <c r="T653" i="1"/>
  <c r="T192" i="1"/>
  <c r="T654" i="1"/>
  <c r="T655" i="1"/>
  <c r="T193" i="1"/>
  <c r="T194" i="1"/>
  <c r="T656" i="1"/>
  <c r="T657" i="1"/>
  <c r="T196" i="1"/>
  <c r="T658" i="1"/>
  <c r="T197" i="1"/>
  <c r="T198" i="1"/>
  <c r="T199" i="1"/>
  <c r="T660" i="1"/>
  <c r="T200" i="1"/>
  <c r="T661" i="1"/>
  <c r="T662" i="1"/>
  <c r="T663" i="1"/>
  <c r="T201" i="1"/>
  <c r="T202" i="1"/>
  <c r="T664" i="1"/>
  <c r="T203" i="1"/>
  <c r="T204" i="1"/>
  <c r="T665" i="1"/>
  <c r="T205" i="1"/>
  <c r="T666" i="1"/>
  <c r="T667" i="1"/>
  <c r="T668" i="1"/>
  <c r="T206" i="1"/>
  <c r="T207" i="1"/>
  <c r="T669" i="1"/>
  <c r="T670" i="1"/>
  <c r="T671" i="1"/>
  <c r="T208" i="1"/>
  <c r="T209" i="1"/>
  <c r="T672" i="1"/>
  <c r="T210" i="1"/>
  <c r="T673" i="1"/>
  <c r="T674" i="1"/>
  <c r="T211" i="1"/>
  <c r="T675" i="1"/>
  <c r="T212" i="1"/>
  <c r="T676" i="1"/>
  <c r="T677" i="1"/>
  <c r="T213" i="1"/>
  <c r="T214" i="1"/>
  <c r="T678" i="1"/>
  <c r="T679" i="1"/>
  <c r="T681" i="1"/>
  <c r="T215" i="1"/>
  <c r="T216" i="1"/>
  <c r="T682" i="1"/>
  <c r="T684" i="1"/>
  <c r="T217" i="1"/>
  <c r="T218" i="1"/>
  <c r="T685" i="1"/>
  <c r="T686" i="1"/>
  <c r="T687" i="1"/>
  <c r="T219" i="1"/>
  <c r="T688" i="1"/>
  <c r="T689" i="1"/>
  <c r="T690" i="1"/>
  <c r="T220" i="1"/>
  <c r="T221" i="1"/>
  <c r="T222" i="1"/>
  <c r="T691" i="1"/>
  <c r="T223" i="1"/>
  <c r="T224" i="1"/>
  <c r="T225" i="1"/>
  <c r="T226" i="1"/>
  <c r="T692" i="1"/>
  <c r="T693" i="1"/>
  <c r="T227" i="1"/>
  <c r="T694" i="1"/>
  <c r="T696" i="1"/>
  <c r="T697" i="1"/>
  <c r="T228" i="1"/>
  <c r="T229" i="1"/>
  <c r="T230" i="1"/>
  <c r="T231" i="1"/>
  <c r="T698" i="1"/>
  <c r="T232" i="1"/>
  <c r="T699" i="1"/>
  <c r="T700" i="1"/>
  <c r="T233" i="1"/>
  <c r="T701" i="1"/>
  <c r="T234" i="1"/>
  <c r="T702" i="1"/>
  <c r="T235" i="1"/>
  <c r="T236" i="1"/>
  <c r="T703" i="1"/>
  <c r="T704" i="1"/>
  <c r="T237" i="1"/>
  <c r="T705" i="1"/>
  <c r="T706" i="1"/>
  <c r="T707" i="1"/>
  <c r="T708" i="1"/>
  <c r="T238" i="1"/>
  <c r="T240" i="1"/>
  <c r="T241" i="1"/>
  <c r="T242" i="1"/>
  <c r="T709" i="1"/>
  <c r="T710" i="1"/>
  <c r="T711" i="1"/>
  <c r="T243" i="1"/>
  <c r="T244" i="1"/>
  <c r="T245" i="1"/>
  <c r="T246" i="1"/>
  <c r="T712" i="1"/>
  <c r="T713" i="1"/>
  <c r="T247" i="1"/>
  <c r="T248" i="1"/>
  <c r="T714" i="1"/>
  <c r="T715" i="1"/>
  <c r="T249" i="1"/>
  <c r="T250" i="1"/>
  <c r="T716" i="1"/>
  <c r="T251" i="1"/>
  <c r="T717" i="1"/>
  <c r="T252" i="1"/>
  <c r="T718" i="1"/>
  <c r="T719" i="1"/>
  <c r="T253" i="1"/>
  <c r="T254" i="1"/>
  <c r="T720" i="1"/>
  <c r="T255" i="1"/>
  <c r="T256" i="1"/>
  <c r="T721" i="1"/>
  <c r="T722" i="1"/>
  <c r="T257" i="1"/>
  <c r="T258" i="1"/>
  <c r="T259" i="1"/>
  <c r="T260" i="1"/>
  <c r="T261" i="1"/>
  <c r="T723" i="1"/>
  <c r="T724" i="1"/>
  <c r="T262" i="1"/>
  <c r="T725" i="1"/>
  <c r="T726" i="1"/>
  <c r="T263" i="1"/>
  <c r="T264" i="1"/>
  <c r="T265" i="1"/>
  <c r="T727" i="1"/>
  <c r="T266" i="1"/>
  <c r="T267" i="1"/>
  <c r="T268" i="1"/>
  <c r="T269" i="1"/>
  <c r="T270" i="1"/>
  <c r="T271" i="1"/>
  <c r="T728" i="1"/>
  <c r="T272" i="1"/>
  <c r="T729" i="1"/>
  <c r="T273" i="1"/>
  <c r="T274" i="1"/>
  <c r="T730" i="1"/>
  <c r="T731" i="1"/>
  <c r="T275" i="1"/>
  <c r="T276" i="1"/>
  <c r="T277" i="1"/>
  <c r="T732" i="1"/>
  <c r="T733" i="1"/>
  <c r="T734" i="1"/>
  <c r="T278" i="1"/>
  <c r="T279" i="1"/>
  <c r="T280" i="1"/>
  <c r="T735" i="1"/>
  <c r="T736" i="1"/>
  <c r="T737" i="1"/>
  <c r="T281" i="1"/>
  <c r="T282" i="1"/>
  <c r="T738" i="1"/>
  <c r="T283" i="1"/>
  <c r="T739" i="1"/>
  <c r="T284" i="1"/>
  <c r="T285" i="1"/>
  <c r="T286" i="1"/>
  <c r="T287" i="1"/>
  <c r="T289" i="1"/>
  <c r="T740" i="1"/>
  <c r="T290" i="1"/>
  <c r="T291" i="1"/>
  <c r="T741" i="1"/>
  <c r="T292" i="1"/>
  <c r="T742" i="1"/>
  <c r="T293" i="1"/>
  <c r="T294" i="1"/>
  <c r="T743" i="1"/>
  <c r="T744" i="1"/>
  <c r="T295" i="1"/>
  <c r="T745" i="1"/>
  <c r="T296" i="1"/>
  <c r="T746" i="1"/>
  <c r="T747" i="1"/>
  <c r="T748" i="1"/>
  <c r="T297" i="1"/>
  <c r="T749" i="1"/>
  <c r="T750" i="1"/>
  <c r="T298" i="1"/>
  <c r="T299" i="1"/>
  <c r="T300" i="1"/>
  <c r="T751" i="1"/>
  <c r="T752" i="1"/>
  <c r="T301" i="1"/>
  <c r="T302" i="1"/>
  <c r="T753" i="1"/>
  <c r="T303" i="1"/>
  <c r="T754" i="1"/>
  <c r="T304" i="1"/>
  <c r="T755" i="1"/>
  <c r="T305" i="1"/>
  <c r="T756" i="1"/>
  <c r="T306" i="1"/>
  <c r="T307" i="1"/>
  <c r="T757" i="1"/>
  <c r="T308" i="1"/>
  <c r="T758" i="1"/>
  <c r="T309" i="1"/>
  <c r="T310" i="1"/>
  <c r="T759" i="1"/>
  <c r="T311" i="1"/>
  <c r="T760" i="1"/>
  <c r="T312" i="1"/>
  <c r="T313" i="1"/>
  <c r="T761" i="1"/>
  <c r="T314" i="1"/>
  <c r="T315" i="1"/>
  <c r="T763" i="1"/>
  <c r="T764" i="1"/>
  <c r="T316" i="1"/>
  <c r="T765" i="1"/>
  <c r="T317" i="1"/>
  <c r="T318" i="1"/>
  <c r="T766" i="1"/>
  <c r="T767" i="1"/>
  <c r="T319" i="1"/>
  <c r="T768" i="1"/>
  <c r="T320" i="1"/>
  <c r="T321" i="1"/>
  <c r="T322" i="1"/>
  <c r="T769" i="1"/>
  <c r="T323" i="1"/>
  <c r="T324" i="1"/>
  <c r="T325" i="1"/>
  <c r="T770" i="1"/>
  <c r="T771" i="1"/>
  <c r="T772" i="1"/>
  <c r="T326" i="1"/>
  <c r="T774" i="1"/>
  <c r="T327" i="1"/>
  <c r="T775" i="1"/>
  <c r="T328" i="1"/>
  <c r="T776" i="1"/>
  <c r="T329" i="1"/>
  <c r="T330" i="1"/>
  <c r="T777" i="1"/>
  <c r="T778" i="1"/>
  <c r="T331" i="1"/>
  <c r="T332" i="1"/>
  <c r="T333" i="1"/>
  <c r="T779" i="1"/>
  <c r="T780" i="1"/>
  <c r="T781" i="1"/>
  <c r="T782" i="1"/>
  <c r="T334" i="1"/>
  <c r="T335" i="1"/>
  <c r="T336" i="1"/>
  <c r="T337" i="1"/>
  <c r="T783" i="1"/>
  <c r="T338" i="1"/>
  <c r="T784" i="1"/>
  <c r="T339" i="1"/>
  <c r="T785" i="1"/>
  <c r="T340" i="1"/>
  <c r="T342" i="1"/>
  <c r="T786" i="1"/>
  <c r="T343" i="1"/>
  <c r="T344" i="1"/>
  <c r="T787" i="1"/>
  <c r="T788" i="1"/>
  <c r="T789" i="1"/>
  <c r="T790" i="1"/>
  <c r="T791" i="1"/>
  <c r="T345" i="1"/>
  <c r="T792" i="1"/>
  <c r="T346" i="1"/>
  <c r="T793" i="1"/>
  <c r="T794" i="1"/>
  <c r="T347" i="1"/>
  <c r="T348" i="1"/>
  <c r="T349" i="1"/>
  <c r="T350" i="1"/>
  <c r="T351" i="1"/>
  <c r="T352" i="1"/>
  <c r="T353" i="1"/>
  <c r="T354" i="1"/>
  <c r="T355" i="1"/>
  <c r="T795" i="1"/>
  <c r="T356" i="1"/>
  <c r="T357" i="1"/>
  <c r="T358" i="1"/>
  <c r="T796" i="1"/>
  <c r="T797" i="1"/>
  <c r="T798" i="1"/>
  <c r="T799" i="1"/>
  <c r="T359" i="1"/>
  <c r="T360" i="1"/>
  <c r="T800" i="1"/>
  <c r="T802" i="1"/>
  <c r="T803" i="1"/>
  <c r="T361" i="1"/>
  <c r="T362" i="1"/>
  <c r="T363" i="1"/>
  <c r="T364" i="1"/>
  <c r="T365" i="1"/>
  <c r="T804" i="1"/>
  <c r="T805" i="1"/>
  <c r="T366" i="1"/>
  <c r="T367" i="1"/>
  <c r="T806" i="1"/>
  <c r="T368" i="1"/>
  <c r="T369" i="1"/>
  <c r="T807" i="1"/>
  <c r="T370" i="1"/>
  <c r="T808" i="1"/>
  <c r="T371" i="1"/>
  <c r="T809" i="1"/>
  <c r="T810" i="1"/>
  <c r="T811" i="1"/>
  <c r="T812" i="1"/>
  <c r="T813" i="1"/>
  <c r="T372" i="1"/>
  <c r="T814" i="1"/>
  <c r="T815" i="1"/>
  <c r="T816" i="1"/>
  <c r="T817" i="1"/>
  <c r="T373" i="1"/>
  <c r="T374" i="1"/>
  <c r="T375" i="1"/>
  <c r="T376" i="1"/>
  <c r="T818" i="1"/>
  <c r="T377" i="1"/>
  <c r="T819" i="1"/>
  <c r="T378" i="1"/>
  <c r="T379" i="1"/>
  <c r="T820" i="1"/>
  <c r="T380" i="1"/>
  <c r="T381" i="1"/>
  <c r="T821" i="1"/>
  <c r="T382" i="1"/>
  <c r="T822" i="1"/>
  <c r="T823" i="1"/>
  <c r="T383" i="1"/>
  <c r="T384" i="1"/>
  <c r="T825" i="1"/>
  <c r="T385" i="1"/>
  <c r="T386" i="1"/>
  <c r="T826" i="1"/>
  <c r="T827" i="1"/>
  <c r="T828" i="1"/>
  <c r="T829" i="1"/>
  <c r="T387" i="1"/>
  <c r="T830" i="1"/>
  <c r="T831" i="1"/>
  <c r="T388" i="1"/>
  <c r="T389" i="1"/>
  <c r="T390" i="1"/>
  <c r="T832" i="1"/>
  <c r="T833" i="1"/>
  <c r="T834" i="1"/>
  <c r="T391" i="1"/>
  <c r="T836" i="1"/>
  <c r="T837" i="1"/>
  <c r="T392" i="1"/>
  <c r="T393" i="1"/>
  <c r="T394" i="1"/>
  <c r="T395" i="1"/>
  <c r="T838" i="1"/>
  <c r="T396" i="1"/>
  <c r="T397" i="1"/>
  <c r="T399" i="1"/>
  <c r="T400" i="1"/>
  <c r="T839" i="1"/>
  <c r="T840" i="1"/>
  <c r="T841" i="1"/>
  <c r="T401" i="1"/>
  <c r="T842" i="1"/>
  <c r="T402" i="1"/>
  <c r="T843" i="1"/>
  <c r="T844" i="1"/>
  <c r="T845" i="1"/>
  <c r="T846" i="1"/>
  <c r="T847" i="1"/>
  <c r="T404" i="1"/>
  <c r="T848" i="1"/>
  <c r="T405" i="1"/>
  <c r="T850" i="1"/>
  <c r="T406" i="1"/>
  <c r="T851" i="1"/>
  <c r="T407" i="1"/>
  <c r="T852" i="1"/>
  <c r="T408" i="1"/>
  <c r="T409" i="1"/>
  <c r="T410" i="1"/>
  <c r="T853" i="1"/>
  <c r="T855" i="1"/>
  <c r="T411" i="1"/>
  <c r="T412" i="1"/>
  <c r="T413" i="1"/>
  <c r="T414" i="1"/>
  <c r="T415" i="1"/>
  <c r="T416" i="1"/>
  <c r="T417" i="1"/>
  <c r="T856" i="1"/>
  <c r="T418" i="1"/>
  <c r="T419" i="1"/>
  <c r="T857" i="1"/>
  <c r="T420" i="1"/>
  <c r="T858" i="1"/>
  <c r="T859" i="1"/>
  <c r="T421" i="1"/>
  <c r="T860" i="1"/>
  <c r="T422" i="1"/>
  <c r="T423" i="1"/>
  <c r="T424" i="1"/>
  <c r="T861" i="1"/>
  <c r="T862" i="1"/>
  <c r="T425" i="1"/>
  <c r="T426" i="1"/>
  <c r="T863" i="1"/>
  <c r="T864" i="1"/>
  <c r="T427" i="1"/>
  <c r="T865" i="1"/>
  <c r="T428" i="1"/>
  <c r="T429" i="1"/>
  <c r="T430" i="1"/>
  <c r="T866" i="1"/>
  <c r="T431" i="1"/>
  <c r="T867" i="1"/>
  <c r="T868" i="1"/>
  <c r="T869" i="1"/>
  <c r="T432" i="1"/>
  <c r="T433" i="1"/>
  <c r="T870" i="1"/>
  <c r="T434" i="1"/>
  <c r="T435" i="1"/>
  <c r="T436" i="1"/>
  <c r="T871" i="1"/>
  <c r="T872" i="1"/>
  <c r="T873" i="1"/>
  <c r="T437" i="1"/>
  <c r="T874" i="1"/>
  <c r="T438" i="1"/>
  <c r="T439" i="1"/>
  <c r="T440" i="1"/>
  <c r="T441" i="1"/>
  <c r="T442" i="1"/>
  <c r="T875" i="1"/>
  <c r="T443" i="1"/>
  <c r="T876" i="1"/>
  <c r="T444" i="1"/>
  <c r="T877" i="1"/>
  <c r="T445" i="1"/>
  <c r="T446" i="1"/>
  <c r="T878" i="1"/>
  <c r="T447" i="1"/>
  <c r="T448" i="1"/>
  <c r="T879" i="1"/>
  <c r="T449" i="1"/>
  <c r="T880" i="1"/>
  <c r="T450" i="1"/>
  <c r="T451" i="1"/>
  <c r="T452" i="1"/>
  <c r="T881" i="1"/>
  <c r="T453" i="1"/>
  <c r="T454" i="1"/>
  <c r="T882" i="1"/>
  <c r="T883" i="1"/>
  <c r="T455" i="1"/>
  <c r="T884" i="1"/>
  <c r="T885" i="1"/>
  <c r="T456" i="1"/>
  <c r="T886" i="1"/>
  <c r="T887" i="1"/>
  <c r="T888" i="1"/>
  <c r="T457" i="1"/>
  <c r="T458" i="1"/>
  <c r="T459" i="1"/>
  <c r="T889" i="1"/>
  <c r="T890" i="1"/>
  <c r="T460" i="1"/>
  <c r="T461" i="1"/>
  <c r="T891" i="1"/>
  <c r="T462" i="1"/>
  <c r="T463" i="1"/>
  <c r="T892" i="1"/>
  <c r="T464" i="1"/>
  <c r="T465" i="1"/>
  <c r="T893" i="1"/>
  <c r="T894" i="1"/>
  <c r="T895" i="1"/>
  <c r="T896" i="1"/>
  <c r="T466" i="1"/>
  <c r="T897" i="1"/>
  <c r="T467" i="1"/>
  <c r="T898" i="1"/>
  <c r="T899" i="1"/>
  <c r="T900" i="1"/>
  <c r="T468" i="1"/>
  <c r="T469" i="1"/>
  <c r="T901" i="1"/>
  <c r="T470" i="1"/>
  <c r="T902" i="1"/>
  <c r="T903" i="1"/>
  <c r="T471" i="1"/>
  <c r="T904" i="1"/>
  <c r="T905" i="1"/>
  <c r="T472" i="1"/>
  <c r="T906" i="1"/>
  <c r="T907" i="1"/>
  <c r="T473" i="1"/>
  <c r="T474" i="1"/>
  <c r="T908" i="1"/>
  <c r="T909" i="1"/>
  <c r="T475" i="1"/>
  <c r="T477" i="1"/>
  <c r="T478" i="1"/>
  <c r="T479" i="1"/>
  <c r="T910" i="1"/>
  <c r="T911" i="1"/>
  <c r="T480" i="1"/>
  <c r="T481" i="1"/>
  <c r="T482" i="1"/>
  <c r="T483" i="1"/>
  <c r="T484" i="1"/>
  <c r="T485" i="1"/>
  <c r="T912" i="1"/>
  <c r="T913" i="1"/>
  <c r="T914" i="1"/>
  <c r="T915" i="1"/>
  <c r="T916" i="1"/>
  <c r="T917" i="1"/>
  <c r="T486" i="1"/>
  <c r="T918" i="1"/>
  <c r="T919" i="1"/>
  <c r="T920" i="1"/>
  <c r="T487" i="1"/>
  <c r="T488" i="1"/>
  <c r="T921" i="1"/>
  <c r="T922" i="1"/>
  <c r="T489" i="1"/>
  <c r="T490" i="1"/>
  <c r="T923" i="1"/>
  <c r="T491" i="1"/>
  <c r="T924" i="1"/>
  <c r="T492" i="1"/>
  <c r="T493" i="1"/>
  <c r="T925" i="1"/>
  <c r="T926" i="1"/>
  <c r="T927" i="1"/>
  <c r="T494" i="1"/>
  <c r="T928" i="1"/>
  <c r="T495" i="1"/>
  <c r="T929" i="1"/>
  <c r="T930" i="1"/>
  <c r="T496" i="1"/>
  <c r="T497" i="1"/>
  <c r="T931" i="1"/>
  <c r="T498" i="1"/>
  <c r="T499" i="1"/>
  <c r="T500" i="1"/>
  <c r="T501" i="1"/>
  <c r="T932" i="1"/>
  <c r="T502" i="1"/>
  <c r="T933" i="1"/>
  <c r="T195" i="1"/>
  <c r="T539" i="1"/>
  <c r="T680" i="1"/>
  <c r="T608" i="1"/>
  <c r="T649" i="1"/>
  <c r="T579" i="1"/>
  <c r="T239" i="1"/>
  <c r="T773" i="1"/>
  <c r="T91" i="1"/>
  <c r="T159" i="1"/>
  <c r="T79" i="1"/>
  <c r="T659" i="1"/>
  <c r="T2" i="1"/>
  <c r="O431" i="1"/>
  <c r="O867" i="1"/>
  <c r="O868" i="1"/>
  <c r="O869" i="1"/>
  <c r="O432" i="1"/>
  <c r="O433" i="1"/>
  <c r="O870" i="1"/>
  <c r="O434" i="1"/>
  <c r="O435" i="1"/>
  <c r="O436" i="1"/>
  <c r="O871" i="1"/>
  <c r="O872" i="1"/>
  <c r="O873" i="1"/>
  <c r="O437" i="1"/>
  <c r="O874" i="1"/>
  <c r="O438" i="1"/>
  <c r="O439" i="1"/>
  <c r="O440" i="1"/>
  <c r="O441" i="1"/>
  <c r="O442" i="1"/>
  <c r="O875" i="1"/>
  <c r="O443" i="1"/>
  <c r="O876" i="1"/>
  <c r="O444" i="1"/>
  <c r="O877" i="1"/>
  <c r="O445" i="1"/>
  <c r="O446" i="1"/>
  <c r="O878" i="1"/>
  <c r="O447" i="1"/>
  <c r="O448" i="1"/>
  <c r="O879" i="1"/>
  <c r="O449" i="1"/>
  <c r="O880" i="1"/>
  <c r="O450" i="1"/>
  <c r="O451" i="1"/>
  <c r="O452" i="1"/>
  <c r="O881" i="1"/>
  <c r="O453" i="1"/>
  <c r="O454" i="1"/>
  <c r="O882" i="1"/>
  <c r="O883" i="1"/>
  <c r="O455" i="1"/>
  <c r="O884" i="1"/>
  <c r="O885" i="1"/>
  <c r="O456" i="1"/>
  <c r="O886" i="1"/>
  <c r="O887" i="1"/>
  <c r="O888" i="1"/>
  <c r="O457" i="1"/>
  <c r="O458" i="1"/>
  <c r="O459" i="1"/>
  <c r="O889" i="1"/>
  <c r="O890" i="1"/>
  <c r="O460" i="1"/>
  <c r="O461" i="1"/>
  <c r="O891" i="1"/>
  <c r="O462" i="1"/>
  <c r="O463" i="1"/>
  <c r="O892" i="1"/>
  <c r="O464" i="1"/>
  <c r="O465" i="1"/>
  <c r="O893" i="1"/>
  <c r="O894" i="1"/>
  <c r="O895" i="1"/>
  <c r="O896" i="1"/>
  <c r="O466" i="1"/>
  <c r="O897" i="1"/>
  <c r="O467" i="1"/>
  <c r="O898" i="1"/>
  <c r="O899" i="1"/>
  <c r="O900" i="1"/>
  <c r="O468" i="1"/>
  <c r="O469" i="1"/>
  <c r="O901" i="1"/>
  <c r="O470" i="1"/>
  <c r="O902" i="1"/>
  <c r="O903" i="1"/>
  <c r="O471" i="1"/>
  <c r="O904" i="1"/>
  <c r="O905" i="1"/>
  <c r="O472" i="1"/>
  <c r="O906" i="1"/>
  <c r="O907" i="1"/>
  <c r="O473" i="1"/>
  <c r="O474" i="1"/>
  <c r="O908" i="1"/>
  <c r="O909" i="1"/>
  <c r="O475" i="1"/>
  <c r="O477" i="1"/>
  <c r="O478" i="1"/>
  <c r="O479" i="1"/>
  <c r="O910" i="1"/>
  <c r="O911" i="1"/>
  <c r="O480" i="1"/>
  <c r="O481" i="1"/>
  <c r="O482" i="1"/>
  <c r="O483" i="1"/>
  <c r="O484" i="1"/>
  <c r="O485" i="1"/>
  <c r="O912" i="1"/>
  <c r="O913" i="1"/>
  <c r="O914" i="1"/>
  <c r="O915" i="1"/>
  <c r="O916" i="1"/>
  <c r="O917" i="1"/>
  <c r="O486" i="1"/>
  <c r="O918" i="1"/>
  <c r="O919" i="1"/>
  <c r="O920" i="1"/>
  <c r="O487" i="1"/>
  <c r="O488" i="1"/>
  <c r="O921" i="1"/>
  <c r="O922" i="1"/>
  <c r="O489" i="1"/>
  <c r="O490" i="1"/>
  <c r="O923" i="1"/>
  <c r="O491" i="1"/>
  <c r="O924" i="1"/>
  <c r="O492" i="1"/>
  <c r="O493" i="1"/>
  <c r="O925" i="1"/>
  <c r="O926" i="1"/>
  <c r="O927" i="1"/>
  <c r="O494" i="1"/>
  <c r="O928" i="1"/>
  <c r="O495" i="1"/>
  <c r="O929" i="1"/>
  <c r="O930" i="1"/>
  <c r="O496" i="1"/>
  <c r="O497" i="1"/>
  <c r="O931" i="1"/>
  <c r="O498" i="1"/>
  <c r="O499" i="1"/>
  <c r="O500" i="1"/>
  <c r="O501" i="1"/>
  <c r="O932" i="1"/>
  <c r="O502" i="1"/>
  <c r="O933" i="1"/>
  <c r="O195" i="1"/>
  <c r="O539" i="1"/>
  <c r="O680" i="1"/>
  <c r="O608" i="1"/>
  <c r="O649" i="1"/>
  <c r="O579" i="1"/>
  <c r="O239" i="1"/>
  <c r="O773" i="1"/>
  <c r="O91" i="1"/>
  <c r="O159" i="1"/>
  <c r="O79" i="1"/>
  <c r="O659" i="1"/>
  <c r="O3" i="1"/>
  <c r="O4" i="1"/>
  <c r="O5" i="1"/>
  <c r="O503" i="1"/>
  <c r="O6" i="1"/>
  <c r="O504" i="1"/>
  <c r="O506" i="1"/>
  <c r="O7" i="1"/>
  <c r="O507" i="1"/>
  <c r="O508" i="1"/>
  <c r="O8" i="1"/>
  <c r="O9" i="1"/>
  <c r="O509" i="1"/>
  <c r="O10" i="1"/>
  <c r="O11" i="1"/>
  <c r="O12" i="1"/>
  <c r="O13" i="1"/>
  <c r="O510" i="1"/>
  <c r="O14" i="1"/>
  <c r="O511" i="1"/>
  <c r="O512" i="1"/>
  <c r="O513" i="1"/>
  <c r="O514" i="1"/>
  <c r="O15" i="1"/>
  <c r="O16" i="1"/>
  <c r="O17" i="1"/>
  <c r="O515" i="1"/>
  <c r="O18" i="1"/>
  <c r="O516" i="1"/>
  <c r="O19" i="1"/>
  <c r="O517" i="1"/>
  <c r="O20" i="1"/>
  <c r="O21" i="1"/>
  <c r="O518" i="1"/>
  <c r="O22" i="1"/>
  <c r="O23" i="1"/>
  <c r="O519" i="1"/>
  <c r="O24" i="1"/>
  <c r="O25" i="1"/>
  <c r="O26" i="1"/>
  <c r="O27" i="1"/>
  <c r="O520" i="1"/>
  <c r="O28" i="1"/>
  <c r="O29" i="1"/>
  <c r="O30" i="1"/>
  <c r="O31" i="1"/>
  <c r="O32" i="1"/>
  <c r="O521" i="1"/>
  <c r="O33" i="1"/>
  <c r="O522" i="1"/>
  <c r="O34" i="1"/>
  <c r="O35" i="1"/>
  <c r="O523" i="1"/>
  <c r="O524" i="1"/>
  <c r="O525" i="1"/>
  <c r="O526" i="1"/>
  <c r="O36" i="1"/>
  <c r="O37" i="1"/>
  <c r="O38" i="1"/>
  <c r="O39" i="1"/>
  <c r="O40" i="1"/>
  <c r="O41" i="1"/>
  <c r="O42" i="1"/>
  <c r="O43" i="1"/>
  <c r="O44" i="1"/>
  <c r="O527" i="1"/>
  <c r="O528" i="1"/>
  <c r="O45" i="1"/>
  <c r="O46" i="1"/>
  <c r="O529" i="1"/>
  <c r="O530" i="1"/>
  <c r="O47" i="1"/>
  <c r="O531" i="1"/>
  <c r="O532" i="1"/>
  <c r="O533" i="1"/>
  <c r="O48" i="1"/>
  <c r="O534" i="1"/>
  <c r="O535" i="1"/>
  <c r="O536" i="1"/>
  <c r="O49" i="1"/>
  <c r="O537" i="1"/>
  <c r="O50" i="1"/>
  <c r="O51" i="1"/>
  <c r="O52" i="1"/>
  <c r="O53" i="1"/>
  <c r="O54" i="1"/>
  <c r="O55" i="1"/>
  <c r="O56" i="1"/>
  <c r="O57" i="1"/>
  <c r="O538" i="1"/>
  <c r="O540" i="1"/>
  <c r="O541" i="1"/>
  <c r="O58" i="1"/>
  <c r="O59" i="1"/>
  <c r="O542" i="1"/>
  <c r="O60" i="1"/>
  <c r="O543" i="1"/>
  <c r="O61" i="1"/>
  <c r="O544" i="1"/>
  <c r="O545" i="1"/>
  <c r="O62" i="1"/>
  <c r="O546" i="1"/>
  <c r="O547" i="1"/>
  <c r="O548" i="1"/>
  <c r="O63" i="1"/>
  <c r="O64" i="1"/>
  <c r="O65" i="1"/>
  <c r="O66" i="1"/>
  <c r="O549" i="1"/>
  <c r="O67" i="1"/>
  <c r="O550" i="1"/>
  <c r="O68" i="1"/>
  <c r="O69" i="1"/>
  <c r="O70" i="1"/>
  <c r="O71" i="1"/>
  <c r="O551" i="1"/>
  <c r="O72" i="1"/>
  <c r="O73" i="1"/>
  <c r="O74" i="1"/>
  <c r="O75" i="1"/>
  <c r="O552" i="1"/>
  <c r="O76" i="1"/>
  <c r="O77" i="1"/>
  <c r="O80" i="1"/>
  <c r="O553" i="1"/>
  <c r="O554" i="1"/>
  <c r="O555" i="1"/>
  <c r="O81" i="1"/>
  <c r="O82" i="1"/>
  <c r="O83" i="1"/>
  <c r="O557" i="1"/>
  <c r="O84" i="1"/>
  <c r="O85" i="1"/>
  <c r="O558" i="1"/>
  <c r="O559" i="1"/>
  <c r="O560" i="1"/>
  <c r="O561" i="1"/>
  <c r="O87" i="1"/>
  <c r="O562" i="1"/>
  <c r="O88" i="1"/>
  <c r="O89" i="1"/>
  <c r="O90" i="1"/>
  <c r="O92" i="1"/>
  <c r="O93" i="1"/>
  <c r="O563" i="1"/>
  <c r="O564" i="1"/>
  <c r="O94" i="1"/>
  <c r="O565" i="1"/>
  <c r="O95" i="1"/>
  <c r="O96" i="1"/>
  <c r="O97" i="1"/>
  <c r="O98" i="1"/>
  <c r="O566" i="1"/>
  <c r="O99" i="1"/>
  <c r="O567" i="1"/>
  <c r="O568" i="1"/>
  <c r="O100" i="1"/>
  <c r="O101" i="1"/>
  <c r="O569" i="1"/>
  <c r="O570" i="1"/>
  <c r="O571" i="1"/>
  <c r="O102" i="1"/>
  <c r="O572" i="1"/>
  <c r="O573" i="1"/>
  <c r="O103" i="1"/>
  <c r="O574" i="1"/>
  <c r="O575" i="1"/>
  <c r="O576" i="1"/>
  <c r="O577" i="1"/>
  <c r="O578" i="1"/>
  <c r="O580" i="1"/>
  <c r="O581" i="1"/>
  <c r="O104" i="1"/>
  <c r="O582" i="1"/>
  <c r="O105" i="1"/>
  <c r="O583" i="1"/>
  <c r="O106" i="1"/>
  <c r="O107" i="1"/>
  <c r="O108" i="1"/>
  <c r="O109" i="1"/>
  <c r="O584" i="1"/>
  <c r="O110" i="1"/>
  <c r="O585" i="1"/>
  <c r="O111" i="1"/>
  <c r="O112" i="1"/>
  <c r="O113" i="1"/>
  <c r="O586" i="1"/>
  <c r="O587" i="1"/>
  <c r="O588" i="1"/>
  <c r="O589" i="1"/>
  <c r="O114" i="1"/>
  <c r="O115" i="1"/>
  <c r="O116" i="1"/>
  <c r="O590" i="1"/>
  <c r="O591" i="1"/>
  <c r="O117" i="1"/>
  <c r="O592" i="1"/>
  <c r="O118" i="1"/>
  <c r="O119" i="1"/>
  <c r="O593" i="1"/>
  <c r="O594" i="1"/>
  <c r="O595" i="1"/>
  <c r="O120" i="1"/>
  <c r="O596" i="1"/>
  <c r="O597" i="1"/>
  <c r="O598" i="1"/>
  <c r="O121" i="1"/>
  <c r="O599" i="1"/>
  <c r="O600" i="1"/>
  <c r="O122" i="1"/>
  <c r="O123" i="1"/>
  <c r="O124" i="1"/>
  <c r="O125" i="1"/>
  <c r="O126" i="1"/>
  <c r="O127" i="1"/>
  <c r="O601" i="1"/>
  <c r="O602" i="1"/>
  <c r="O603" i="1"/>
  <c r="O128" i="1"/>
  <c r="O129" i="1"/>
  <c r="O604" i="1"/>
  <c r="O605" i="1"/>
  <c r="O606" i="1"/>
  <c r="O607" i="1"/>
  <c r="O130" i="1"/>
  <c r="O609" i="1"/>
  <c r="O131" i="1"/>
  <c r="O132" i="1"/>
  <c r="O610" i="1"/>
  <c r="O133" i="1"/>
  <c r="O134" i="1"/>
  <c r="O611" i="1"/>
  <c r="O135" i="1"/>
  <c r="O136" i="1"/>
  <c r="O137" i="1"/>
  <c r="O138" i="1"/>
  <c r="O139" i="1"/>
  <c r="O140" i="1"/>
  <c r="O141" i="1"/>
  <c r="O142" i="1"/>
  <c r="O612" i="1"/>
  <c r="O613" i="1"/>
  <c r="O614" i="1"/>
  <c r="O143" i="1"/>
  <c r="O144" i="1"/>
  <c r="O145" i="1"/>
  <c r="O146" i="1"/>
  <c r="O147" i="1"/>
  <c r="O615" i="1"/>
  <c r="O148" i="1"/>
  <c r="O616" i="1"/>
  <c r="O617" i="1"/>
  <c r="O150" i="1"/>
  <c r="O618" i="1"/>
  <c r="O619" i="1"/>
  <c r="O151" i="1"/>
  <c r="O620" i="1"/>
  <c r="O152" i="1"/>
  <c r="O153" i="1"/>
  <c r="O621" i="1"/>
  <c r="O622" i="1"/>
  <c r="O623" i="1"/>
  <c r="O624" i="1"/>
  <c r="O154" i="1"/>
  <c r="O155" i="1"/>
  <c r="O625" i="1"/>
  <c r="O626" i="1"/>
  <c r="O627" i="1"/>
  <c r="O628" i="1"/>
  <c r="O156" i="1"/>
  <c r="O157" i="1"/>
  <c r="O158" i="1"/>
  <c r="O629" i="1"/>
  <c r="O160" i="1"/>
  <c r="O161" i="1"/>
  <c r="O162" i="1"/>
  <c r="O630" i="1"/>
  <c r="O631" i="1"/>
  <c r="O164" i="1"/>
  <c r="O165" i="1"/>
  <c r="O632" i="1"/>
  <c r="O167" i="1"/>
  <c r="O633" i="1"/>
  <c r="O168" i="1"/>
  <c r="O634" i="1"/>
  <c r="O169" i="1"/>
  <c r="O170" i="1"/>
  <c r="O171" i="1"/>
  <c r="O635" i="1"/>
  <c r="O636" i="1"/>
  <c r="O172" i="1"/>
  <c r="O637" i="1"/>
  <c r="O173" i="1"/>
  <c r="O638" i="1"/>
  <c r="O639" i="1"/>
  <c r="O640" i="1"/>
  <c r="O174" i="1"/>
  <c r="O641" i="1"/>
  <c r="O175" i="1"/>
  <c r="O176" i="1"/>
  <c r="O642" i="1"/>
  <c r="O643" i="1"/>
  <c r="O177" i="1"/>
  <c r="O178" i="1"/>
  <c r="O179" i="1"/>
  <c r="O644" i="1"/>
  <c r="O645" i="1"/>
  <c r="O646" i="1"/>
  <c r="O180" i="1"/>
  <c r="O181" i="1"/>
  <c r="O182" i="1"/>
  <c r="O183" i="1"/>
  <c r="O647" i="1"/>
  <c r="O648" i="1"/>
  <c r="O184" i="1"/>
  <c r="O185" i="1"/>
  <c r="O650" i="1"/>
  <c r="O186" i="1"/>
  <c r="O187" i="1"/>
  <c r="O188" i="1"/>
  <c r="O189" i="1"/>
  <c r="O190" i="1"/>
  <c r="O191" i="1"/>
  <c r="O651" i="1"/>
  <c r="O652" i="1"/>
  <c r="O653" i="1"/>
  <c r="O192" i="1"/>
  <c r="O654" i="1"/>
  <c r="O655" i="1"/>
  <c r="O193" i="1"/>
  <c r="O194" i="1"/>
  <c r="O656" i="1"/>
  <c r="O657" i="1"/>
  <c r="O196" i="1"/>
  <c r="O658" i="1"/>
  <c r="O197" i="1"/>
  <c r="O198" i="1"/>
  <c r="O199" i="1"/>
  <c r="O660" i="1"/>
  <c r="O200" i="1"/>
  <c r="O661" i="1"/>
  <c r="O662" i="1"/>
  <c r="O663" i="1"/>
  <c r="O201" i="1"/>
  <c r="O202" i="1"/>
  <c r="O664" i="1"/>
  <c r="O203" i="1"/>
  <c r="O204" i="1"/>
  <c r="O665" i="1"/>
  <c r="O205" i="1"/>
  <c r="O666" i="1"/>
  <c r="O667" i="1"/>
  <c r="O668" i="1"/>
  <c r="O206" i="1"/>
  <c r="O207" i="1"/>
  <c r="O669" i="1"/>
  <c r="O670" i="1"/>
  <c r="O671" i="1"/>
  <c r="O208" i="1"/>
  <c r="O209" i="1"/>
  <c r="O672" i="1"/>
  <c r="O210" i="1"/>
  <c r="O673" i="1"/>
  <c r="O674" i="1"/>
  <c r="O211" i="1"/>
  <c r="O675" i="1"/>
  <c r="O212" i="1"/>
  <c r="O676" i="1"/>
  <c r="O677" i="1"/>
  <c r="O213" i="1"/>
  <c r="O214" i="1"/>
  <c r="O678" i="1"/>
  <c r="O679" i="1"/>
  <c r="O681" i="1"/>
  <c r="O215" i="1"/>
  <c r="O216" i="1"/>
  <c r="O682" i="1"/>
  <c r="O684" i="1"/>
  <c r="O217" i="1"/>
  <c r="O218" i="1"/>
  <c r="O685" i="1"/>
  <c r="O686" i="1"/>
  <c r="O687" i="1"/>
  <c r="O219" i="1"/>
  <c r="O688" i="1"/>
  <c r="O689" i="1"/>
  <c r="O690" i="1"/>
  <c r="O220" i="1"/>
  <c r="O221" i="1"/>
  <c r="O222" i="1"/>
  <c r="O691" i="1"/>
  <c r="O223" i="1"/>
  <c r="O224" i="1"/>
  <c r="O225" i="1"/>
  <c r="O226" i="1"/>
  <c r="O692" i="1"/>
  <c r="O693" i="1"/>
  <c r="O227" i="1"/>
  <c r="O694" i="1"/>
  <c r="O696" i="1"/>
  <c r="O697" i="1"/>
  <c r="O228" i="1"/>
  <c r="O229" i="1"/>
  <c r="O230" i="1"/>
  <c r="O231" i="1"/>
  <c r="O698" i="1"/>
  <c r="O232" i="1"/>
  <c r="O699" i="1"/>
  <c r="O700" i="1"/>
  <c r="O233" i="1"/>
  <c r="O701" i="1"/>
  <c r="O234" i="1"/>
  <c r="O702" i="1"/>
  <c r="O235" i="1"/>
  <c r="O236" i="1"/>
  <c r="O703" i="1"/>
  <c r="O704" i="1"/>
  <c r="O237" i="1"/>
  <c r="O705" i="1"/>
  <c r="O706" i="1"/>
  <c r="O707" i="1"/>
  <c r="O708" i="1"/>
  <c r="O238" i="1"/>
  <c r="O240" i="1"/>
  <c r="O241" i="1"/>
  <c r="O242" i="1"/>
  <c r="O709" i="1"/>
  <c r="O710" i="1"/>
  <c r="O711" i="1"/>
  <c r="O243" i="1"/>
  <c r="O244" i="1"/>
  <c r="O245" i="1"/>
  <c r="O246" i="1"/>
  <c r="O712" i="1"/>
  <c r="O713" i="1"/>
  <c r="O247" i="1"/>
  <c r="O248" i="1"/>
  <c r="O714" i="1"/>
  <c r="O715" i="1"/>
  <c r="O249" i="1"/>
  <c r="O250" i="1"/>
  <c r="O716" i="1"/>
  <c r="O251" i="1"/>
  <c r="O717" i="1"/>
  <c r="O252" i="1"/>
  <c r="O718" i="1"/>
  <c r="O719" i="1"/>
  <c r="O253" i="1"/>
  <c r="O254" i="1"/>
  <c r="O720" i="1"/>
  <c r="O255" i="1"/>
  <c r="O256" i="1"/>
  <c r="O721" i="1"/>
  <c r="O722" i="1"/>
  <c r="O257" i="1"/>
  <c r="O258" i="1"/>
  <c r="O259" i="1"/>
  <c r="O260" i="1"/>
  <c r="O261" i="1"/>
  <c r="O723" i="1"/>
  <c r="O724" i="1"/>
  <c r="O262" i="1"/>
  <c r="O725" i="1"/>
  <c r="O726" i="1"/>
  <c r="O263" i="1"/>
  <c r="O264" i="1"/>
  <c r="O265" i="1"/>
  <c r="O727" i="1"/>
  <c r="O266" i="1"/>
  <c r="O267" i="1"/>
  <c r="O268" i="1"/>
  <c r="O269" i="1"/>
  <c r="O270" i="1"/>
  <c r="O271" i="1"/>
  <c r="O728" i="1"/>
  <c r="O272" i="1"/>
  <c r="O729" i="1"/>
  <c r="O273" i="1"/>
  <c r="O274" i="1"/>
  <c r="O730" i="1"/>
  <c r="O731" i="1"/>
  <c r="O275" i="1"/>
  <c r="O276" i="1"/>
  <c r="O277" i="1"/>
  <c r="O732" i="1"/>
  <c r="O733" i="1"/>
  <c r="O734" i="1"/>
  <c r="O278" i="1"/>
  <c r="O279" i="1"/>
  <c r="O280" i="1"/>
  <c r="O735" i="1"/>
  <c r="O736" i="1"/>
  <c r="O737" i="1"/>
  <c r="O281" i="1"/>
  <c r="O282" i="1"/>
  <c r="O738" i="1"/>
  <c r="O283" i="1"/>
  <c r="O739" i="1"/>
  <c r="O284" i="1"/>
  <c r="O285" i="1"/>
  <c r="O286" i="1"/>
  <c r="O287" i="1"/>
  <c r="O289" i="1"/>
  <c r="O740" i="1"/>
  <c r="O290" i="1"/>
  <c r="O291" i="1"/>
  <c r="O741" i="1"/>
  <c r="O292" i="1"/>
  <c r="O742" i="1"/>
  <c r="O293" i="1"/>
  <c r="O294" i="1"/>
  <c r="O743" i="1"/>
  <c r="O744" i="1"/>
  <c r="O295" i="1"/>
  <c r="O745" i="1"/>
  <c r="O296" i="1"/>
  <c r="O746" i="1"/>
  <c r="O747" i="1"/>
  <c r="O748" i="1"/>
  <c r="O297" i="1"/>
  <c r="O749" i="1"/>
  <c r="O750" i="1"/>
  <c r="O298" i="1"/>
  <c r="O299" i="1"/>
  <c r="O300" i="1"/>
  <c r="O751" i="1"/>
  <c r="O752" i="1"/>
  <c r="O301" i="1"/>
  <c r="O302" i="1"/>
  <c r="O753" i="1"/>
  <c r="O303" i="1"/>
  <c r="O754" i="1"/>
  <c r="O304" i="1"/>
  <c r="O755" i="1"/>
  <c r="O305" i="1"/>
  <c r="O756" i="1"/>
  <c r="O306" i="1"/>
  <c r="O307" i="1"/>
  <c r="O757" i="1"/>
  <c r="O308" i="1"/>
  <c r="O758" i="1"/>
  <c r="O309" i="1"/>
  <c r="O310" i="1"/>
  <c r="O759" i="1"/>
  <c r="O311" i="1"/>
  <c r="O760" i="1"/>
  <c r="O312" i="1"/>
  <c r="O313" i="1"/>
  <c r="O761" i="1"/>
  <c r="O314" i="1"/>
  <c r="O315" i="1"/>
  <c r="O763" i="1"/>
  <c r="O764" i="1"/>
  <c r="O316" i="1"/>
  <c r="O765" i="1"/>
  <c r="O317" i="1"/>
  <c r="O318" i="1"/>
  <c r="O766" i="1"/>
  <c r="O767" i="1"/>
  <c r="O319" i="1"/>
  <c r="O768" i="1"/>
  <c r="O320" i="1"/>
  <c r="O321" i="1"/>
  <c r="O322" i="1"/>
  <c r="O769" i="1"/>
  <c r="O323" i="1"/>
  <c r="O324" i="1"/>
  <c r="O325" i="1"/>
  <c r="O770" i="1"/>
  <c r="O771" i="1"/>
  <c r="O772" i="1"/>
  <c r="O326" i="1"/>
  <c r="O774" i="1"/>
  <c r="O327" i="1"/>
  <c r="O775" i="1"/>
  <c r="O328" i="1"/>
  <c r="O776" i="1"/>
  <c r="O329" i="1"/>
  <c r="O330" i="1"/>
  <c r="O777" i="1"/>
  <c r="O778" i="1"/>
  <c r="O331" i="1"/>
  <c r="O332" i="1"/>
  <c r="O333" i="1"/>
  <c r="O779" i="1"/>
  <c r="O780" i="1"/>
  <c r="O781" i="1"/>
  <c r="O782" i="1"/>
  <c r="O334" i="1"/>
  <c r="O335" i="1"/>
  <c r="O336" i="1"/>
  <c r="O337" i="1"/>
  <c r="O783" i="1"/>
  <c r="O338" i="1"/>
  <c r="O784" i="1"/>
  <c r="O339" i="1"/>
  <c r="O785" i="1"/>
  <c r="O340" i="1"/>
  <c r="O342" i="1"/>
  <c r="O786" i="1"/>
  <c r="O343" i="1"/>
  <c r="O344" i="1"/>
  <c r="O787" i="1"/>
  <c r="O788" i="1"/>
  <c r="O789" i="1"/>
  <c r="O790" i="1"/>
  <c r="O791" i="1"/>
  <c r="O345" i="1"/>
  <c r="O792" i="1"/>
  <c r="O346" i="1"/>
  <c r="O793" i="1"/>
  <c r="O794" i="1"/>
  <c r="O347" i="1"/>
  <c r="O348" i="1"/>
  <c r="O349" i="1"/>
  <c r="O350" i="1"/>
  <c r="O351" i="1"/>
  <c r="O352" i="1"/>
  <c r="O353" i="1"/>
  <c r="O354" i="1"/>
  <c r="O355" i="1"/>
  <c r="O795" i="1"/>
  <c r="O356" i="1"/>
  <c r="O357" i="1"/>
  <c r="O358" i="1"/>
  <c r="O796" i="1"/>
  <c r="O797" i="1"/>
  <c r="O798" i="1"/>
  <c r="O799" i="1"/>
  <c r="O359" i="1"/>
  <c r="O360" i="1"/>
  <c r="O800" i="1"/>
  <c r="O802" i="1"/>
  <c r="O803" i="1"/>
  <c r="O361" i="1"/>
  <c r="O362" i="1"/>
  <c r="O363" i="1"/>
  <c r="O364" i="1"/>
  <c r="O365" i="1"/>
  <c r="O804" i="1"/>
  <c r="O805" i="1"/>
  <c r="O366" i="1"/>
  <c r="O367" i="1"/>
  <c r="O806" i="1"/>
  <c r="O368" i="1"/>
  <c r="O369" i="1"/>
  <c r="O807" i="1"/>
  <c r="O370" i="1"/>
  <c r="O808" i="1"/>
  <c r="O371" i="1"/>
  <c r="O809" i="1"/>
  <c r="O810" i="1"/>
  <c r="O811" i="1"/>
  <c r="O812" i="1"/>
  <c r="O813" i="1"/>
  <c r="O372" i="1"/>
  <c r="O814" i="1"/>
  <c r="O815" i="1"/>
  <c r="O816" i="1"/>
  <c r="O817" i="1"/>
  <c r="O373" i="1"/>
  <c r="O374" i="1"/>
  <c r="O375" i="1"/>
  <c r="O376" i="1"/>
  <c r="O818" i="1"/>
  <c r="O377" i="1"/>
  <c r="O819" i="1"/>
  <c r="O378" i="1"/>
  <c r="O379" i="1"/>
  <c r="O820" i="1"/>
  <c r="O380" i="1"/>
  <c r="O381" i="1"/>
  <c r="O821" i="1"/>
  <c r="O382" i="1"/>
  <c r="O822" i="1"/>
  <c r="O823" i="1"/>
  <c r="O383" i="1"/>
  <c r="O384" i="1"/>
  <c r="O825" i="1"/>
  <c r="O385" i="1"/>
  <c r="O386" i="1"/>
  <c r="O826" i="1"/>
  <c r="O827" i="1"/>
  <c r="O828" i="1"/>
  <c r="O829" i="1"/>
  <c r="O387" i="1"/>
  <c r="O830" i="1"/>
  <c r="O831" i="1"/>
  <c r="O388" i="1"/>
  <c r="O389" i="1"/>
  <c r="O390" i="1"/>
  <c r="O832" i="1"/>
  <c r="O833" i="1"/>
  <c r="O834" i="1"/>
  <c r="O391" i="1"/>
  <c r="O836" i="1"/>
  <c r="O837" i="1"/>
  <c r="O392" i="1"/>
  <c r="O393" i="1"/>
  <c r="O394" i="1"/>
  <c r="O395" i="1"/>
  <c r="O838" i="1"/>
  <c r="O396" i="1"/>
  <c r="O397" i="1"/>
  <c r="O399" i="1"/>
  <c r="O400" i="1"/>
  <c r="O839" i="1"/>
  <c r="O840" i="1"/>
  <c r="O841" i="1"/>
  <c r="O401" i="1"/>
  <c r="O842" i="1"/>
  <c r="O402" i="1"/>
  <c r="O843" i="1"/>
  <c r="O844" i="1"/>
  <c r="O845" i="1"/>
  <c r="O846" i="1"/>
  <c r="O847" i="1"/>
  <c r="O404" i="1"/>
  <c r="O848" i="1"/>
  <c r="O405" i="1"/>
  <c r="O850" i="1"/>
  <c r="O406" i="1"/>
  <c r="O851" i="1"/>
  <c r="O407" i="1"/>
  <c r="O852" i="1"/>
  <c r="O408" i="1"/>
  <c r="O409" i="1"/>
  <c r="O410" i="1"/>
  <c r="O853" i="1"/>
  <c r="O855" i="1"/>
  <c r="O411" i="1"/>
  <c r="O412" i="1"/>
  <c r="O413" i="1"/>
  <c r="O414" i="1"/>
  <c r="O415" i="1"/>
  <c r="O416" i="1"/>
  <c r="O417" i="1"/>
  <c r="O856" i="1"/>
  <c r="O418" i="1"/>
  <c r="O419" i="1"/>
  <c r="O857" i="1"/>
  <c r="O420" i="1"/>
  <c r="O858" i="1"/>
  <c r="O859" i="1"/>
  <c r="O421" i="1"/>
  <c r="O860" i="1"/>
  <c r="O422" i="1"/>
  <c r="O423" i="1"/>
  <c r="O424" i="1"/>
  <c r="O861" i="1"/>
  <c r="O862" i="1"/>
  <c r="O425" i="1"/>
  <c r="O426" i="1"/>
  <c r="O863" i="1"/>
  <c r="O864" i="1"/>
  <c r="O427" i="1"/>
  <c r="O865" i="1"/>
  <c r="O428" i="1"/>
  <c r="O429" i="1"/>
  <c r="O430" i="1"/>
  <c r="O866" i="1"/>
  <c r="O2" i="1"/>
  <c r="M3" i="1"/>
  <c r="M4" i="1"/>
  <c r="M5" i="1"/>
  <c r="M503" i="1"/>
  <c r="M6" i="1"/>
  <c r="M504" i="1"/>
  <c r="M506" i="1"/>
  <c r="M7" i="1"/>
  <c r="M507" i="1"/>
  <c r="M508" i="1"/>
  <c r="M8" i="1"/>
  <c r="M9" i="1"/>
  <c r="M509" i="1"/>
  <c r="M10" i="1"/>
  <c r="M11" i="1"/>
  <c r="M12" i="1"/>
  <c r="M13" i="1"/>
  <c r="M510" i="1"/>
  <c r="M14" i="1"/>
  <c r="M511" i="1"/>
  <c r="M512" i="1"/>
  <c r="M513" i="1"/>
  <c r="M514" i="1"/>
  <c r="M15" i="1"/>
  <c r="M16" i="1"/>
  <c r="M17" i="1"/>
  <c r="M515" i="1"/>
  <c r="M18" i="1"/>
  <c r="M516" i="1"/>
  <c r="M19" i="1"/>
  <c r="M517" i="1"/>
  <c r="M20" i="1"/>
  <c r="M21" i="1"/>
  <c r="M518" i="1"/>
  <c r="M22" i="1"/>
  <c r="M23" i="1"/>
  <c r="M519" i="1"/>
  <c r="M24" i="1"/>
  <c r="M25" i="1"/>
  <c r="M26" i="1"/>
  <c r="M27" i="1"/>
  <c r="M520" i="1"/>
  <c r="M28" i="1"/>
  <c r="M29" i="1"/>
  <c r="M30" i="1"/>
  <c r="M31" i="1"/>
  <c r="M32" i="1"/>
  <c r="M521" i="1"/>
  <c r="M33" i="1"/>
  <c r="M522" i="1"/>
  <c r="M34" i="1"/>
  <c r="M35" i="1"/>
  <c r="M523" i="1"/>
  <c r="M524" i="1"/>
  <c r="M525" i="1"/>
  <c r="M526" i="1"/>
  <c r="M36" i="1"/>
  <c r="M37" i="1"/>
  <c r="M38" i="1"/>
  <c r="M39" i="1"/>
  <c r="M40" i="1"/>
  <c r="M41" i="1"/>
  <c r="M42" i="1"/>
  <c r="M43" i="1"/>
  <c r="M44" i="1"/>
  <c r="M527" i="1"/>
  <c r="M528" i="1"/>
  <c r="M45" i="1"/>
  <c r="M46" i="1"/>
  <c r="M529" i="1"/>
  <c r="M530" i="1"/>
  <c r="M47" i="1"/>
  <c r="M531" i="1"/>
  <c r="M532" i="1"/>
  <c r="M533" i="1"/>
  <c r="M48" i="1"/>
  <c r="M534" i="1"/>
  <c r="M535" i="1"/>
  <c r="M536" i="1"/>
  <c r="M49" i="1"/>
  <c r="M537" i="1"/>
  <c r="M50" i="1"/>
  <c r="M51" i="1"/>
  <c r="M52" i="1"/>
  <c r="M53" i="1"/>
  <c r="M54" i="1"/>
  <c r="M55" i="1"/>
  <c r="M56" i="1"/>
  <c r="M57" i="1"/>
  <c r="M538" i="1"/>
  <c r="M540" i="1"/>
  <c r="M541" i="1"/>
  <c r="M58" i="1"/>
  <c r="M59" i="1"/>
  <c r="M542" i="1"/>
  <c r="M60" i="1"/>
  <c r="M543" i="1"/>
  <c r="M61" i="1"/>
  <c r="M544" i="1"/>
  <c r="M545" i="1"/>
  <c r="M62" i="1"/>
  <c r="M546" i="1"/>
  <c r="M547" i="1"/>
  <c r="M548" i="1"/>
  <c r="M63" i="1"/>
  <c r="M64" i="1"/>
  <c r="M65" i="1"/>
  <c r="M66" i="1"/>
  <c r="M549" i="1"/>
  <c r="M67" i="1"/>
  <c r="M550" i="1"/>
  <c r="M68" i="1"/>
  <c r="M69" i="1"/>
  <c r="M70" i="1"/>
  <c r="M71" i="1"/>
  <c r="M551" i="1"/>
  <c r="M72" i="1"/>
  <c r="M73" i="1"/>
  <c r="M74" i="1"/>
  <c r="M75" i="1"/>
  <c r="M552" i="1"/>
  <c r="M76" i="1"/>
  <c r="M77" i="1"/>
  <c r="M80" i="1"/>
  <c r="M553" i="1"/>
  <c r="M554" i="1"/>
  <c r="M555" i="1"/>
  <c r="M81" i="1"/>
  <c r="M82" i="1"/>
  <c r="M83" i="1"/>
  <c r="M557" i="1"/>
  <c r="M84" i="1"/>
  <c r="M85" i="1"/>
  <c r="M558" i="1"/>
  <c r="M559" i="1"/>
  <c r="M560" i="1"/>
  <c r="M561" i="1"/>
  <c r="M87" i="1"/>
  <c r="M562" i="1"/>
  <c r="M88" i="1"/>
  <c r="M89" i="1"/>
  <c r="M90" i="1"/>
  <c r="M92" i="1"/>
  <c r="M93" i="1"/>
  <c r="M563" i="1"/>
  <c r="M564" i="1"/>
  <c r="M94" i="1"/>
  <c r="M565" i="1"/>
  <c r="M95" i="1"/>
  <c r="M96" i="1"/>
  <c r="M97" i="1"/>
  <c r="M98" i="1"/>
  <c r="M566" i="1"/>
  <c r="M99" i="1"/>
  <c r="M567" i="1"/>
  <c r="M568" i="1"/>
  <c r="M100" i="1"/>
  <c r="M101" i="1"/>
  <c r="M569" i="1"/>
  <c r="M570" i="1"/>
  <c r="M571" i="1"/>
  <c r="M102" i="1"/>
  <c r="M572" i="1"/>
  <c r="M573" i="1"/>
  <c r="M103" i="1"/>
  <c r="M574" i="1"/>
  <c r="M575" i="1"/>
  <c r="M576" i="1"/>
  <c r="M577" i="1"/>
  <c r="M578" i="1"/>
  <c r="M580" i="1"/>
  <c r="M581" i="1"/>
  <c r="M104" i="1"/>
  <c r="M582" i="1"/>
  <c r="M105" i="1"/>
  <c r="M583" i="1"/>
  <c r="M106" i="1"/>
  <c r="M107" i="1"/>
  <c r="M108" i="1"/>
  <c r="M109" i="1"/>
  <c r="M584" i="1"/>
  <c r="M110" i="1"/>
  <c r="M585" i="1"/>
  <c r="M111" i="1"/>
  <c r="M112" i="1"/>
  <c r="M113" i="1"/>
  <c r="M586" i="1"/>
  <c r="M587" i="1"/>
  <c r="M588" i="1"/>
  <c r="M589" i="1"/>
  <c r="M114" i="1"/>
  <c r="M115" i="1"/>
  <c r="M116" i="1"/>
  <c r="M590" i="1"/>
  <c r="M591" i="1"/>
  <c r="M117" i="1"/>
  <c r="M592" i="1"/>
  <c r="M118" i="1"/>
  <c r="M119" i="1"/>
  <c r="M593" i="1"/>
  <c r="M594" i="1"/>
  <c r="M595" i="1"/>
  <c r="M120" i="1"/>
  <c r="M596" i="1"/>
  <c r="M597" i="1"/>
  <c r="M598" i="1"/>
  <c r="M121" i="1"/>
  <c r="M599" i="1"/>
  <c r="M600" i="1"/>
  <c r="M122" i="1"/>
  <c r="M123" i="1"/>
  <c r="M124" i="1"/>
  <c r="M125" i="1"/>
  <c r="M126" i="1"/>
  <c r="M127" i="1"/>
  <c r="M601" i="1"/>
  <c r="M602" i="1"/>
  <c r="M603" i="1"/>
  <c r="M128" i="1"/>
  <c r="M129" i="1"/>
  <c r="M604" i="1"/>
  <c r="M605" i="1"/>
  <c r="M606" i="1"/>
  <c r="M607" i="1"/>
  <c r="M130" i="1"/>
  <c r="M609" i="1"/>
  <c r="M131" i="1"/>
  <c r="M132" i="1"/>
  <c r="M610" i="1"/>
  <c r="M133" i="1"/>
  <c r="M134" i="1"/>
  <c r="M611" i="1"/>
  <c r="M135" i="1"/>
  <c r="M136" i="1"/>
  <c r="M137" i="1"/>
  <c r="M138" i="1"/>
  <c r="M139" i="1"/>
  <c r="M140" i="1"/>
  <c r="M141" i="1"/>
  <c r="M142" i="1"/>
  <c r="M612" i="1"/>
  <c r="M613" i="1"/>
  <c r="M614" i="1"/>
  <c r="M143" i="1"/>
  <c r="M144" i="1"/>
  <c r="M145" i="1"/>
  <c r="M146" i="1"/>
  <c r="M147" i="1"/>
  <c r="M615" i="1"/>
  <c r="M148" i="1"/>
  <c r="M616" i="1"/>
  <c r="M617" i="1"/>
  <c r="M150" i="1"/>
  <c r="M618" i="1"/>
  <c r="M619" i="1"/>
  <c r="M151" i="1"/>
  <c r="M620" i="1"/>
  <c r="M152" i="1"/>
  <c r="M153" i="1"/>
  <c r="M621" i="1"/>
  <c r="M622" i="1"/>
  <c r="M623" i="1"/>
  <c r="M624" i="1"/>
  <c r="M154" i="1"/>
  <c r="M155" i="1"/>
  <c r="M625" i="1"/>
  <c r="M626" i="1"/>
  <c r="M627" i="1"/>
  <c r="M628" i="1"/>
  <c r="M156" i="1"/>
  <c r="M157" i="1"/>
  <c r="M158" i="1"/>
  <c r="M629" i="1"/>
  <c r="M160" i="1"/>
  <c r="M161" i="1"/>
  <c r="M162" i="1"/>
  <c r="M630" i="1"/>
  <c r="M631" i="1"/>
  <c r="M164" i="1"/>
  <c r="M165" i="1"/>
  <c r="M632" i="1"/>
  <c r="M167" i="1"/>
  <c r="M633" i="1"/>
  <c r="M168" i="1"/>
  <c r="M634" i="1"/>
  <c r="M169" i="1"/>
  <c r="M170" i="1"/>
  <c r="M171" i="1"/>
  <c r="M635" i="1"/>
  <c r="M636" i="1"/>
  <c r="M172" i="1"/>
  <c r="M637" i="1"/>
  <c r="M173" i="1"/>
  <c r="M638" i="1"/>
  <c r="M639" i="1"/>
  <c r="M640" i="1"/>
  <c r="M174" i="1"/>
  <c r="M641" i="1"/>
  <c r="M175" i="1"/>
  <c r="M176" i="1"/>
  <c r="M642" i="1"/>
  <c r="M643" i="1"/>
  <c r="M177" i="1"/>
  <c r="M178" i="1"/>
  <c r="M179" i="1"/>
  <c r="M644" i="1"/>
  <c r="M645" i="1"/>
  <c r="M646" i="1"/>
  <c r="M180" i="1"/>
  <c r="M181" i="1"/>
  <c r="M182" i="1"/>
  <c r="M183" i="1"/>
  <c r="M647" i="1"/>
  <c r="M648" i="1"/>
  <c r="M184" i="1"/>
  <c r="M185" i="1"/>
  <c r="M650" i="1"/>
  <c r="M186" i="1"/>
  <c r="M187" i="1"/>
  <c r="M188" i="1"/>
  <c r="M189" i="1"/>
  <c r="M190" i="1"/>
  <c r="M191" i="1"/>
  <c r="M651" i="1"/>
  <c r="M652" i="1"/>
  <c r="M653" i="1"/>
  <c r="M192" i="1"/>
  <c r="M654" i="1"/>
  <c r="M655" i="1"/>
  <c r="M193" i="1"/>
  <c r="M194" i="1"/>
  <c r="M656" i="1"/>
  <c r="M657" i="1"/>
  <c r="M196" i="1"/>
  <c r="M658" i="1"/>
  <c r="M197" i="1"/>
  <c r="M198" i="1"/>
  <c r="M199" i="1"/>
  <c r="M660" i="1"/>
  <c r="M200" i="1"/>
  <c r="M661" i="1"/>
  <c r="M662" i="1"/>
  <c r="M663" i="1"/>
  <c r="M201" i="1"/>
  <c r="M202" i="1"/>
  <c r="M664" i="1"/>
  <c r="M203" i="1"/>
  <c r="M204" i="1"/>
  <c r="M665" i="1"/>
  <c r="M205" i="1"/>
  <c r="M666" i="1"/>
  <c r="M667" i="1"/>
  <c r="M668" i="1"/>
  <c r="M206" i="1"/>
  <c r="M207" i="1"/>
  <c r="M669" i="1"/>
  <c r="M670" i="1"/>
  <c r="M671" i="1"/>
  <c r="M208" i="1"/>
  <c r="M209" i="1"/>
  <c r="M672" i="1"/>
  <c r="M210" i="1"/>
  <c r="M673" i="1"/>
  <c r="M674" i="1"/>
  <c r="M211" i="1"/>
  <c r="M675" i="1"/>
  <c r="M212" i="1"/>
  <c r="M676" i="1"/>
  <c r="M677" i="1"/>
  <c r="M213" i="1"/>
  <c r="M214" i="1"/>
  <c r="M678" i="1"/>
  <c r="M679" i="1"/>
  <c r="M681" i="1"/>
  <c r="M215" i="1"/>
  <c r="M216" i="1"/>
  <c r="M682" i="1"/>
  <c r="M684" i="1"/>
  <c r="M217" i="1"/>
  <c r="M218" i="1"/>
  <c r="M685" i="1"/>
  <c r="M686" i="1"/>
  <c r="M687" i="1"/>
  <c r="M219" i="1"/>
  <c r="M688" i="1"/>
  <c r="M689" i="1"/>
  <c r="M690" i="1"/>
  <c r="M220" i="1"/>
  <c r="M221" i="1"/>
  <c r="M222" i="1"/>
  <c r="M691" i="1"/>
  <c r="M223" i="1"/>
  <c r="M224" i="1"/>
  <c r="M225" i="1"/>
  <c r="M226" i="1"/>
  <c r="M692" i="1"/>
  <c r="M693" i="1"/>
  <c r="M227" i="1"/>
  <c r="M694" i="1"/>
  <c r="M696" i="1"/>
  <c r="M697" i="1"/>
  <c r="M228" i="1"/>
  <c r="M229" i="1"/>
  <c r="M230" i="1"/>
  <c r="M231" i="1"/>
  <c r="M698" i="1"/>
  <c r="M232" i="1"/>
  <c r="M699" i="1"/>
  <c r="M700" i="1"/>
  <c r="M233" i="1"/>
  <c r="M701" i="1"/>
  <c r="M234" i="1"/>
  <c r="M702" i="1"/>
  <c r="M235" i="1"/>
  <c r="M236" i="1"/>
  <c r="M703" i="1"/>
  <c r="M704" i="1"/>
  <c r="M237" i="1"/>
  <c r="M705" i="1"/>
  <c r="M706" i="1"/>
  <c r="M707" i="1"/>
  <c r="M708" i="1"/>
  <c r="M238" i="1"/>
  <c r="M240" i="1"/>
  <c r="M241" i="1"/>
  <c r="M242" i="1"/>
  <c r="M709" i="1"/>
  <c r="M710" i="1"/>
  <c r="M711" i="1"/>
  <c r="M243" i="1"/>
  <c r="M244" i="1"/>
  <c r="M245" i="1"/>
  <c r="M246" i="1"/>
  <c r="M712" i="1"/>
  <c r="M713" i="1"/>
  <c r="M247" i="1"/>
  <c r="M248" i="1"/>
  <c r="M714" i="1"/>
  <c r="M715" i="1"/>
  <c r="M249" i="1"/>
  <c r="M250" i="1"/>
  <c r="M716" i="1"/>
  <c r="M251" i="1"/>
  <c r="M717" i="1"/>
  <c r="M252" i="1"/>
  <c r="M718" i="1"/>
  <c r="M719" i="1"/>
  <c r="M253" i="1"/>
  <c r="M254" i="1"/>
  <c r="M720" i="1"/>
  <c r="M255" i="1"/>
  <c r="M256" i="1"/>
  <c r="M721" i="1"/>
  <c r="M722" i="1"/>
  <c r="M257" i="1"/>
  <c r="M258" i="1"/>
  <c r="M259" i="1"/>
  <c r="M260" i="1"/>
  <c r="M261" i="1"/>
  <c r="M723" i="1"/>
  <c r="M724" i="1"/>
  <c r="M262" i="1"/>
  <c r="M725" i="1"/>
  <c r="M726" i="1"/>
  <c r="M263" i="1"/>
  <c r="M264" i="1"/>
  <c r="M265" i="1"/>
  <c r="M727" i="1"/>
  <c r="M266" i="1"/>
  <c r="M267" i="1"/>
  <c r="M268" i="1"/>
  <c r="M269" i="1"/>
  <c r="M270" i="1"/>
  <c r="M271" i="1"/>
  <c r="M728" i="1"/>
  <c r="M272" i="1"/>
  <c r="M729" i="1"/>
  <c r="M273" i="1"/>
  <c r="M274" i="1"/>
  <c r="M730" i="1"/>
  <c r="M731" i="1"/>
  <c r="M275" i="1"/>
  <c r="M276" i="1"/>
  <c r="M277" i="1"/>
  <c r="M732" i="1"/>
  <c r="M733" i="1"/>
  <c r="M734" i="1"/>
  <c r="M278" i="1"/>
  <c r="M279" i="1"/>
  <c r="M280" i="1"/>
  <c r="M735" i="1"/>
  <c r="M736" i="1"/>
  <c r="M737" i="1"/>
  <c r="M281" i="1"/>
  <c r="M282" i="1"/>
  <c r="M738" i="1"/>
  <c r="M283" i="1"/>
  <c r="M739" i="1"/>
  <c r="M284" i="1"/>
  <c r="M285" i="1"/>
  <c r="M286" i="1"/>
  <c r="M287" i="1"/>
  <c r="M289" i="1"/>
  <c r="M740" i="1"/>
  <c r="M290" i="1"/>
  <c r="M291" i="1"/>
  <c r="M741" i="1"/>
  <c r="M292" i="1"/>
  <c r="M742" i="1"/>
  <c r="M293" i="1"/>
  <c r="M294" i="1"/>
  <c r="M743" i="1"/>
  <c r="M744" i="1"/>
  <c r="M295" i="1"/>
  <c r="M745" i="1"/>
  <c r="M296" i="1"/>
  <c r="M746" i="1"/>
  <c r="M747" i="1"/>
  <c r="M748" i="1"/>
  <c r="M297" i="1"/>
  <c r="M749" i="1"/>
  <c r="M750" i="1"/>
  <c r="M298" i="1"/>
  <c r="M299" i="1"/>
  <c r="M300" i="1"/>
  <c r="M751" i="1"/>
  <c r="M752" i="1"/>
  <c r="M301" i="1"/>
  <c r="M302" i="1"/>
  <c r="M753" i="1"/>
  <c r="M303" i="1"/>
  <c r="M754" i="1"/>
  <c r="M304" i="1"/>
  <c r="M755" i="1"/>
  <c r="M305" i="1"/>
  <c r="M756" i="1"/>
  <c r="M306" i="1"/>
  <c r="M307" i="1"/>
  <c r="M757" i="1"/>
  <c r="M308" i="1"/>
  <c r="M758" i="1"/>
  <c r="M309" i="1"/>
  <c r="M310" i="1"/>
  <c r="M759" i="1"/>
  <c r="M311" i="1"/>
  <c r="M760" i="1"/>
  <c r="M312" i="1"/>
  <c r="M313" i="1"/>
  <c r="M761" i="1"/>
  <c r="M314" i="1"/>
  <c r="M315" i="1"/>
  <c r="M763" i="1"/>
  <c r="M764" i="1"/>
  <c r="M316" i="1"/>
  <c r="M765" i="1"/>
  <c r="M317" i="1"/>
  <c r="M318" i="1"/>
  <c r="M766" i="1"/>
  <c r="M767" i="1"/>
  <c r="M319" i="1"/>
  <c r="M768" i="1"/>
  <c r="M320" i="1"/>
  <c r="M321" i="1"/>
  <c r="M322" i="1"/>
  <c r="M769" i="1"/>
  <c r="M323" i="1"/>
  <c r="M324" i="1"/>
  <c r="M325" i="1"/>
  <c r="M770" i="1"/>
  <c r="M771" i="1"/>
  <c r="M772" i="1"/>
  <c r="M326" i="1"/>
  <c r="M774" i="1"/>
  <c r="M327" i="1"/>
  <c r="M775" i="1"/>
  <c r="M328" i="1"/>
  <c r="M776" i="1"/>
  <c r="M329" i="1"/>
  <c r="M330" i="1"/>
  <c r="M777" i="1"/>
  <c r="M778" i="1"/>
  <c r="M331" i="1"/>
  <c r="M332" i="1"/>
  <c r="M333" i="1"/>
  <c r="M779" i="1"/>
  <c r="M780" i="1"/>
  <c r="M781" i="1"/>
  <c r="M782" i="1"/>
  <c r="M334" i="1"/>
  <c r="M335" i="1"/>
  <c r="M336" i="1"/>
  <c r="M337" i="1"/>
  <c r="M783" i="1"/>
  <c r="M338" i="1"/>
  <c r="M784" i="1"/>
  <c r="M339" i="1"/>
  <c r="M785" i="1"/>
  <c r="M340" i="1"/>
  <c r="M342" i="1"/>
  <c r="M786" i="1"/>
  <c r="M343" i="1"/>
  <c r="M344" i="1"/>
  <c r="M787" i="1"/>
  <c r="M788" i="1"/>
  <c r="M789" i="1"/>
  <c r="M790" i="1"/>
  <c r="M791" i="1"/>
  <c r="M345" i="1"/>
  <c r="M792" i="1"/>
  <c r="M346" i="1"/>
  <c r="M793" i="1"/>
  <c r="M794" i="1"/>
  <c r="M347" i="1"/>
  <c r="M348" i="1"/>
  <c r="M349" i="1"/>
  <c r="M350" i="1"/>
  <c r="M351" i="1"/>
  <c r="M352" i="1"/>
  <c r="M353" i="1"/>
  <c r="M354" i="1"/>
  <c r="M355" i="1"/>
  <c r="M795" i="1"/>
  <c r="M356" i="1"/>
  <c r="M357" i="1"/>
  <c r="M358" i="1"/>
  <c r="M796" i="1"/>
  <c r="M797" i="1"/>
  <c r="M798" i="1"/>
  <c r="M799" i="1"/>
  <c r="M359" i="1"/>
  <c r="M360" i="1"/>
  <c r="M800" i="1"/>
  <c r="M802" i="1"/>
  <c r="M803" i="1"/>
  <c r="M361" i="1"/>
  <c r="M362" i="1"/>
  <c r="M363" i="1"/>
  <c r="M364" i="1"/>
  <c r="M365" i="1"/>
  <c r="M804" i="1"/>
  <c r="M805" i="1"/>
  <c r="M366" i="1"/>
  <c r="M367" i="1"/>
  <c r="M806" i="1"/>
  <c r="M368" i="1"/>
  <c r="M369" i="1"/>
  <c r="M807" i="1"/>
  <c r="M370" i="1"/>
  <c r="M808" i="1"/>
  <c r="M371" i="1"/>
  <c r="M809" i="1"/>
  <c r="M810" i="1"/>
  <c r="M811" i="1"/>
  <c r="M812" i="1"/>
  <c r="M813" i="1"/>
  <c r="M372" i="1"/>
  <c r="M814" i="1"/>
  <c r="M815" i="1"/>
  <c r="M816" i="1"/>
  <c r="M817" i="1"/>
  <c r="M373" i="1"/>
  <c r="M374" i="1"/>
  <c r="M375" i="1"/>
  <c r="M376" i="1"/>
  <c r="M818" i="1"/>
  <c r="M377" i="1"/>
  <c r="M819" i="1"/>
  <c r="M378" i="1"/>
  <c r="M379" i="1"/>
  <c r="M820" i="1"/>
  <c r="M380" i="1"/>
  <c r="M381" i="1"/>
  <c r="M821" i="1"/>
  <c r="M382" i="1"/>
  <c r="M822" i="1"/>
  <c r="M823" i="1"/>
  <c r="M383" i="1"/>
  <c r="M384" i="1"/>
  <c r="M825" i="1"/>
  <c r="M385" i="1"/>
  <c r="M386" i="1"/>
  <c r="M826" i="1"/>
  <c r="M827" i="1"/>
  <c r="M828" i="1"/>
  <c r="M829" i="1"/>
  <c r="M387" i="1"/>
  <c r="M830" i="1"/>
  <c r="M831" i="1"/>
  <c r="M388" i="1"/>
  <c r="M389" i="1"/>
  <c r="M390" i="1"/>
  <c r="M832" i="1"/>
  <c r="M833" i="1"/>
  <c r="M834" i="1"/>
  <c r="M391" i="1"/>
  <c r="M836" i="1"/>
  <c r="M837" i="1"/>
  <c r="M392" i="1"/>
  <c r="M393" i="1"/>
  <c r="M394" i="1"/>
  <c r="M395" i="1"/>
  <c r="M838" i="1"/>
  <c r="M396" i="1"/>
  <c r="M397" i="1"/>
  <c r="M399" i="1"/>
  <c r="M400" i="1"/>
  <c r="M839" i="1"/>
  <c r="M840" i="1"/>
  <c r="M841" i="1"/>
  <c r="M401" i="1"/>
  <c r="M842" i="1"/>
  <c r="M402" i="1"/>
  <c r="M843" i="1"/>
  <c r="M844" i="1"/>
  <c r="M845" i="1"/>
  <c r="M846" i="1"/>
  <c r="M847" i="1"/>
  <c r="M404" i="1"/>
  <c r="M848" i="1"/>
  <c r="M405" i="1"/>
  <c r="M850" i="1"/>
  <c r="M406" i="1"/>
  <c r="M851" i="1"/>
  <c r="M407" i="1"/>
  <c r="M852" i="1"/>
  <c r="M408" i="1"/>
  <c r="M409" i="1"/>
  <c r="M410" i="1"/>
  <c r="M853" i="1"/>
  <c r="M855" i="1"/>
  <c r="M411" i="1"/>
  <c r="M412" i="1"/>
  <c r="M413" i="1"/>
  <c r="M414" i="1"/>
  <c r="M415" i="1"/>
  <c r="M416" i="1"/>
  <c r="M417" i="1"/>
  <c r="M856" i="1"/>
  <c r="M418" i="1"/>
  <c r="M419" i="1"/>
  <c r="M857" i="1"/>
  <c r="M420" i="1"/>
  <c r="M858" i="1"/>
  <c r="M859" i="1"/>
  <c r="M421" i="1"/>
  <c r="M860" i="1"/>
  <c r="M422" i="1"/>
  <c r="M423" i="1"/>
  <c r="M424" i="1"/>
  <c r="M861" i="1"/>
  <c r="M862" i="1"/>
  <c r="M425" i="1"/>
  <c r="M426" i="1"/>
  <c r="M863" i="1"/>
  <c r="M864" i="1"/>
  <c r="M427" i="1"/>
  <c r="M865" i="1"/>
  <c r="M428" i="1"/>
  <c r="M429" i="1"/>
  <c r="M430" i="1"/>
  <c r="M866" i="1"/>
  <c r="M431" i="1"/>
  <c r="M867" i="1"/>
  <c r="M868" i="1"/>
  <c r="M869" i="1"/>
  <c r="M432" i="1"/>
  <c r="M433" i="1"/>
  <c r="M870" i="1"/>
  <c r="M434" i="1"/>
  <c r="M435" i="1"/>
  <c r="M436" i="1"/>
  <c r="M871" i="1"/>
  <c r="M872" i="1"/>
  <c r="M873" i="1"/>
  <c r="M437" i="1"/>
  <c r="M874" i="1"/>
  <c r="M438" i="1"/>
  <c r="M439" i="1"/>
  <c r="M440" i="1"/>
  <c r="M441" i="1"/>
  <c r="M442" i="1"/>
  <c r="M875" i="1"/>
  <c r="M443" i="1"/>
  <c r="M876" i="1"/>
  <c r="M444" i="1"/>
  <c r="M877" i="1"/>
  <c r="M445" i="1"/>
  <c r="M446" i="1"/>
  <c r="M878" i="1"/>
  <c r="M447" i="1"/>
  <c r="M448" i="1"/>
  <c r="M879" i="1"/>
  <c r="M449" i="1"/>
  <c r="M880" i="1"/>
  <c r="M450" i="1"/>
  <c r="M451" i="1"/>
  <c r="M452" i="1"/>
  <c r="M881" i="1"/>
  <c r="M453" i="1"/>
  <c r="M454" i="1"/>
  <c r="M882" i="1"/>
  <c r="M883" i="1"/>
  <c r="M455" i="1"/>
  <c r="M884" i="1"/>
  <c r="M885" i="1"/>
  <c r="M456" i="1"/>
  <c r="M886" i="1"/>
  <c r="M887" i="1"/>
  <c r="M888" i="1"/>
  <c r="M457" i="1"/>
  <c r="M458" i="1"/>
  <c r="M459" i="1"/>
  <c r="M889" i="1"/>
  <c r="M890" i="1"/>
  <c r="M460" i="1"/>
  <c r="M461" i="1"/>
  <c r="M891" i="1"/>
  <c r="M462" i="1"/>
  <c r="M463" i="1"/>
  <c r="M892" i="1"/>
  <c r="M464" i="1"/>
  <c r="M465" i="1"/>
  <c r="M893" i="1"/>
  <c r="M894" i="1"/>
  <c r="M895" i="1"/>
  <c r="M896" i="1"/>
  <c r="M466" i="1"/>
  <c r="M897" i="1"/>
  <c r="M467" i="1"/>
  <c r="M898" i="1"/>
  <c r="M899" i="1"/>
  <c r="M900" i="1"/>
  <c r="M468" i="1"/>
  <c r="M469" i="1"/>
  <c r="M901" i="1"/>
  <c r="M470" i="1"/>
  <c r="M902" i="1"/>
  <c r="M903" i="1"/>
  <c r="M471" i="1"/>
  <c r="M904" i="1"/>
  <c r="M905" i="1"/>
  <c r="M472" i="1"/>
  <c r="M906" i="1"/>
  <c r="M907" i="1"/>
  <c r="M473" i="1"/>
  <c r="M474" i="1"/>
  <c r="M908" i="1"/>
  <c r="M909" i="1"/>
  <c r="M475" i="1"/>
  <c r="M477" i="1"/>
  <c r="M478" i="1"/>
  <c r="M479" i="1"/>
  <c r="M910" i="1"/>
  <c r="M911" i="1"/>
  <c r="M480" i="1"/>
  <c r="M481" i="1"/>
  <c r="M482" i="1"/>
  <c r="M483" i="1"/>
  <c r="M484" i="1"/>
  <c r="M485" i="1"/>
  <c r="M912" i="1"/>
  <c r="M913" i="1"/>
  <c r="M914" i="1"/>
  <c r="M915" i="1"/>
  <c r="M916" i="1"/>
  <c r="M917" i="1"/>
  <c r="M486" i="1"/>
  <c r="M918" i="1"/>
  <c r="M919" i="1"/>
  <c r="M920" i="1"/>
  <c r="M487" i="1"/>
  <c r="M488" i="1"/>
  <c r="M921" i="1"/>
  <c r="M922" i="1"/>
  <c r="M489" i="1"/>
  <c r="M490" i="1"/>
  <c r="M923" i="1"/>
  <c r="M491" i="1"/>
  <c r="M924" i="1"/>
  <c r="M492" i="1"/>
  <c r="M493" i="1"/>
  <c r="M925" i="1"/>
  <c r="M926" i="1"/>
  <c r="M927" i="1"/>
  <c r="M494" i="1"/>
  <c r="M928" i="1"/>
  <c r="M495" i="1"/>
  <c r="M929" i="1"/>
  <c r="M930" i="1"/>
  <c r="M496" i="1"/>
  <c r="M497" i="1"/>
  <c r="M931" i="1"/>
  <c r="M498" i="1"/>
  <c r="M499" i="1"/>
  <c r="M500" i="1"/>
  <c r="M501" i="1"/>
  <c r="M932" i="1"/>
  <c r="M502" i="1"/>
  <c r="M933" i="1"/>
  <c r="M195" i="1"/>
  <c r="M539" i="1"/>
  <c r="M680" i="1"/>
  <c r="M608" i="1"/>
  <c r="M649" i="1"/>
  <c r="M579" i="1"/>
  <c r="M239" i="1"/>
  <c r="M773" i="1"/>
  <c r="M91" i="1"/>
  <c r="M159" i="1"/>
  <c r="M79" i="1"/>
  <c r="M659" i="1"/>
  <c r="M2" i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2" i="1"/>
  <c r="BD12" i="1"/>
  <c r="AD2" i="1"/>
  <c r="AM84" i="1"/>
  <c r="AW84" i="1" s="1"/>
  <c r="AM85" i="1"/>
  <c r="AW85" i="1" s="1"/>
  <c r="AM558" i="1"/>
  <c r="AW558" i="1" s="1"/>
  <c r="AM559" i="1"/>
  <c r="AW559" i="1" s="1"/>
  <c r="AM560" i="1"/>
  <c r="AW560" i="1" s="1"/>
  <c r="AM561" i="1"/>
  <c r="AW561" i="1" s="1"/>
  <c r="AM87" i="1"/>
  <c r="AW87" i="1" s="1"/>
  <c r="AM562" i="1"/>
  <c r="AW562" i="1" s="1"/>
  <c r="AM88" i="1"/>
  <c r="AW88" i="1" s="1"/>
  <c r="AM89" i="1"/>
  <c r="AW89" i="1" s="1"/>
  <c r="AM90" i="1"/>
  <c r="AW90" i="1" s="1"/>
  <c r="AM92" i="1"/>
  <c r="AW92" i="1" s="1"/>
  <c r="AM93" i="1"/>
  <c r="AW93" i="1" s="1"/>
  <c r="AM563" i="1"/>
  <c r="AW563" i="1" s="1"/>
  <c r="AM564" i="1"/>
  <c r="AW564" i="1" s="1"/>
  <c r="AM94" i="1"/>
  <c r="AW94" i="1" s="1"/>
  <c r="AM565" i="1"/>
  <c r="AW565" i="1" s="1"/>
  <c r="AM95" i="1"/>
  <c r="AW95" i="1" s="1"/>
  <c r="AM96" i="1"/>
  <c r="AW96" i="1" s="1"/>
  <c r="AM97" i="1"/>
  <c r="AW97" i="1" s="1"/>
  <c r="AM98" i="1"/>
  <c r="AW98" i="1" s="1"/>
  <c r="AM566" i="1"/>
  <c r="AW566" i="1" s="1"/>
  <c r="AM99" i="1"/>
  <c r="AW99" i="1" s="1"/>
  <c r="AM567" i="1"/>
  <c r="AW567" i="1" s="1"/>
  <c r="AM568" i="1"/>
  <c r="AW568" i="1" s="1"/>
  <c r="AM100" i="1"/>
  <c r="AW100" i="1" s="1"/>
  <c r="AM101" i="1"/>
  <c r="AW101" i="1" s="1"/>
  <c r="AM569" i="1"/>
  <c r="AW569" i="1" s="1"/>
  <c r="AM570" i="1"/>
  <c r="AW570" i="1" s="1"/>
  <c r="AM571" i="1"/>
  <c r="AW571" i="1" s="1"/>
  <c r="AM102" i="1"/>
  <c r="AW102" i="1" s="1"/>
  <c r="AM572" i="1"/>
  <c r="AW572" i="1" s="1"/>
  <c r="AM573" i="1"/>
  <c r="AW573" i="1" s="1"/>
  <c r="AM103" i="1"/>
  <c r="AW103" i="1" s="1"/>
  <c r="AM574" i="1"/>
  <c r="AW574" i="1" s="1"/>
  <c r="AM575" i="1"/>
  <c r="AW575" i="1" s="1"/>
  <c r="AM576" i="1"/>
  <c r="AW576" i="1" s="1"/>
  <c r="AM577" i="1"/>
  <c r="AW577" i="1" s="1"/>
  <c r="AM578" i="1"/>
  <c r="AW578" i="1" s="1"/>
  <c r="AM580" i="1"/>
  <c r="AW580" i="1" s="1"/>
  <c r="AM581" i="1"/>
  <c r="AW581" i="1" s="1"/>
  <c r="AM104" i="1"/>
  <c r="AW104" i="1" s="1"/>
  <c r="AM582" i="1"/>
  <c r="AW582" i="1" s="1"/>
  <c r="AM105" i="1"/>
  <c r="AW105" i="1" s="1"/>
  <c r="AM583" i="1"/>
  <c r="AW583" i="1" s="1"/>
  <c r="AM106" i="1"/>
  <c r="AW106" i="1" s="1"/>
  <c r="AM107" i="1"/>
  <c r="AW107" i="1" s="1"/>
  <c r="AM108" i="1"/>
  <c r="AW108" i="1" s="1"/>
  <c r="AM109" i="1"/>
  <c r="AW109" i="1" s="1"/>
  <c r="AM584" i="1"/>
  <c r="AW584" i="1" s="1"/>
  <c r="AM110" i="1"/>
  <c r="AW110" i="1" s="1"/>
  <c r="AM585" i="1"/>
  <c r="AW585" i="1" s="1"/>
  <c r="AM111" i="1"/>
  <c r="AW111" i="1" s="1"/>
  <c r="AM112" i="1"/>
  <c r="AW112" i="1" s="1"/>
  <c r="AM113" i="1"/>
  <c r="AW113" i="1" s="1"/>
  <c r="AM586" i="1"/>
  <c r="AW586" i="1" s="1"/>
  <c r="AM587" i="1"/>
  <c r="AW587" i="1" s="1"/>
  <c r="AM588" i="1"/>
  <c r="AW588" i="1" s="1"/>
  <c r="AM589" i="1"/>
  <c r="AW589" i="1" s="1"/>
  <c r="AM114" i="1"/>
  <c r="AW114" i="1" s="1"/>
  <c r="AM115" i="1"/>
  <c r="AW115" i="1" s="1"/>
  <c r="AM116" i="1"/>
  <c r="AW116" i="1" s="1"/>
  <c r="AM590" i="1"/>
  <c r="AW590" i="1" s="1"/>
  <c r="AM591" i="1"/>
  <c r="AW591" i="1" s="1"/>
  <c r="AM117" i="1"/>
  <c r="AW117" i="1" s="1"/>
  <c r="AM592" i="1"/>
  <c r="AW592" i="1" s="1"/>
  <c r="AM118" i="1"/>
  <c r="AW118" i="1" s="1"/>
  <c r="AM119" i="1"/>
  <c r="AW119" i="1" s="1"/>
  <c r="AM593" i="1"/>
  <c r="AW593" i="1" s="1"/>
  <c r="AM594" i="1"/>
  <c r="AW594" i="1" s="1"/>
  <c r="AM595" i="1"/>
  <c r="AW595" i="1" s="1"/>
  <c r="AM120" i="1"/>
  <c r="AW120" i="1" s="1"/>
  <c r="AM596" i="1"/>
  <c r="AW596" i="1" s="1"/>
  <c r="AM597" i="1"/>
  <c r="AW597" i="1" s="1"/>
  <c r="AM598" i="1"/>
  <c r="AW598" i="1" s="1"/>
  <c r="AM121" i="1"/>
  <c r="AW121" i="1" s="1"/>
  <c r="AM599" i="1"/>
  <c r="AW599" i="1" s="1"/>
  <c r="AM600" i="1"/>
  <c r="AW600" i="1" s="1"/>
  <c r="AM122" i="1"/>
  <c r="AW122" i="1" s="1"/>
  <c r="AM123" i="1"/>
  <c r="AW123" i="1" s="1"/>
  <c r="AM124" i="1"/>
  <c r="AW124" i="1" s="1"/>
  <c r="AM125" i="1"/>
  <c r="AW125" i="1" s="1"/>
  <c r="AM126" i="1"/>
  <c r="AW126" i="1" s="1"/>
  <c r="AM127" i="1"/>
  <c r="AW127" i="1" s="1"/>
  <c r="AM601" i="1"/>
  <c r="AW601" i="1" s="1"/>
  <c r="AM602" i="1"/>
  <c r="AW602" i="1" s="1"/>
  <c r="AM603" i="1"/>
  <c r="AW603" i="1" s="1"/>
  <c r="AM2" i="1"/>
  <c r="AW2" i="1" s="1"/>
  <c r="AM3" i="1"/>
  <c r="AW3" i="1" s="1"/>
  <c r="AM4" i="1"/>
  <c r="AW4" i="1" s="1"/>
  <c r="AM5" i="1"/>
  <c r="AW5" i="1" s="1"/>
  <c r="AM503" i="1"/>
  <c r="AW503" i="1" s="1"/>
  <c r="AM6" i="1"/>
  <c r="AW6" i="1" s="1"/>
  <c r="AM504" i="1"/>
  <c r="AW504" i="1" s="1"/>
  <c r="AM506" i="1"/>
  <c r="AW506" i="1" s="1"/>
  <c r="AM7" i="1"/>
  <c r="AW7" i="1" s="1"/>
  <c r="AM507" i="1"/>
  <c r="AW507" i="1" s="1"/>
  <c r="AM508" i="1"/>
  <c r="AW508" i="1" s="1"/>
  <c r="AM8" i="1"/>
  <c r="AW8" i="1" s="1"/>
  <c r="AM9" i="1"/>
  <c r="AW9" i="1" s="1"/>
  <c r="AM509" i="1"/>
  <c r="AW509" i="1" s="1"/>
  <c r="AM10" i="1"/>
  <c r="AW10" i="1" s="1"/>
  <c r="AM11" i="1"/>
  <c r="AW11" i="1" s="1"/>
  <c r="AM12" i="1"/>
  <c r="AW12" i="1" s="1"/>
  <c r="AM13" i="1"/>
  <c r="AW13" i="1" s="1"/>
  <c r="AM510" i="1"/>
  <c r="AW510" i="1" s="1"/>
  <c r="AM14" i="1"/>
  <c r="AW14" i="1" s="1"/>
  <c r="AM511" i="1"/>
  <c r="AW511" i="1" s="1"/>
  <c r="AM512" i="1"/>
  <c r="AW512" i="1" s="1"/>
  <c r="AM513" i="1"/>
  <c r="AW513" i="1" s="1"/>
  <c r="AM514" i="1"/>
  <c r="AW514" i="1" s="1"/>
  <c r="AM15" i="1"/>
  <c r="AW15" i="1" s="1"/>
  <c r="AM16" i="1"/>
  <c r="AW16" i="1" s="1"/>
  <c r="AM17" i="1"/>
  <c r="AW17" i="1" s="1"/>
  <c r="AM515" i="1"/>
  <c r="AW515" i="1" s="1"/>
  <c r="AM18" i="1"/>
  <c r="AW18" i="1" s="1"/>
  <c r="AM516" i="1"/>
  <c r="AW516" i="1" s="1"/>
  <c r="AM19" i="1"/>
  <c r="AW19" i="1" s="1"/>
  <c r="AM517" i="1"/>
  <c r="AW517" i="1" s="1"/>
  <c r="AM20" i="1"/>
  <c r="AW20" i="1" s="1"/>
  <c r="AM21" i="1"/>
  <c r="AW21" i="1" s="1"/>
  <c r="AM518" i="1"/>
  <c r="AW518" i="1" s="1"/>
  <c r="AM22" i="1"/>
  <c r="AW22" i="1" s="1"/>
  <c r="AM23" i="1"/>
  <c r="AW23" i="1" s="1"/>
  <c r="AM519" i="1"/>
  <c r="AW519" i="1" s="1"/>
  <c r="AM24" i="1"/>
  <c r="AW24" i="1" s="1"/>
  <c r="AM25" i="1"/>
  <c r="AW25" i="1" s="1"/>
  <c r="AM26" i="1"/>
  <c r="AW26" i="1" s="1"/>
  <c r="AM27" i="1"/>
  <c r="AW27" i="1" s="1"/>
  <c r="AM520" i="1"/>
  <c r="AW520" i="1" s="1"/>
  <c r="AM28" i="1"/>
  <c r="AW28" i="1" s="1"/>
  <c r="AM29" i="1"/>
  <c r="AW29" i="1" s="1"/>
  <c r="AM30" i="1"/>
  <c r="AW30" i="1" s="1"/>
  <c r="AM31" i="1"/>
  <c r="AW31" i="1" s="1"/>
  <c r="AM32" i="1"/>
  <c r="AW32" i="1" s="1"/>
  <c r="AM521" i="1"/>
  <c r="AW521" i="1" s="1"/>
  <c r="AM33" i="1"/>
  <c r="AW33" i="1" s="1"/>
  <c r="AM522" i="1"/>
  <c r="AW522" i="1" s="1"/>
  <c r="AM34" i="1"/>
  <c r="AW34" i="1" s="1"/>
  <c r="AM35" i="1"/>
  <c r="AW35" i="1" s="1"/>
  <c r="AM523" i="1"/>
  <c r="AW523" i="1" s="1"/>
  <c r="AM524" i="1"/>
  <c r="AW524" i="1" s="1"/>
  <c r="AM525" i="1"/>
  <c r="AW525" i="1" s="1"/>
  <c r="AM526" i="1"/>
  <c r="AW526" i="1" s="1"/>
  <c r="AM36" i="1"/>
  <c r="AW36" i="1" s="1"/>
  <c r="AM37" i="1"/>
  <c r="AW37" i="1" s="1"/>
  <c r="AM38" i="1"/>
  <c r="AW38" i="1" s="1"/>
  <c r="AM39" i="1"/>
  <c r="AW39" i="1" s="1"/>
  <c r="AM40" i="1"/>
  <c r="AW40" i="1" s="1"/>
  <c r="AM41" i="1"/>
  <c r="AW41" i="1" s="1"/>
  <c r="AM42" i="1"/>
  <c r="AW42" i="1" s="1"/>
  <c r="AM43" i="1"/>
  <c r="AW43" i="1" s="1"/>
  <c r="AM44" i="1"/>
  <c r="AW44" i="1" s="1"/>
  <c r="AM527" i="1"/>
  <c r="AW527" i="1" s="1"/>
  <c r="AM528" i="1"/>
  <c r="AW528" i="1" s="1"/>
  <c r="AM45" i="1"/>
  <c r="AW45" i="1" s="1"/>
  <c r="AM46" i="1"/>
  <c r="AW46" i="1" s="1"/>
  <c r="AM529" i="1"/>
  <c r="AW529" i="1" s="1"/>
  <c r="AM530" i="1"/>
  <c r="AW530" i="1" s="1"/>
  <c r="AM47" i="1"/>
  <c r="AW47" i="1" s="1"/>
  <c r="AM531" i="1"/>
  <c r="AW531" i="1" s="1"/>
  <c r="AM532" i="1"/>
  <c r="AW532" i="1" s="1"/>
  <c r="AM533" i="1"/>
  <c r="AW533" i="1" s="1"/>
  <c r="AM48" i="1"/>
  <c r="AW48" i="1" s="1"/>
  <c r="AM534" i="1"/>
  <c r="AW534" i="1" s="1"/>
  <c r="AM535" i="1"/>
  <c r="AW535" i="1" s="1"/>
  <c r="AM536" i="1"/>
  <c r="AW536" i="1" s="1"/>
  <c r="AM49" i="1"/>
  <c r="AW49" i="1" s="1"/>
  <c r="AM537" i="1"/>
  <c r="AW537" i="1" s="1"/>
  <c r="AM50" i="1"/>
  <c r="AW50" i="1" s="1"/>
  <c r="AM51" i="1"/>
  <c r="AW51" i="1" s="1"/>
  <c r="AM52" i="1"/>
  <c r="AW52" i="1" s="1"/>
  <c r="AM53" i="1"/>
  <c r="AW53" i="1" s="1"/>
  <c r="AM54" i="1"/>
  <c r="AW54" i="1" s="1"/>
  <c r="AM55" i="1"/>
  <c r="AW55" i="1" s="1"/>
  <c r="AM56" i="1"/>
  <c r="AW56" i="1" s="1"/>
  <c r="AM57" i="1"/>
  <c r="AW57" i="1" s="1"/>
  <c r="AM538" i="1"/>
  <c r="AW538" i="1" s="1"/>
  <c r="AM540" i="1"/>
  <c r="AW540" i="1" s="1"/>
  <c r="AM541" i="1"/>
  <c r="AW541" i="1" s="1"/>
  <c r="AM58" i="1"/>
  <c r="AW58" i="1" s="1"/>
  <c r="AM59" i="1"/>
  <c r="AW59" i="1" s="1"/>
  <c r="AM542" i="1"/>
  <c r="AW542" i="1" s="1"/>
  <c r="AM60" i="1"/>
  <c r="AW60" i="1" s="1"/>
  <c r="AM543" i="1"/>
  <c r="AW543" i="1" s="1"/>
  <c r="AM61" i="1"/>
  <c r="AW61" i="1" s="1"/>
  <c r="AM544" i="1"/>
  <c r="AW544" i="1" s="1"/>
  <c r="AM545" i="1"/>
  <c r="AW545" i="1" s="1"/>
  <c r="AM62" i="1"/>
  <c r="AW62" i="1" s="1"/>
  <c r="AM546" i="1"/>
  <c r="AW546" i="1" s="1"/>
  <c r="AM547" i="1"/>
  <c r="AW547" i="1" s="1"/>
  <c r="AM548" i="1"/>
  <c r="AW548" i="1" s="1"/>
  <c r="AM63" i="1"/>
  <c r="AW63" i="1" s="1"/>
  <c r="AM64" i="1"/>
  <c r="AW64" i="1" s="1"/>
  <c r="AM65" i="1"/>
  <c r="AW65" i="1" s="1"/>
  <c r="AM66" i="1"/>
  <c r="AW66" i="1" s="1"/>
  <c r="AM549" i="1"/>
  <c r="AW549" i="1" s="1"/>
  <c r="AM67" i="1"/>
  <c r="AW67" i="1" s="1"/>
  <c r="AM550" i="1"/>
  <c r="AW550" i="1" s="1"/>
  <c r="AM68" i="1"/>
  <c r="AW68" i="1" s="1"/>
  <c r="AM69" i="1"/>
  <c r="AW69" i="1" s="1"/>
  <c r="AM70" i="1"/>
  <c r="AW70" i="1" s="1"/>
  <c r="AM71" i="1"/>
  <c r="AW71" i="1" s="1"/>
  <c r="AM551" i="1"/>
  <c r="AW551" i="1" s="1"/>
  <c r="AM72" i="1"/>
  <c r="AW72" i="1" s="1"/>
  <c r="AM73" i="1"/>
  <c r="AW73" i="1" s="1"/>
  <c r="AM74" i="1"/>
  <c r="AW74" i="1" s="1"/>
  <c r="AM75" i="1"/>
  <c r="AW75" i="1" s="1"/>
  <c r="AM552" i="1"/>
  <c r="AW552" i="1" s="1"/>
  <c r="AM76" i="1"/>
  <c r="AW76" i="1" s="1"/>
  <c r="AM77" i="1"/>
  <c r="AW77" i="1" s="1"/>
  <c r="AM80" i="1"/>
  <c r="AW80" i="1" s="1"/>
  <c r="AM553" i="1"/>
  <c r="AW553" i="1" s="1"/>
  <c r="AM554" i="1"/>
  <c r="AW554" i="1" s="1"/>
  <c r="AM555" i="1"/>
  <c r="AW555" i="1" s="1"/>
  <c r="AM81" i="1"/>
  <c r="AW81" i="1" s="1"/>
  <c r="AM82" i="1"/>
  <c r="AW82" i="1" s="1"/>
  <c r="AM83" i="1"/>
  <c r="AW83" i="1" s="1"/>
  <c r="AM557" i="1"/>
  <c r="AW557" i="1" s="1"/>
  <c r="AM128" i="1"/>
  <c r="AW128" i="1" s="1"/>
  <c r="AM129" i="1"/>
  <c r="AW129" i="1" s="1"/>
  <c r="AM604" i="1"/>
  <c r="AW604" i="1" s="1"/>
  <c r="AM605" i="1"/>
  <c r="AW605" i="1" s="1"/>
  <c r="AM606" i="1"/>
  <c r="AW606" i="1" s="1"/>
  <c r="AM607" i="1"/>
  <c r="AW607" i="1" s="1"/>
  <c r="AM130" i="1"/>
  <c r="AW130" i="1" s="1"/>
  <c r="AM609" i="1"/>
  <c r="AW609" i="1" s="1"/>
  <c r="AM131" i="1"/>
  <c r="AW131" i="1" s="1"/>
  <c r="AM132" i="1"/>
  <c r="AW132" i="1" s="1"/>
  <c r="AM610" i="1"/>
  <c r="AW610" i="1" s="1"/>
  <c r="AM133" i="1"/>
  <c r="AW133" i="1" s="1"/>
  <c r="AM134" i="1"/>
  <c r="AW134" i="1" s="1"/>
  <c r="AM611" i="1"/>
  <c r="AW611" i="1" s="1"/>
  <c r="AM135" i="1"/>
  <c r="AW135" i="1" s="1"/>
  <c r="AM136" i="1"/>
  <c r="AW136" i="1" s="1"/>
  <c r="AM137" i="1"/>
  <c r="AW137" i="1" s="1"/>
  <c r="AM138" i="1"/>
  <c r="AW138" i="1" s="1"/>
  <c r="AM139" i="1"/>
  <c r="AW139" i="1" s="1"/>
  <c r="AM140" i="1"/>
  <c r="AW140" i="1" s="1"/>
  <c r="AM141" i="1"/>
  <c r="AW141" i="1" s="1"/>
  <c r="AM142" i="1"/>
  <c r="AW142" i="1" s="1"/>
  <c r="AM612" i="1"/>
  <c r="AW612" i="1" s="1"/>
  <c r="AM613" i="1"/>
  <c r="AW613" i="1" s="1"/>
  <c r="AM614" i="1"/>
  <c r="AW614" i="1" s="1"/>
  <c r="AM143" i="1"/>
  <c r="AW143" i="1" s="1"/>
  <c r="AM144" i="1"/>
  <c r="AW144" i="1" s="1"/>
  <c r="AM145" i="1"/>
  <c r="AW145" i="1" s="1"/>
  <c r="AM146" i="1"/>
  <c r="AW146" i="1" s="1"/>
  <c r="AM147" i="1"/>
  <c r="AW147" i="1" s="1"/>
  <c r="AM615" i="1"/>
  <c r="AW615" i="1" s="1"/>
  <c r="AM148" i="1"/>
  <c r="AW148" i="1" s="1"/>
  <c r="AM616" i="1"/>
  <c r="AW616" i="1" s="1"/>
  <c r="AM617" i="1"/>
  <c r="AW617" i="1" s="1"/>
  <c r="AM150" i="1"/>
  <c r="AW150" i="1" s="1"/>
  <c r="AM618" i="1"/>
  <c r="AW618" i="1" s="1"/>
  <c r="AM619" i="1"/>
  <c r="AW619" i="1" s="1"/>
  <c r="AM151" i="1"/>
  <c r="AW151" i="1" s="1"/>
  <c r="AM620" i="1"/>
  <c r="AW620" i="1" s="1"/>
  <c r="AM152" i="1"/>
  <c r="AW152" i="1" s="1"/>
  <c r="AM153" i="1"/>
  <c r="AW153" i="1" s="1"/>
  <c r="AM621" i="1"/>
  <c r="AW621" i="1" s="1"/>
  <c r="AM622" i="1"/>
  <c r="AW622" i="1" s="1"/>
  <c r="AM623" i="1"/>
  <c r="AW623" i="1" s="1"/>
  <c r="AM624" i="1"/>
  <c r="AW624" i="1" s="1"/>
  <c r="AM154" i="1"/>
  <c r="AW154" i="1" s="1"/>
  <c r="AM155" i="1"/>
  <c r="AW155" i="1" s="1"/>
  <c r="AM625" i="1"/>
  <c r="AW625" i="1" s="1"/>
  <c r="AM626" i="1"/>
  <c r="AW626" i="1" s="1"/>
  <c r="AM627" i="1"/>
  <c r="AW627" i="1" s="1"/>
  <c r="AM628" i="1"/>
  <c r="AW628" i="1" s="1"/>
  <c r="AM156" i="1"/>
  <c r="AW156" i="1" s="1"/>
  <c r="AM157" i="1"/>
  <c r="AW157" i="1" s="1"/>
  <c r="AM158" i="1"/>
  <c r="AW158" i="1" s="1"/>
  <c r="AM629" i="1"/>
  <c r="AW629" i="1" s="1"/>
  <c r="AM160" i="1"/>
  <c r="AW160" i="1" s="1"/>
  <c r="AM161" i="1"/>
  <c r="AW161" i="1" s="1"/>
  <c r="AM162" i="1"/>
  <c r="AW162" i="1" s="1"/>
  <c r="AM630" i="1"/>
  <c r="AW630" i="1" s="1"/>
  <c r="AM631" i="1"/>
  <c r="AW631" i="1" s="1"/>
  <c r="AM164" i="1"/>
  <c r="AW164" i="1" s="1"/>
  <c r="AM165" i="1"/>
  <c r="AW165" i="1" s="1"/>
  <c r="AM632" i="1"/>
  <c r="AW632" i="1" s="1"/>
  <c r="AM167" i="1"/>
  <c r="AW167" i="1" s="1"/>
  <c r="AM633" i="1"/>
  <c r="AW633" i="1" s="1"/>
  <c r="AM168" i="1"/>
  <c r="AW168" i="1" s="1"/>
  <c r="AM634" i="1"/>
  <c r="AW634" i="1" s="1"/>
  <c r="AM169" i="1"/>
  <c r="AW169" i="1" s="1"/>
  <c r="AM170" i="1"/>
  <c r="AW170" i="1" s="1"/>
  <c r="AM171" i="1"/>
  <c r="AW171" i="1" s="1"/>
  <c r="AM635" i="1"/>
  <c r="AW635" i="1" s="1"/>
  <c r="AM636" i="1"/>
  <c r="AW636" i="1" s="1"/>
  <c r="AM172" i="1"/>
  <c r="AW172" i="1" s="1"/>
  <c r="AM637" i="1"/>
  <c r="AW637" i="1" s="1"/>
  <c r="AM173" i="1"/>
  <c r="AW173" i="1" s="1"/>
  <c r="AM638" i="1"/>
  <c r="AW638" i="1" s="1"/>
  <c r="AM639" i="1"/>
  <c r="AW639" i="1" s="1"/>
  <c r="AM640" i="1"/>
  <c r="AW640" i="1" s="1"/>
  <c r="AM174" i="1"/>
  <c r="AW174" i="1" s="1"/>
  <c r="AM641" i="1"/>
  <c r="AW641" i="1" s="1"/>
  <c r="AM175" i="1"/>
  <c r="AW175" i="1" s="1"/>
  <c r="AM176" i="1"/>
  <c r="AW176" i="1" s="1"/>
  <c r="AM642" i="1"/>
  <c r="AW642" i="1" s="1"/>
  <c r="AM643" i="1"/>
  <c r="AW643" i="1" s="1"/>
  <c r="AM177" i="1"/>
  <c r="AW177" i="1" s="1"/>
  <c r="AM178" i="1"/>
  <c r="AW178" i="1" s="1"/>
  <c r="AM179" i="1"/>
  <c r="AW179" i="1" s="1"/>
  <c r="AM644" i="1"/>
  <c r="AW644" i="1" s="1"/>
  <c r="AM645" i="1"/>
  <c r="AW645" i="1" s="1"/>
  <c r="AM646" i="1"/>
  <c r="AW646" i="1" s="1"/>
  <c r="AM180" i="1"/>
  <c r="AW180" i="1" s="1"/>
  <c r="AM181" i="1"/>
  <c r="AW181" i="1" s="1"/>
  <c r="AM182" i="1"/>
  <c r="AW182" i="1" s="1"/>
  <c r="AM183" i="1"/>
  <c r="AW183" i="1" s="1"/>
  <c r="AM647" i="1"/>
  <c r="AW647" i="1" s="1"/>
  <c r="AM648" i="1"/>
  <c r="AW648" i="1" s="1"/>
  <c r="AM184" i="1"/>
  <c r="AW184" i="1" s="1"/>
  <c r="AM185" i="1"/>
  <c r="AW185" i="1" s="1"/>
  <c r="AM650" i="1"/>
  <c r="AW650" i="1" s="1"/>
  <c r="AM186" i="1"/>
  <c r="AW186" i="1" s="1"/>
  <c r="AM187" i="1"/>
  <c r="AW187" i="1" s="1"/>
  <c r="AM188" i="1"/>
  <c r="AW188" i="1" s="1"/>
  <c r="AM189" i="1"/>
  <c r="AW189" i="1" s="1"/>
  <c r="AM190" i="1"/>
  <c r="AW190" i="1" s="1"/>
  <c r="AM191" i="1"/>
  <c r="AW191" i="1" s="1"/>
  <c r="AM651" i="1"/>
  <c r="AW651" i="1" s="1"/>
  <c r="AM652" i="1"/>
  <c r="AW652" i="1" s="1"/>
  <c r="AM653" i="1"/>
  <c r="AW653" i="1" s="1"/>
  <c r="AM192" i="1"/>
  <c r="AW192" i="1" s="1"/>
  <c r="AM654" i="1"/>
  <c r="AW654" i="1" s="1"/>
  <c r="AM655" i="1"/>
  <c r="AW655" i="1" s="1"/>
  <c r="AM193" i="1"/>
  <c r="AW193" i="1" s="1"/>
  <c r="AM194" i="1"/>
  <c r="AW194" i="1" s="1"/>
  <c r="AM656" i="1"/>
  <c r="AW656" i="1" s="1"/>
  <c r="AM657" i="1"/>
  <c r="AW657" i="1" s="1"/>
  <c r="AM196" i="1"/>
  <c r="AW196" i="1" s="1"/>
  <c r="AM658" i="1"/>
  <c r="AW658" i="1" s="1"/>
  <c r="AM197" i="1"/>
  <c r="AW197" i="1" s="1"/>
  <c r="AM198" i="1"/>
  <c r="AW198" i="1" s="1"/>
  <c r="AM199" i="1"/>
  <c r="AW199" i="1" s="1"/>
  <c r="AM660" i="1"/>
  <c r="AW660" i="1" s="1"/>
  <c r="AM200" i="1"/>
  <c r="AW200" i="1" s="1"/>
  <c r="AM661" i="1"/>
  <c r="AW661" i="1" s="1"/>
  <c r="AM662" i="1"/>
  <c r="AW662" i="1" s="1"/>
  <c r="AM663" i="1"/>
  <c r="AW663" i="1" s="1"/>
  <c r="AM201" i="1"/>
  <c r="AW201" i="1" s="1"/>
  <c r="AM202" i="1"/>
  <c r="AW202" i="1" s="1"/>
  <c r="AM664" i="1"/>
  <c r="AW664" i="1" s="1"/>
  <c r="AM203" i="1"/>
  <c r="AW203" i="1" s="1"/>
  <c r="AM204" i="1"/>
  <c r="AW204" i="1" s="1"/>
  <c r="AM665" i="1"/>
  <c r="AW665" i="1" s="1"/>
  <c r="AM205" i="1"/>
  <c r="AW205" i="1" s="1"/>
  <c r="AM666" i="1"/>
  <c r="AW666" i="1" s="1"/>
  <c r="AM667" i="1"/>
  <c r="AW667" i="1" s="1"/>
  <c r="AM668" i="1"/>
  <c r="AW668" i="1" s="1"/>
  <c r="AM206" i="1"/>
  <c r="AW206" i="1" s="1"/>
  <c r="AM207" i="1"/>
  <c r="AW207" i="1" s="1"/>
  <c r="AM669" i="1"/>
  <c r="AW669" i="1" s="1"/>
  <c r="AM670" i="1"/>
  <c r="AW670" i="1" s="1"/>
  <c r="AM671" i="1"/>
  <c r="AW671" i="1" s="1"/>
  <c r="AM208" i="1"/>
  <c r="AW208" i="1" s="1"/>
  <c r="AM209" i="1"/>
  <c r="AW209" i="1" s="1"/>
  <c r="AM672" i="1"/>
  <c r="AW672" i="1" s="1"/>
  <c r="AM210" i="1"/>
  <c r="AW210" i="1" s="1"/>
  <c r="AM673" i="1"/>
  <c r="AW673" i="1" s="1"/>
  <c r="AM674" i="1"/>
  <c r="AW674" i="1" s="1"/>
  <c r="AM211" i="1"/>
  <c r="AW211" i="1" s="1"/>
  <c r="AM675" i="1"/>
  <c r="AW675" i="1" s="1"/>
  <c r="AM212" i="1"/>
  <c r="AW212" i="1" s="1"/>
  <c r="AM676" i="1"/>
  <c r="AW676" i="1" s="1"/>
  <c r="AM677" i="1"/>
  <c r="AW677" i="1" s="1"/>
  <c r="AM213" i="1"/>
  <c r="AW213" i="1" s="1"/>
  <c r="AM214" i="1"/>
  <c r="AW214" i="1" s="1"/>
  <c r="AM678" i="1"/>
  <c r="AW678" i="1" s="1"/>
  <c r="AM679" i="1"/>
  <c r="AW679" i="1" s="1"/>
  <c r="AM681" i="1"/>
  <c r="AW681" i="1" s="1"/>
  <c r="AM215" i="1"/>
  <c r="AW215" i="1" s="1"/>
  <c r="AM216" i="1"/>
  <c r="AW216" i="1" s="1"/>
  <c r="AM682" i="1"/>
  <c r="AW682" i="1" s="1"/>
  <c r="AM684" i="1"/>
  <c r="AW684" i="1" s="1"/>
  <c r="AM217" i="1"/>
  <c r="AW217" i="1" s="1"/>
  <c r="AM218" i="1"/>
  <c r="AW218" i="1" s="1"/>
  <c r="AM685" i="1"/>
  <c r="AW685" i="1" s="1"/>
  <c r="AM686" i="1"/>
  <c r="AW686" i="1" s="1"/>
  <c r="AM687" i="1"/>
  <c r="AW687" i="1" s="1"/>
  <c r="AM219" i="1"/>
  <c r="AW219" i="1" s="1"/>
  <c r="AM688" i="1"/>
  <c r="AW688" i="1" s="1"/>
  <c r="AM689" i="1"/>
  <c r="AW689" i="1" s="1"/>
  <c r="AM690" i="1"/>
  <c r="AW690" i="1" s="1"/>
  <c r="AM220" i="1"/>
  <c r="AW220" i="1" s="1"/>
  <c r="AM221" i="1"/>
  <c r="AW221" i="1" s="1"/>
  <c r="AM222" i="1"/>
  <c r="AW222" i="1" s="1"/>
  <c r="AM691" i="1"/>
  <c r="AW691" i="1" s="1"/>
  <c r="AM223" i="1"/>
  <c r="AW223" i="1" s="1"/>
  <c r="AM224" i="1"/>
  <c r="AW224" i="1" s="1"/>
  <c r="AM225" i="1"/>
  <c r="AW225" i="1" s="1"/>
  <c r="AM226" i="1"/>
  <c r="AW226" i="1" s="1"/>
  <c r="AM692" i="1"/>
  <c r="AW692" i="1" s="1"/>
  <c r="AM693" i="1"/>
  <c r="AW693" i="1" s="1"/>
  <c r="AM227" i="1"/>
  <c r="AW227" i="1" s="1"/>
  <c r="AM694" i="1"/>
  <c r="AW694" i="1" s="1"/>
  <c r="AM696" i="1"/>
  <c r="AW696" i="1" s="1"/>
  <c r="AM697" i="1"/>
  <c r="AW697" i="1" s="1"/>
  <c r="AM228" i="1"/>
  <c r="AW228" i="1" s="1"/>
  <c r="AM229" i="1"/>
  <c r="AW229" i="1" s="1"/>
  <c r="AM230" i="1"/>
  <c r="AW230" i="1" s="1"/>
  <c r="AM231" i="1"/>
  <c r="AW231" i="1" s="1"/>
  <c r="AM698" i="1"/>
  <c r="AW698" i="1" s="1"/>
  <c r="AM232" i="1"/>
  <c r="AW232" i="1" s="1"/>
  <c r="AM699" i="1"/>
  <c r="AW699" i="1" s="1"/>
  <c r="AM700" i="1"/>
  <c r="AW700" i="1" s="1"/>
  <c r="AM233" i="1"/>
  <c r="AW233" i="1" s="1"/>
  <c r="AM701" i="1"/>
  <c r="AW701" i="1" s="1"/>
  <c r="AM234" i="1"/>
  <c r="AW234" i="1" s="1"/>
  <c r="AM702" i="1"/>
  <c r="AW702" i="1" s="1"/>
  <c r="AM235" i="1"/>
  <c r="AW235" i="1" s="1"/>
  <c r="AM236" i="1"/>
  <c r="AW236" i="1" s="1"/>
  <c r="AM703" i="1"/>
  <c r="AW703" i="1" s="1"/>
  <c r="AM704" i="1"/>
  <c r="AW704" i="1" s="1"/>
  <c r="AM237" i="1"/>
  <c r="AW237" i="1" s="1"/>
  <c r="AM705" i="1"/>
  <c r="AW705" i="1" s="1"/>
  <c r="AM706" i="1"/>
  <c r="AW706" i="1" s="1"/>
  <c r="AM707" i="1"/>
  <c r="AW707" i="1" s="1"/>
  <c r="AM708" i="1"/>
  <c r="AW708" i="1" s="1"/>
  <c r="AM238" i="1"/>
  <c r="AW238" i="1" s="1"/>
  <c r="AM240" i="1"/>
  <c r="AW240" i="1" s="1"/>
  <c r="AM241" i="1"/>
  <c r="AW241" i="1" s="1"/>
  <c r="AM242" i="1"/>
  <c r="AW242" i="1" s="1"/>
  <c r="AM709" i="1"/>
  <c r="AW709" i="1" s="1"/>
  <c r="AM710" i="1"/>
  <c r="AW710" i="1" s="1"/>
  <c r="AM711" i="1"/>
  <c r="AW711" i="1" s="1"/>
  <c r="AM243" i="1"/>
  <c r="AW243" i="1" s="1"/>
  <c r="AM244" i="1"/>
  <c r="AW244" i="1" s="1"/>
  <c r="AM245" i="1"/>
  <c r="AW245" i="1" s="1"/>
  <c r="AM246" i="1"/>
  <c r="AW246" i="1" s="1"/>
  <c r="AM712" i="1"/>
  <c r="AW712" i="1" s="1"/>
  <c r="AM713" i="1"/>
  <c r="AW713" i="1" s="1"/>
  <c r="AM247" i="1"/>
  <c r="AW247" i="1" s="1"/>
  <c r="AM248" i="1"/>
  <c r="AW248" i="1" s="1"/>
  <c r="AM714" i="1"/>
  <c r="AW714" i="1" s="1"/>
  <c r="AM715" i="1"/>
  <c r="AW715" i="1" s="1"/>
  <c r="AM249" i="1"/>
  <c r="AW249" i="1" s="1"/>
  <c r="AM250" i="1"/>
  <c r="AW250" i="1" s="1"/>
  <c r="AM716" i="1"/>
  <c r="AW716" i="1" s="1"/>
  <c r="AM251" i="1"/>
  <c r="AW251" i="1" s="1"/>
  <c r="AM717" i="1"/>
  <c r="AW717" i="1" s="1"/>
  <c r="AM252" i="1"/>
  <c r="AW252" i="1" s="1"/>
  <c r="AM718" i="1"/>
  <c r="AW718" i="1" s="1"/>
  <c r="AM719" i="1"/>
  <c r="AW719" i="1" s="1"/>
  <c r="AM253" i="1"/>
  <c r="AW253" i="1" s="1"/>
  <c r="AM254" i="1"/>
  <c r="AW254" i="1" s="1"/>
  <c r="AM720" i="1"/>
  <c r="AW720" i="1" s="1"/>
  <c r="AM255" i="1"/>
  <c r="AW255" i="1" s="1"/>
  <c r="AM256" i="1"/>
  <c r="AW256" i="1" s="1"/>
  <c r="AM721" i="1"/>
  <c r="AW721" i="1" s="1"/>
  <c r="AM722" i="1"/>
  <c r="AW722" i="1" s="1"/>
  <c r="AM257" i="1"/>
  <c r="AW257" i="1" s="1"/>
  <c r="AM258" i="1"/>
  <c r="AW258" i="1" s="1"/>
  <c r="AM259" i="1"/>
  <c r="AW259" i="1" s="1"/>
  <c r="AM260" i="1"/>
  <c r="AW260" i="1" s="1"/>
  <c r="AM261" i="1"/>
  <c r="AW261" i="1" s="1"/>
  <c r="AM723" i="1"/>
  <c r="AW723" i="1" s="1"/>
  <c r="AM724" i="1"/>
  <c r="AW724" i="1" s="1"/>
  <c r="AM262" i="1"/>
  <c r="AW262" i="1" s="1"/>
  <c r="AM725" i="1"/>
  <c r="AW725" i="1" s="1"/>
  <c r="AM726" i="1"/>
  <c r="AW726" i="1" s="1"/>
  <c r="AM263" i="1"/>
  <c r="AW263" i="1" s="1"/>
  <c r="AM264" i="1"/>
  <c r="AW264" i="1" s="1"/>
  <c r="AM265" i="1"/>
  <c r="AW265" i="1" s="1"/>
  <c r="AM727" i="1"/>
  <c r="AW727" i="1" s="1"/>
  <c r="AM266" i="1"/>
  <c r="AW266" i="1" s="1"/>
  <c r="AM267" i="1"/>
  <c r="AW267" i="1" s="1"/>
  <c r="AM268" i="1"/>
  <c r="AW268" i="1" s="1"/>
  <c r="AM269" i="1"/>
  <c r="AW269" i="1" s="1"/>
  <c r="AM270" i="1"/>
  <c r="AW270" i="1" s="1"/>
  <c r="AM271" i="1"/>
  <c r="AW271" i="1" s="1"/>
  <c r="AM728" i="1"/>
  <c r="AW728" i="1" s="1"/>
  <c r="AM272" i="1"/>
  <c r="AW272" i="1" s="1"/>
  <c r="AM729" i="1"/>
  <c r="AW729" i="1" s="1"/>
  <c r="AM273" i="1"/>
  <c r="AW273" i="1" s="1"/>
  <c r="AM274" i="1"/>
  <c r="AW274" i="1" s="1"/>
  <c r="AM730" i="1"/>
  <c r="AW730" i="1" s="1"/>
  <c r="AM731" i="1"/>
  <c r="AW731" i="1" s="1"/>
  <c r="AM275" i="1"/>
  <c r="AW275" i="1" s="1"/>
  <c r="AM276" i="1"/>
  <c r="AW276" i="1" s="1"/>
  <c r="AM277" i="1"/>
  <c r="AW277" i="1" s="1"/>
  <c r="AM732" i="1"/>
  <c r="AW732" i="1" s="1"/>
  <c r="AM733" i="1"/>
  <c r="AW733" i="1" s="1"/>
  <c r="AM734" i="1"/>
  <c r="AW734" i="1" s="1"/>
  <c r="AM278" i="1"/>
  <c r="AW278" i="1" s="1"/>
  <c r="AM279" i="1"/>
  <c r="AW279" i="1" s="1"/>
  <c r="AM280" i="1"/>
  <c r="AW280" i="1" s="1"/>
  <c r="AM735" i="1"/>
  <c r="AW735" i="1" s="1"/>
  <c r="AM736" i="1"/>
  <c r="AW736" i="1" s="1"/>
  <c r="AM737" i="1"/>
  <c r="AW737" i="1" s="1"/>
  <c r="AM281" i="1"/>
  <c r="AW281" i="1" s="1"/>
  <c r="AM282" i="1"/>
  <c r="AW282" i="1" s="1"/>
  <c r="AM738" i="1"/>
  <c r="AW738" i="1" s="1"/>
  <c r="AM283" i="1"/>
  <c r="AW283" i="1" s="1"/>
  <c r="AM739" i="1"/>
  <c r="AW739" i="1" s="1"/>
  <c r="AM284" i="1"/>
  <c r="AW284" i="1" s="1"/>
  <c r="AM285" i="1"/>
  <c r="AW285" i="1" s="1"/>
  <c r="AM286" i="1"/>
  <c r="AW286" i="1" s="1"/>
  <c r="AM287" i="1"/>
  <c r="AW287" i="1" s="1"/>
  <c r="AM289" i="1"/>
  <c r="AW289" i="1" s="1"/>
  <c r="AM740" i="1"/>
  <c r="AW740" i="1" s="1"/>
  <c r="AM290" i="1"/>
  <c r="AW290" i="1" s="1"/>
  <c r="AM291" i="1"/>
  <c r="AW291" i="1" s="1"/>
  <c r="AM741" i="1"/>
  <c r="AW741" i="1" s="1"/>
  <c r="AM292" i="1"/>
  <c r="AW292" i="1" s="1"/>
  <c r="AM742" i="1"/>
  <c r="AW742" i="1" s="1"/>
  <c r="AM293" i="1"/>
  <c r="AW293" i="1" s="1"/>
  <c r="AM294" i="1"/>
  <c r="AW294" i="1" s="1"/>
  <c r="AM743" i="1"/>
  <c r="AW743" i="1" s="1"/>
  <c r="AM744" i="1"/>
  <c r="AW744" i="1" s="1"/>
  <c r="AM295" i="1"/>
  <c r="AW295" i="1" s="1"/>
  <c r="AM745" i="1"/>
  <c r="AW745" i="1" s="1"/>
  <c r="AM296" i="1"/>
  <c r="AW296" i="1" s="1"/>
  <c r="AM746" i="1"/>
  <c r="AW746" i="1" s="1"/>
  <c r="AM747" i="1"/>
  <c r="AW747" i="1" s="1"/>
  <c r="AM748" i="1"/>
  <c r="AW748" i="1" s="1"/>
  <c r="AM297" i="1"/>
  <c r="AW297" i="1" s="1"/>
  <c r="AM749" i="1"/>
  <c r="AW749" i="1" s="1"/>
  <c r="AM750" i="1"/>
  <c r="AW750" i="1" s="1"/>
  <c r="AM298" i="1"/>
  <c r="AW298" i="1" s="1"/>
  <c r="AM299" i="1"/>
  <c r="AW299" i="1" s="1"/>
  <c r="AM300" i="1"/>
  <c r="AW300" i="1" s="1"/>
  <c r="AM751" i="1"/>
  <c r="AW751" i="1" s="1"/>
  <c r="AM752" i="1"/>
  <c r="AW752" i="1" s="1"/>
  <c r="AM301" i="1"/>
  <c r="AW301" i="1" s="1"/>
  <c r="AM302" i="1"/>
  <c r="AW302" i="1" s="1"/>
  <c r="AM753" i="1"/>
  <c r="AW753" i="1" s="1"/>
  <c r="AM303" i="1"/>
  <c r="AW303" i="1" s="1"/>
  <c r="AM754" i="1"/>
  <c r="AW754" i="1" s="1"/>
  <c r="AM304" i="1"/>
  <c r="AW304" i="1" s="1"/>
  <c r="AM755" i="1"/>
  <c r="AW755" i="1" s="1"/>
  <c r="AM305" i="1"/>
  <c r="AW305" i="1" s="1"/>
  <c r="AM756" i="1"/>
  <c r="AW756" i="1" s="1"/>
  <c r="AM306" i="1"/>
  <c r="AW306" i="1" s="1"/>
  <c r="AM307" i="1"/>
  <c r="AW307" i="1" s="1"/>
  <c r="AM757" i="1"/>
  <c r="AW757" i="1" s="1"/>
  <c r="AM308" i="1"/>
  <c r="AW308" i="1" s="1"/>
  <c r="AM758" i="1"/>
  <c r="AW758" i="1" s="1"/>
  <c r="AM309" i="1"/>
  <c r="AW309" i="1" s="1"/>
  <c r="AM310" i="1"/>
  <c r="AW310" i="1" s="1"/>
  <c r="AM759" i="1"/>
  <c r="AW759" i="1" s="1"/>
  <c r="AM311" i="1"/>
  <c r="AW311" i="1" s="1"/>
  <c r="AM760" i="1"/>
  <c r="AW760" i="1" s="1"/>
  <c r="AM312" i="1"/>
  <c r="AW312" i="1" s="1"/>
  <c r="AM313" i="1"/>
  <c r="AW313" i="1" s="1"/>
  <c r="AM761" i="1"/>
  <c r="AW761" i="1" s="1"/>
  <c r="AM314" i="1"/>
  <c r="AW314" i="1" s="1"/>
  <c r="AM315" i="1"/>
  <c r="AW315" i="1" s="1"/>
  <c r="AM763" i="1"/>
  <c r="AW763" i="1" s="1"/>
  <c r="AM764" i="1"/>
  <c r="AW764" i="1" s="1"/>
  <c r="AM316" i="1"/>
  <c r="AW316" i="1" s="1"/>
  <c r="AM765" i="1"/>
  <c r="AW765" i="1" s="1"/>
  <c r="AM317" i="1"/>
  <c r="AW317" i="1" s="1"/>
  <c r="AM318" i="1"/>
  <c r="AW318" i="1" s="1"/>
  <c r="AM766" i="1"/>
  <c r="AW766" i="1" s="1"/>
  <c r="AM767" i="1"/>
  <c r="AW767" i="1" s="1"/>
  <c r="AM319" i="1"/>
  <c r="AW319" i="1" s="1"/>
  <c r="AM768" i="1"/>
  <c r="AW768" i="1" s="1"/>
  <c r="AM320" i="1"/>
  <c r="AW320" i="1" s="1"/>
  <c r="AM321" i="1"/>
  <c r="AW321" i="1" s="1"/>
  <c r="AM322" i="1"/>
  <c r="AW322" i="1" s="1"/>
  <c r="AM769" i="1"/>
  <c r="AW769" i="1" s="1"/>
  <c r="AM323" i="1"/>
  <c r="AW323" i="1" s="1"/>
  <c r="AM324" i="1"/>
  <c r="AW324" i="1" s="1"/>
  <c r="AM325" i="1"/>
  <c r="AW325" i="1" s="1"/>
  <c r="AM770" i="1"/>
  <c r="AW770" i="1" s="1"/>
  <c r="AM771" i="1"/>
  <c r="AW771" i="1" s="1"/>
  <c r="AM772" i="1"/>
  <c r="AW772" i="1" s="1"/>
  <c r="AM326" i="1"/>
  <c r="AW326" i="1" s="1"/>
  <c r="AM774" i="1"/>
  <c r="AW774" i="1" s="1"/>
  <c r="AM327" i="1"/>
  <c r="AW327" i="1" s="1"/>
  <c r="AM775" i="1"/>
  <c r="AW775" i="1" s="1"/>
  <c r="AM328" i="1"/>
  <c r="AW328" i="1" s="1"/>
  <c r="AM776" i="1"/>
  <c r="AW776" i="1" s="1"/>
  <c r="AM329" i="1"/>
  <c r="AW329" i="1" s="1"/>
  <c r="AM330" i="1"/>
  <c r="AW330" i="1" s="1"/>
  <c r="AM777" i="1"/>
  <c r="AW777" i="1" s="1"/>
  <c r="AM778" i="1"/>
  <c r="AW778" i="1" s="1"/>
  <c r="AM331" i="1"/>
  <c r="AW331" i="1" s="1"/>
  <c r="AM332" i="1"/>
  <c r="AW332" i="1" s="1"/>
  <c r="AM333" i="1"/>
  <c r="AW333" i="1" s="1"/>
  <c r="AM779" i="1"/>
  <c r="AW779" i="1" s="1"/>
  <c r="AM780" i="1"/>
  <c r="AW780" i="1" s="1"/>
  <c r="AM781" i="1"/>
  <c r="AW781" i="1" s="1"/>
  <c r="AM782" i="1"/>
  <c r="AW782" i="1" s="1"/>
  <c r="AM334" i="1"/>
  <c r="AW334" i="1" s="1"/>
  <c r="AM335" i="1"/>
  <c r="AW335" i="1" s="1"/>
  <c r="AM336" i="1"/>
  <c r="AW336" i="1" s="1"/>
  <c r="AM337" i="1"/>
  <c r="AW337" i="1" s="1"/>
  <c r="AM783" i="1"/>
  <c r="AW783" i="1" s="1"/>
  <c r="AM338" i="1"/>
  <c r="AW338" i="1" s="1"/>
  <c r="AM784" i="1"/>
  <c r="AW784" i="1" s="1"/>
  <c r="AM339" i="1"/>
  <c r="AW339" i="1" s="1"/>
  <c r="AM785" i="1"/>
  <c r="AW785" i="1" s="1"/>
  <c r="AM340" i="1"/>
  <c r="AW340" i="1" s="1"/>
  <c r="AM342" i="1"/>
  <c r="AW342" i="1" s="1"/>
  <c r="AM786" i="1"/>
  <c r="AW786" i="1" s="1"/>
  <c r="AM343" i="1"/>
  <c r="AW343" i="1" s="1"/>
  <c r="AM344" i="1"/>
  <c r="AW344" i="1" s="1"/>
  <c r="AM787" i="1"/>
  <c r="AW787" i="1" s="1"/>
  <c r="AM788" i="1"/>
  <c r="AW788" i="1" s="1"/>
  <c r="AM789" i="1"/>
  <c r="AW789" i="1" s="1"/>
  <c r="AM790" i="1"/>
  <c r="AW790" i="1" s="1"/>
  <c r="AM791" i="1"/>
  <c r="AW791" i="1" s="1"/>
  <c r="AM345" i="1"/>
  <c r="AW345" i="1" s="1"/>
  <c r="AM792" i="1"/>
  <c r="AW792" i="1" s="1"/>
  <c r="AM346" i="1"/>
  <c r="AW346" i="1" s="1"/>
  <c r="AM793" i="1"/>
  <c r="AW793" i="1" s="1"/>
  <c r="AM794" i="1"/>
  <c r="AW794" i="1" s="1"/>
  <c r="AM347" i="1"/>
  <c r="AW347" i="1" s="1"/>
  <c r="AM348" i="1"/>
  <c r="AW348" i="1" s="1"/>
  <c r="AM349" i="1"/>
  <c r="AW349" i="1" s="1"/>
  <c r="AM350" i="1"/>
  <c r="AW350" i="1" s="1"/>
  <c r="AM351" i="1"/>
  <c r="AW351" i="1" s="1"/>
  <c r="AM352" i="1"/>
  <c r="AW352" i="1" s="1"/>
  <c r="AM353" i="1"/>
  <c r="AW353" i="1" s="1"/>
  <c r="AM354" i="1"/>
  <c r="AW354" i="1" s="1"/>
  <c r="AM355" i="1"/>
  <c r="AW355" i="1" s="1"/>
  <c r="AM795" i="1"/>
  <c r="AW795" i="1" s="1"/>
  <c r="AM356" i="1"/>
  <c r="AW356" i="1" s="1"/>
  <c r="AM357" i="1"/>
  <c r="AW357" i="1" s="1"/>
  <c r="AM358" i="1"/>
  <c r="AW358" i="1" s="1"/>
  <c r="AM796" i="1"/>
  <c r="AW796" i="1" s="1"/>
  <c r="AM797" i="1"/>
  <c r="AW797" i="1" s="1"/>
  <c r="AM798" i="1"/>
  <c r="AW798" i="1" s="1"/>
  <c r="AM799" i="1"/>
  <c r="AW799" i="1" s="1"/>
  <c r="AM359" i="1"/>
  <c r="AW359" i="1" s="1"/>
  <c r="AM360" i="1"/>
  <c r="AW360" i="1" s="1"/>
  <c r="AM800" i="1"/>
  <c r="AW800" i="1" s="1"/>
  <c r="AM802" i="1"/>
  <c r="AW802" i="1" s="1"/>
  <c r="AM803" i="1"/>
  <c r="AW803" i="1" s="1"/>
  <c r="AM361" i="1"/>
  <c r="AW361" i="1" s="1"/>
  <c r="AM362" i="1"/>
  <c r="AW362" i="1" s="1"/>
  <c r="AM363" i="1"/>
  <c r="AW363" i="1" s="1"/>
  <c r="AM364" i="1"/>
  <c r="AW364" i="1" s="1"/>
  <c r="AM365" i="1"/>
  <c r="AW365" i="1" s="1"/>
  <c r="AM804" i="1"/>
  <c r="AW804" i="1" s="1"/>
  <c r="AM805" i="1"/>
  <c r="AW805" i="1" s="1"/>
  <c r="AM366" i="1"/>
  <c r="AW366" i="1" s="1"/>
  <c r="AM367" i="1"/>
  <c r="AW367" i="1" s="1"/>
  <c r="AM806" i="1"/>
  <c r="AW806" i="1" s="1"/>
  <c r="AM368" i="1"/>
  <c r="AW368" i="1" s="1"/>
  <c r="AM369" i="1"/>
  <c r="AW369" i="1" s="1"/>
  <c r="AM807" i="1"/>
  <c r="AW807" i="1" s="1"/>
  <c r="AM370" i="1"/>
  <c r="AW370" i="1" s="1"/>
  <c r="AM808" i="1"/>
  <c r="AW808" i="1" s="1"/>
  <c r="AM371" i="1"/>
  <c r="AW371" i="1" s="1"/>
  <c r="AM809" i="1"/>
  <c r="AW809" i="1" s="1"/>
  <c r="AM810" i="1"/>
  <c r="AW810" i="1" s="1"/>
  <c r="AM811" i="1"/>
  <c r="AW811" i="1" s="1"/>
  <c r="AM812" i="1"/>
  <c r="AW812" i="1" s="1"/>
  <c r="AM813" i="1"/>
  <c r="AW813" i="1" s="1"/>
  <c r="AM372" i="1"/>
  <c r="AW372" i="1" s="1"/>
  <c r="AM814" i="1"/>
  <c r="AW814" i="1" s="1"/>
  <c r="AM815" i="1"/>
  <c r="AW815" i="1" s="1"/>
  <c r="AM816" i="1"/>
  <c r="AW816" i="1" s="1"/>
  <c r="AM817" i="1"/>
  <c r="AW817" i="1" s="1"/>
  <c r="AM373" i="1"/>
  <c r="AW373" i="1" s="1"/>
  <c r="AM374" i="1"/>
  <c r="AW374" i="1" s="1"/>
  <c r="AM375" i="1"/>
  <c r="AW375" i="1" s="1"/>
  <c r="AM376" i="1"/>
  <c r="AW376" i="1" s="1"/>
  <c r="AM818" i="1"/>
  <c r="AW818" i="1" s="1"/>
  <c r="AM377" i="1"/>
  <c r="AW377" i="1" s="1"/>
  <c r="AM819" i="1"/>
  <c r="AW819" i="1" s="1"/>
  <c r="AM378" i="1"/>
  <c r="AW378" i="1" s="1"/>
  <c r="AM379" i="1"/>
  <c r="AW379" i="1" s="1"/>
  <c r="AM820" i="1"/>
  <c r="AW820" i="1" s="1"/>
  <c r="AM380" i="1"/>
  <c r="AW380" i="1" s="1"/>
  <c r="AM381" i="1"/>
  <c r="AW381" i="1" s="1"/>
  <c r="AM821" i="1"/>
  <c r="AW821" i="1" s="1"/>
  <c r="AM382" i="1"/>
  <c r="AW382" i="1" s="1"/>
  <c r="AM822" i="1"/>
  <c r="AW822" i="1" s="1"/>
  <c r="AM823" i="1"/>
  <c r="AW823" i="1" s="1"/>
  <c r="AM383" i="1"/>
  <c r="AW383" i="1" s="1"/>
  <c r="AM384" i="1"/>
  <c r="AW384" i="1" s="1"/>
  <c r="AM825" i="1"/>
  <c r="AW825" i="1" s="1"/>
  <c r="AM385" i="1"/>
  <c r="AW385" i="1" s="1"/>
  <c r="AM386" i="1"/>
  <c r="AW386" i="1" s="1"/>
  <c r="AM826" i="1"/>
  <c r="AW826" i="1" s="1"/>
  <c r="AM827" i="1"/>
  <c r="AW827" i="1" s="1"/>
  <c r="AM828" i="1"/>
  <c r="AW828" i="1" s="1"/>
  <c r="AM829" i="1"/>
  <c r="AW829" i="1" s="1"/>
  <c r="AM387" i="1"/>
  <c r="AW387" i="1" s="1"/>
  <c r="AM830" i="1"/>
  <c r="AW830" i="1" s="1"/>
  <c r="AM831" i="1"/>
  <c r="AW831" i="1" s="1"/>
  <c r="AM388" i="1"/>
  <c r="AW388" i="1" s="1"/>
  <c r="AM389" i="1"/>
  <c r="AW389" i="1" s="1"/>
  <c r="AM390" i="1"/>
  <c r="AW390" i="1" s="1"/>
  <c r="AM832" i="1"/>
  <c r="AW832" i="1" s="1"/>
  <c r="AM833" i="1"/>
  <c r="AW833" i="1" s="1"/>
  <c r="AM834" i="1"/>
  <c r="AW834" i="1" s="1"/>
  <c r="AM391" i="1"/>
  <c r="AW391" i="1" s="1"/>
  <c r="AM836" i="1"/>
  <c r="AW836" i="1" s="1"/>
  <c r="AM837" i="1"/>
  <c r="AW837" i="1" s="1"/>
  <c r="AM392" i="1"/>
  <c r="AW392" i="1" s="1"/>
  <c r="AM393" i="1"/>
  <c r="AW393" i="1" s="1"/>
  <c r="AM394" i="1"/>
  <c r="AW394" i="1" s="1"/>
  <c r="AM395" i="1"/>
  <c r="AW395" i="1" s="1"/>
  <c r="AM838" i="1"/>
  <c r="AW838" i="1" s="1"/>
  <c r="AM396" i="1"/>
  <c r="AW396" i="1" s="1"/>
  <c r="AM397" i="1"/>
  <c r="AW397" i="1" s="1"/>
  <c r="AM399" i="1"/>
  <c r="AW399" i="1" s="1"/>
  <c r="AM400" i="1"/>
  <c r="AW400" i="1" s="1"/>
  <c r="AM839" i="1"/>
  <c r="AW839" i="1" s="1"/>
  <c r="AM840" i="1"/>
  <c r="AW840" i="1" s="1"/>
  <c r="AM841" i="1"/>
  <c r="AW841" i="1" s="1"/>
  <c r="AM401" i="1"/>
  <c r="AW401" i="1" s="1"/>
  <c r="AM842" i="1"/>
  <c r="AW842" i="1" s="1"/>
  <c r="AM402" i="1"/>
  <c r="AW402" i="1" s="1"/>
  <c r="AM843" i="1"/>
  <c r="AW843" i="1" s="1"/>
  <c r="AM844" i="1"/>
  <c r="AW844" i="1" s="1"/>
  <c r="AM845" i="1"/>
  <c r="AW845" i="1" s="1"/>
  <c r="AM846" i="1"/>
  <c r="AW846" i="1" s="1"/>
  <c r="AM847" i="1"/>
  <c r="AW847" i="1" s="1"/>
  <c r="AM404" i="1"/>
  <c r="AW404" i="1" s="1"/>
  <c r="AM848" i="1"/>
  <c r="AW848" i="1" s="1"/>
  <c r="AM405" i="1"/>
  <c r="AW405" i="1" s="1"/>
  <c r="AM850" i="1"/>
  <c r="AW850" i="1" s="1"/>
  <c r="AM406" i="1"/>
  <c r="AW406" i="1" s="1"/>
  <c r="AM851" i="1"/>
  <c r="AW851" i="1" s="1"/>
  <c r="AM407" i="1"/>
  <c r="AW407" i="1" s="1"/>
  <c r="AM852" i="1"/>
  <c r="AW852" i="1" s="1"/>
  <c r="AM408" i="1"/>
  <c r="AW408" i="1" s="1"/>
  <c r="AM409" i="1"/>
  <c r="AW409" i="1" s="1"/>
  <c r="AM410" i="1"/>
  <c r="AW410" i="1" s="1"/>
  <c r="AM853" i="1"/>
  <c r="AW853" i="1" s="1"/>
  <c r="AM855" i="1"/>
  <c r="AW855" i="1" s="1"/>
  <c r="AM411" i="1"/>
  <c r="AW411" i="1" s="1"/>
  <c r="AM412" i="1"/>
  <c r="AW412" i="1" s="1"/>
  <c r="AM413" i="1"/>
  <c r="AW413" i="1" s="1"/>
  <c r="AM414" i="1"/>
  <c r="AW414" i="1" s="1"/>
  <c r="AM415" i="1"/>
  <c r="AW415" i="1" s="1"/>
  <c r="AM416" i="1"/>
  <c r="AW416" i="1" s="1"/>
  <c r="AM417" i="1"/>
  <c r="AW417" i="1" s="1"/>
  <c r="AM856" i="1"/>
  <c r="AW856" i="1" s="1"/>
  <c r="AM418" i="1"/>
  <c r="AW418" i="1" s="1"/>
  <c r="AM419" i="1"/>
  <c r="AW419" i="1" s="1"/>
  <c r="AM857" i="1"/>
  <c r="AW857" i="1" s="1"/>
  <c r="AM420" i="1"/>
  <c r="AW420" i="1" s="1"/>
  <c r="AM858" i="1"/>
  <c r="AW858" i="1" s="1"/>
  <c r="AM859" i="1"/>
  <c r="AW859" i="1" s="1"/>
  <c r="AM421" i="1"/>
  <c r="AW421" i="1" s="1"/>
  <c r="AM860" i="1"/>
  <c r="AW860" i="1" s="1"/>
  <c r="AM422" i="1"/>
  <c r="AW422" i="1" s="1"/>
  <c r="AM423" i="1"/>
  <c r="AW423" i="1" s="1"/>
  <c r="AM424" i="1"/>
  <c r="AW424" i="1" s="1"/>
  <c r="AM861" i="1"/>
  <c r="AW861" i="1" s="1"/>
  <c r="AM862" i="1"/>
  <c r="AW862" i="1" s="1"/>
  <c r="AM425" i="1"/>
  <c r="AW425" i="1" s="1"/>
  <c r="AM426" i="1"/>
  <c r="AW426" i="1" s="1"/>
  <c r="AM863" i="1"/>
  <c r="AW863" i="1" s="1"/>
  <c r="AM864" i="1"/>
  <c r="AW864" i="1" s="1"/>
  <c r="AM427" i="1"/>
  <c r="AW427" i="1" s="1"/>
  <c r="AM865" i="1"/>
  <c r="AW865" i="1" s="1"/>
  <c r="AM428" i="1"/>
  <c r="AW428" i="1" s="1"/>
  <c r="AM429" i="1"/>
  <c r="AW429" i="1" s="1"/>
  <c r="AM430" i="1"/>
  <c r="AW430" i="1" s="1"/>
  <c r="AM866" i="1"/>
  <c r="AW866" i="1" s="1"/>
  <c r="AM431" i="1"/>
  <c r="AW431" i="1" s="1"/>
  <c r="AM867" i="1"/>
  <c r="AW867" i="1" s="1"/>
  <c r="AM868" i="1"/>
  <c r="AW868" i="1" s="1"/>
  <c r="AM869" i="1"/>
  <c r="AW869" i="1" s="1"/>
  <c r="AM432" i="1"/>
  <c r="AW432" i="1" s="1"/>
  <c r="AM433" i="1"/>
  <c r="AW433" i="1" s="1"/>
  <c r="AM870" i="1"/>
  <c r="AW870" i="1" s="1"/>
  <c r="AM434" i="1"/>
  <c r="AW434" i="1" s="1"/>
  <c r="AM435" i="1"/>
  <c r="AW435" i="1" s="1"/>
  <c r="AM436" i="1"/>
  <c r="AW436" i="1" s="1"/>
  <c r="AM871" i="1"/>
  <c r="AW871" i="1" s="1"/>
  <c r="AM872" i="1"/>
  <c r="AW872" i="1" s="1"/>
  <c r="AM873" i="1"/>
  <c r="AW873" i="1" s="1"/>
  <c r="AM437" i="1"/>
  <c r="AW437" i="1" s="1"/>
  <c r="AM874" i="1"/>
  <c r="AW874" i="1" s="1"/>
  <c r="AM438" i="1"/>
  <c r="AW438" i="1" s="1"/>
  <c r="AM439" i="1"/>
  <c r="AW439" i="1" s="1"/>
  <c r="AM440" i="1"/>
  <c r="AW440" i="1" s="1"/>
  <c r="AM441" i="1"/>
  <c r="AW441" i="1" s="1"/>
  <c r="AM442" i="1"/>
  <c r="AW442" i="1" s="1"/>
  <c r="AM875" i="1"/>
  <c r="AW875" i="1" s="1"/>
  <c r="AM443" i="1"/>
  <c r="AW443" i="1" s="1"/>
  <c r="AM876" i="1"/>
  <c r="AW876" i="1" s="1"/>
  <c r="AM444" i="1"/>
  <c r="AW444" i="1" s="1"/>
  <c r="AM877" i="1"/>
  <c r="AW877" i="1" s="1"/>
  <c r="AM445" i="1"/>
  <c r="AW445" i="1" s="1"/>
  <c r="AM446" i="1"/>
  <c r="AW446" i="1" s="1"/>
  <c r="AM878" i="1"/>
  <c r="AW878" i="1" s="1"/>
  <c r="AM447" i="1"/>
  <c r="AW447" i="1" s="1"/>
  <c r="AM448" i="1"/>
  <c r="AW448" i="1" s="1"/>
  <c r="AM879" i="1"/>
  <c r="AW879" i="1" s="1"/>
  <c r="AM449" i="1"/>
  <c r="AW449" i="1" s="1"/>
  <c r="AM880" i="1"/>
  <c r="AW880" i="1" s="1"/>
  <c r="AM450" i="1"/>
  <c r="AW450" i="1" s="1"/>
  <c r="AM451" i="1"/>
  <c r="AW451" i="1" s="1"/>
  <c r="AM452" i="1"/>
  <c r="AW452" i="1" s="1"/>
  <c r="AM881" i="1"/>
  <c r="AW881" i="1" s="1"/>
  <c r="AM453" i="1"/>
  <c r="AW453" i="1" s="1"/>
  <c r="AM454" i="1"/>
  <c r="AW454" i="1" s="1"/>
  <c r="AM882" i="1"/>
  <c r="AW882" i="1" s="1"/>
  <c r="AM883" i="1"/>
  <c r="AW883" i="1" s="1"/>
  <c r="AM455" i="1"/>
  <c r="AW455" i="1" s="1"/>
  <c r="AM884" i="1"/>
  <c r="AW884" i="1" s="1"/>
  <c r="AM885" i="1"/>
  <c r="AW885" i="1" s="1"/>
  <c r="AM456" i="1"/>
  <c r="AW456" i="1" s="1"/>
  <c r="AM886" i="1"/>
  <c r="AW886" i="1" s="1"/>
  <c r="AM887" i="1"/>
  <c r="AW887" i="1" s="1"/>
  <c r="AM888" i="1"/>
  <c r="AW888" i="1" s="1"/>
  <c r="AM457" i="1"/>
  <c r="AW457" i="1" s="1"/>
  <c r="AM458" i="1"/>
  <c r="AW458" i="1" s="1"/>
  <c r="AM459" i="1"/>
  <c r="AW459" i="1" s="1"/>
  <c r="AM889" i="1"/>
  <c r="AW889" i="1" s="1"/>
  <c r="AM890" i="1"/>
  <c r="AW890" i="1" s="1"/>
  <c r="AM460" i="1"/>
  <c r="AW460" i="1" s="1"/>
  <c r="AM461" i="1"/>
  <c r="AW461" i="1" s="1"/>
  <c r="AM891" i="1"/>
  <c r="AW891" i="1" s="1"/>
  <c r="AM462" i="1"/>
  <c r="AW462" i="1" s="1"/>
  <c r="AM463" i="1"/>
  <c r="AW463" i="1" s="1"/>
  <c r="AM892" i="1"/>
  <c r="AW892" i="1" s="1"/>
  <c r="AM464" i="1"/>
  <c r="AW464" i="1" s="1"/>
  <c r="AM465" i="1"/>
  <c r="AW465" i="1" s="1"/>
  <c r="AM893" i="1"/>
  <c r="AW893" i="1" s="1"/>
  <c r="AM894" i="1"/>
  <c r="AW894" i="1" s="1"/>
  <c r="AM895" i="1"/>
  <c r="AW895" i="1" s="1"/>
  <c r="AM896" i="1"/>
  <c r="AW896" i="1" s="1"/>
  <c r="AM466" i="1"/>
  <c r="AW466" i="1" s="1"/>
  <c r="AM897" i="1"/>
  <c r="AW897" i="1" s="1"/>
  <c r="AM467" i="1"/>
  <c r="AW467" i="1" s="1"/>
  <c r="AM898" i="1"/>
  <c r="AW898" i="1" s="1"/>
  <c r="AM899" i="1"/>
  <c r="AW899" i="1" s="1"/>
  <c r="AM900" i="1"/>
  <c r="AW900" i="1" s="1"/>
  <c r="AM468" i="1"/>
  <c r="AW468" i="1" s="1"/>
  <c r="AM469" i="1"/>
  <c r="AW469" i="1" s="1"/>
  <c r="AM901" i="1"/>
  <c r="AW901" i="1" s="1"/>
  <c r="AM470" i="1"/>
  <c r="AW470" i="1" s="1"/>
  <c r="AM902" i="1"/>
  <c r="AW902" i="1" s="1"/>
  <c r="AM903" i="1"/>
  <c r="AW903" i="1" s="1"/>
  <c r="AM471" i="1"/>
  <c r="AW471" i="1" s="1"/>
  <c r="AM904" i="1"/>
  <c r="AW904" i="1" s="1"/>
  <c r="AM905" i="1"/>
  <c r="AW905" i="1" s="1"/>
  <c r="AM472" i="1"/>
  <c r="AW472" i="1" s="1"/>
  <c r="AM906" i="1"/>
  <c r="AW906" i="1" s="1"/>
  <c r="AM907" i="1"/>
  <c r="AW907" i="1" s="1"/>
  <c r="AM473" i="1"/>
  <c r="AW473" i="1" s="1"/>
  <c r="AM474" i="1"/>
  <c r="AW474" i="1" s="1"/>
  <c r="AM908" i="1"/>
  <c r="AW908" i="1" s="1"/>
  <c r="AM909" i="1"/>
  <c r="AW909" i="1" s="1"/>
  <c r="AM475" i="1"/>
  <c r="AW475" i="1" s="1"/>
  <c r="AM477" i="1"/>
  <c r="AW477" i="1" s="1"/>
  <c r="AM478" i="1"/>
  <c r="AW478" i="1" s="1"/>
  <c r="AM479" i="1"/>
  <c r="AW479" i="1" s="1"/>
  <c r="AM910" i="1"/>
  <c r="AW910" i="1" s="1"/>
  <c r="AM911" i="1"/>
  <c r="AW911" i="1" s="1"/>
  <c r="AM480" i="1"/>
  <c r="AW480" i="1" s="1"/>
  <c r="AM481" i="1"/>
  <c r="AW481" i="1" s="1"/>
  <c r="AM482" i="1"/>
  <c r="AW482" i="1" s="1"/>
  <c r="AM483" i="1"/>
  <c r="AW483" i="1" s="1"/>
  <c r="AM484" i="1"/>
  <c r="AW484" i="1" s="1"/>
  <c r="AM485" i="1"/>
  <c r="AW485" i="1" s="1"/>
  <c r="AM912" i="1"/>
  <c r="AW912" i="1" s="1"/>
  <c r="AM913" i="1"/>
  <c r="AW913" i="1" s="1"/>
  <c r="AM914" i="1"/>
  <c r="AW914" i="1" s="1"/>
  <c r="AM915" i="1"/>
  <c r="AW915" i="1" s="1"/>
  <c r="AM916" i="1"/>
  <c r="AW916" i="1" s="1"/>
  <c r="AM917" i="1"/>
  <c r="AW917" i="1" s="1"/>
  <c r="AM486" i="1"/>
  <c r="AW486" i="1" s="1"/>
  <c r="AM918" i="1"/>
  <c r="AW918" i="1" s="1"/>
  <c r="AM919" i="1"/>
  <c r="AW919" i="1" s="1"/>
  <c r="AM920" i="1"/>
  <c r="AW920" i="1" s="1"/>
  <c r="AM487" i="1"/>
  <c r="AW487" i="1" s="1"/>
  <c r="AM488" i="1"/>
  <c r="AW488" i="1" s="1"/>
  <c r="AM921" i="1"/>
  <c r="AW921" i="1" s="1"/>
  <c r="AM922" i="1"/>
  <c r="AW922" i="1" s="1"/>
  <c r="AM489" i="1"/>
  <c r="AW489" i="1" s="1"/>
  <c r="AM490" i="1"/>
  <c r="AW490" i="1" s="1"/>
  <c r="AM923" i="1"/>
  <c r="AW923" i="1" s="1"/>
  <c r="AM491" i="1"/>
  <c r="AW491" i="1" s="1"/>
  <c r="AM924" i="1"/>
  <c r="AW924" i="1" s="1"/>
  <c r="AM492" i="1"/>
  <c r="AW492" i="1" s="1"/>
  <c r="AM493" i="1"/>
  <c r="AW493" i="1" s="1"/>
  <c r="AM925" i="1"/>
  <c r="AW925" i="1" s="1"/>
  <c r="AM926" i="1"/>
  <c r="AW926" i="1" s="1"/>
  <c r="AM927" i="1"/>
  <c r="AW927" i="1" s="1"/>
  <c r="AM494" i="1"/>
  <c r="AW494" i="1" s="1"/>
  <c r="AM928" i="1"/>
  <c r="AW928" i="1" s="1"/>
  <c r="AM495" i="1"/>
  <c r="AW495" i="1" s="1"/>
  <c r="AM929" i="1"/>
  <c r="AW929" i="1" s="1"/>
  <c r="AM930" i="1"/>
  <c r="AW930" i="1" s="1"/>
  <c r="AM496" i="1"/>
  <c r="AW496" i="1" s="1"/>
  <c r="AM497" i="1"/>
  <c r="AW497" i="1" s="1"/>
  <c r="AM931" i="1"/>
  <c r="AW931" i="1" s="1"/>
  <c r="AM498" i="1"/>
  <c r="AW498" i="1" s="1"/>
  <c r="AM499" i="1"/>
  <c r="AW499" i="1" s="1"/>
  <c r="AM500" i="1"/>
  <c r="AW500" i="1" s="1"/>
  <c r="AM501" i="1"/>
  <c r="AW501" i="1" s="1"/>
  <c r="AM932" i="1"/>
  <c r="AW932" i="1" s="1"/>
  <c r="AM502" i="1"/>
  <c r="AW502" i="1" s="1"/>
  <c r="AM933" i="1"/>
  <c r="AW933" i="1" s="1"/>
  <c r="AM288" i="1"/>
  <c r="AW288" i="1" s="1"/>
  <c r="AM341" i="1"/>
  <c r="AW341" i="1" s="1"/>
  <c r="AM835" i="1"/>
  <c r="AW835" i="1" s="1"/>
  <c r="AM398" i="1"/>
  <c r="AW398" i="1" s="1"/>
  <c r="AM163" i="1"/>
  <c r="AW163" i="1" s="1"/>
  <c r="AM801" i="1"/>
  <c r="AW801" i="1" s="1"/>
  <c r="AM854" i="1"/>
  <c r="AW854" i="1" s="1"/>
  <c r="AM86" i="1"/>
  <c r="AW86" i="1" s="1"/>
  <c r="AM849" i="1"/>
  <c r="AW849" i="1" s="1"/>
  <c r="AM695" i="1"/>
  <c r="AW695" i="1" s="1"/>
  <c r="AM78" i="1"/>
  <c r="AW78" i="1" s="1"/>
  <c r="AM149" i="1"/>
  <c r="AW149" i="1" s="1"/>
  <c r="AM683" i="1"/>
  <c r="AW683" i="1" s="1"/>
  <c r="AM166" i="1"/>
  <c r="AW166" i="1" s="1"/>
  <c r="AM403" i="1"/>
  <c r="AW403" i="1" s="1"/>
  <c r="AM762" i="1"/>
  <c r="AW762" i="1" s="1"/>
  <c r="AM476" i="1"/>
  <c r="AW476" i="1" s="1"/>
  <c r="AM556" i="1"/>
  <c r="AW556" i="1" s="1"/>
  <c r="AM824" i="1"/>
  <c r="AW824" i="1" s="1"/>
  <c r="AM505" i="1"/>
  <c r="AW505" i="1" s="1"/>
  <c r="AM195" i="1"/>
  <c r="AW195" i="1" s="1"/>
  <c r="AM539" i="1"/>
  <c r="AW539" i="1" s="1"/>
  <c r="AM680" i="1"/>
  <c r="AW680" i="1" s="1"/>
  <c r="AM608" i="1"/>
  <c r="AW608" i="1" s="1"/>
  <c r="AM649" i="1"/>
  <c r="AW649" i="1" s="1"/>
  <c r="AM579" i="1"/>
  <c r="AW579" i="1" s="1"/>
  <c r="AM239" i="1"/>
  <c r="AW239" i="1" s="1"/>
  <c r="AM773" i="1"/>
  <c r="AW773" i="1" s="1"/>
  <c r="AM91" i="1"/>
  <c r="AW91" i="1" s="1"/>
  <c r="AM159" i="1"/>
  <c r="AW159" i="1" s="1"/>
  <c r="AM79" i="1"/>
  <c r="AW79" i="1" s="1"/>
  <c r="AM659" i="1"/>
  <c r="AW659" i="1" s="1"/>
  <c r="AR3" i="1"/>
  <c r="AR4" i="1"/>
  <c r="AR5" i="1"/>
  <c r="AR503" i="1"/>
  <c r="AR6" i="1"/>
  <c r="AR504" i="1"/>
  <c r="AR506" i="1"/>
  <c r="AR7" i="1"/>
  <c r="AR507" i="1"/>
  <c r="AR508" i="1"/>
  <c r="AR8" i="1"/>
  <c r="AR9" i="1"/>
  <c r="AR509" i="1"/>
  <c r="AR10" i="1"/>
  <c r="AR11" i="1"/>
  <c r="AR12" i="1"/>
  <c r="AR13" i="1"/>
  <c r="AR510" i="1"/>
  <c r="AR14" i="1"/>
  <c r="AR511" i="1"/>
  <c r="AR512" i="1"/>
  <c r="AR513" i="1"/>
  <c r="AR514" i="1"/>
  <c r="AR15" i="1"/>
  <c r="AR16" i="1"/>
  <c r="AR17" i="1"/>
  <c r="AR515" i="1"/>
  <c r="AR18" i="1"/>
  <c r="AR516" i="1"/>
  <c r="AR19" i="1"/>
  <c r="AR517" i="1"/>
  <c r="AR20" i="1"/>
  <c r="AR21" i="1"/>
  <c r="AR518" i="1"/>
  <c r="AR22" i="1"/>
  <c r="AR23" i="1"/>
  <c r="AR519" i="1"/>
  <c r="AR24" i="1"/>
  <c r="AR25" i="1"/>
  <c r="AR26" i="1"/>
  <c r="AR27" i="1"/>
  <c r="AR520" i="1"/>
  <c r="AR28" i="1"/>
  <c r="AR29" i="1"/>
  <c r="AR30" i="1"/>
  <c r="AR31" i="1"/>
  <c r="AR32" i="1"/>
  <c r="AR521" i="1"/>
  <c r="AR33" i="1"/>
  <c r="AR522" i="1"/>
  <c r="AR34" i="1"/>
  <c r="AR35" i="1"/>
  <c r="AR523" i="1"/>
  <c r="AR524" i="1"/>
  <c r="AR525" i="1"/>
  <c r="AR526" i="1"/>
  <c r="AR36" i="1"/>
  <c r="AR37" i="1"/>
  <c r="AR38" i="1"/>
  <c r="AR39" i="1"/>
  <c r="AR40" i="1"/>
  <c r="AR41" i="1"/>
  <c r="AR42" i="1"/>
  <c r="AR43" i="1"/>
  <c r="AR44" i="1"/>
  <c r="AR527" i="1"/>
  <c r="AR528" i="1"/>
  <c r="AR45" i="1"/>
  <c r="AR46" i="1"/>
  <c r="AR529" i="1"/>
  <c r="AR530" i="1"/>
  <c r="AR47" i="1"/>
  <c r="AR531" i="1"/>
  <c r="AR532" i="1"/>
  <c r="AR533" i="1"/>
  <c r="AR48" i="1"/>
  <c r="AR534" i="1"/>
  <c r="AR535" i="1"/>
  <c r="AR536" i="1"/>
  <c r="AR49" i="1"/>
  <c r="AR537" i="1"/>
  <c r="AR50" i="1"/>
  <c r="AR51" i="1"/>
  <c r="AR52" i="1"/>
  <c r="AR53" i="1"/>
  <c r="AR54" i="1"/>
  <c r="AR55" i="1"/>
  <c r="AR56" i="1"/>
  <c r="AR57" i="1"/>
  <c r="AR538" i="1"/>
  <c r="AR540" i="1"/>
  <c r="AR541" i="1"/>
  <c r="AR58" i="1"/>
  <c r="AR59" i="1"/>
  <c r="AR542" i="1"/>
  <c r="AR60" i="1"/>
  <c r="AR543" i="1"/>
  <c r="AR61" i="1"/>
  <c r="AR544" i="1"/>
  <c r="AR545" i="1"/>
  <c r="AR62" i="1"/>
  <c r="AR546" i="1"/>
  <c r="AR547" i="1"/>
  <c r="AR548" i="1"/>
  <c r="AR63" i="1"/>
  <c r="AR64" i="1"/>
  <c r="AR65" i="1"/>
  <c r="AR66" i="1"/>
  <c r="AR549" i="1"/>
  <c r="AR67" i="1"/>
  <c r="AR550" i="1"/>
  <c r="AR68" i="1"/>
  <c r="AR69" i="1"/>
  <c r="AR70" i="1"/>
  <c r="AR71" i="1"/>
  <c r="AR551" i="1"/>
  <c r="AR72" i="1"/>
  <c r="AR73" i="1"/>
  <c r="AR74" i="1"/>
  <c r="AR75" i="1"/>
  <c r="AR552" i="1"/>
  <c r="AR76" i="1"/>
  <c r="AR77" i="1"/>
  <c r="AR80" i="1"/>
  <c r="AR553" i="1"/>
  <c r="AR554" i="1"/>
  <c r="AR555" i="1"/>
  <c r="AR81" i="1"/>
  <c r="AR82" i="1"/>
  <c r="AR83" i="1"/>
  <c r="AR557" i="1"/>
  <c r="AR84" i="1"/>
  <c r="AR85" i="1"/>
  <c r="AR558" i="1"/>
  <c r="AR559" i="1"/>
  <c r="AR560" i="1"/>
  <c r="AR561" i="1"/>
  <c r="AR87" i="1"/>
  <c r="AR562" i="1"/>
  <c r="AR88" i="1"/>
  <c r="AR89" i="1"/>
  <c r="AR90" i="1"/>
  <c r="AR92" i="1"/>
  <c r="AR93" i="1"/>
  <c r="AR563" i="1"/>
  <c r="AR564" i="1"/>
  <c r="AR94" i="1"/>
  <c r="AR565" i="1"/>
  <c r="AR95" i="1"/>
  <c r="AR96" i="1"/>
  <c r="AR97" i="1"/>
  <c r="AR98" i="1"/>
  <c r="AR566" i="1"/>
  <c r="AR99" i="1"/>
  <c r="AR567" i="1"/>
  <c r="AR568" i="1"/>
  <c r="AR100" i="1"/>
  <c r="AR101" i="1"/>
  <c r="AR569" i="1"/>
  <c r="AR570" i="1"/>
  <c r="AR571" i="1"/>
  <c r="AR102" i="1"/>
  <c r="AR572" i="1"/>
  <c r="AR573" i="1"/>
  <c r="AR103" i="1"/>
  <c r="AR574" i="1"/>
  <c r="AR575" i="1"/>
  <c r="AR576" i="1"/>
  <c r="AR577" i="1"/>
  <c r="AR578" i="1"/>
  <c r="AR580" i="1"/>
  <c r="AR581" i="1"/>
  <c r="AR104" i="1"/>
  <c r="AR582" i="1"/>
  <c r="AR105" i="1"/>
  <c r="AR583" i="1"/>
  <c r="AR106" i="1"/>
  <c r="AR107" i="1"/>
  <c r="AR108" i="1"/>
  <c r="AR109" i="1"/>
  <c r="AR584" i="1"/>
  <c r="AR110" i="1"/>
  <c r="AR585" i="1"/>
  <c r="AR111" i="1"/>
  <c r="AR112" i="1"/>
  <c r="AR113" i="1"/>
  <c r="AR586" i="1"/>
  <c r="AR587" i="1"/>
  <c r="AR588" i="1"/>
  <c r="AR589" i="1"/>
  <c r="AR114" i="1"/>
  <c r="AR115" i="1"/>
  <c r="AR116" i="1"/>
  <c r="AR590" i="1"/>
  <c r="AR591" i="1"/>
  <c r="AR117" i="1"/>
  <c r="AR592" i="1"/>
  <c r="AR118" i="1"/>
  <c r="AR119" i="1"/>
  <c r="AR593" i="1"/>
  <c r="AR594" i="1"/>
  <c r="AR595" i="1"/>
  <c r="AR120" i="1"/>
  <c r="AR596" i="1"/>
  <c r="AR597" i="1"/>
  <c r="AR598" i="1"/>
  <c r="AR121" i="1"/>
  <c r="AR599" i="1"/>
  <c r="AR600" i="1"/>
  <c r="AR122" i="1"/>
  <c r="AR123" i="1"/>
  <c r="AR124" i="1"/>
  <c r="AR125" i="1"/>
  <c r="AR126" i="1"/>
  <c r="AR127" i="1"/>
  <c r="AR601" i="1"/>
  <c r="AR602" i="1"/>
  <c r="AR603" i="1"/>
  <c r="AR128" i="1"/>
  <c r="AR129" i="1"/>
  <c r="AR604" i="1"/>
  <c r="AR605" i="1"/>
  <c r="AR606" i="1"/>
  <c r="AR607" i="1"/>
  <c r="AR130" i="1"/>
  <c r="AR609" i="1"/>
  <c r="AR131" i="1"/>
  <c r="AR132" i="1"/>
  <c r="AR610" i="1"/>
  <c r="AR133" i="1"/>
  <c r="AR134" i="1"/>
  <c r="AR611" i="1"/>
  <c r="AR135" i="1"/>
  <c r="AR136" i="1"/>
  <c r="AR137" i="1"/>
  <c r="AR138" i="1"/>
  <c r="AR139" i="1"/>
  <c r="AR140" i="1"/>
  <c r="AR141" i="1"/>
  <c r="AR142" i="1"/>
  <c r="AR612" i="1"/>
  <c r="AR613" i="1"/>
  <c r="AR614" i="1"/>
  <c r="AR143" i="1"/>
  <c r="AR144" i="1"/>
  <c r="AR145" i="1"/>
  <c r="AR146" i="1"/>
  <c r="AR147" i="1"/>
  <c r="AR615" i="1"/>
  <c r="AR148" i="1"/>
  <c r="AR616" i="1"/>
  <c r="AR617" i="1"/>
  <c r="AR150" i="1"/>
  <c r="AR618" i="1"/>
  <c r="AR619" i="1"/>
  <c r="AR151" i="1"/>
  <c r="AR620" i="1"/>
  <c r="AR152" i="1"/>
  <c r="AR153" i="1"/>
  <c r="AR621" i="1"/>
  <c r="AR622" i="1"/>
  <c r="AR623" i="1"/>
  <c r="AR624" i="1"/>
  <c r="AR154" i="1"/>
  <c r="AR155" i="1"/>
  <c r="AR625" i="1"/>
  <c r="AR626" i="1"/>
  <c r="AR627" i="1"/>
  <c r="AR628" i="1"/>
  <c r="AR156" i="1"/>
  <c r="AR157" i="1"/>
  <c r="AR158" i="1"/>
  <c r="AR629" i="1"/>
  <c r="AR160" i="1"/>
  <c r="AR161" i="1"/>
  <c r="AR162" i="1"/>
  <c r="AR630" i="1"/>
  <c r="AR631" i="1"/>
  <c r="AR164" i="1"/>
  <c r="AR165" i="1"/>
  <c r="AR632" i="1"/>
  <c r="AR167" i="1"/>
  <c r="AR633" i="1"/>
  <c r="AR168" i="1"/>
  <c r="AR634" i="1"/>
  <c r="AR169" i="1"/>
  <c r="AR170" i="1"/>
  <c r="AR171" i="1"/>
  <c r="AR635" i="1"/>
  <c r="AR636" i="1"/>
  <c r="AR172" i="1"/>
  <c r="AR637" i="1"/>
  <c r="AR173" i="1"/>
  <c r="AR638" i="1"/>
  <c r="AR639" i="1"/>
  <c r="AR640" i="1"/>
  <c r="AR174" i="1"/>
  <c r="AR641" i="1"/>
  <c r="AR175" i="1"/>
  <c r="AR176" i="1"/>
  <c r="AR642" i="1"/>
  <c r="AR643" i="1"/>
  <c r="AR177" i="1"/>
  <c r="AR178" i="1"/>
  <c r="AR179" i="1"/>
  <c r="AR644" i="1"/>
  <c r="AR645" i="1"/>
  <c r="AR646" i="1"/>
  <c r="AR180" i="1"/>
  <c r="AR181" i="1"/>
  <c r="AR182" i="1"/>
  <c r="AR183" i="1"/>
  <c r="AR647" i="1"/>
  <c r="AR648" i="1"/>
  <c r="AR184" i="1"/>
  <c r="AR185" i="1"/>
  <c r="AR650" i="1"/>
  <c r="AR186" i="1"/>
  <c r="AR187" i="1"/>
  <c r="AR188" i="1"/>
  <c r="AR189" i="1"/>
  <c r="AR190" i="1"/>
  <c r="AR191" i="1"/>
  <c r="AR651" i="1"/>
  <c r="AR652" i="1"/>
  <c r="AR653" i="1"/>
  <c r="AR192" i="1"/>
  <c r="AR654" i="1"/>
  <c r="AR655" i="1"/>
  <c r="AR193" i="1"/>
  <c r="AR194" i="1"/>
  <c r="AR656" i="1"/>
  <c r="AR657" i="1"/>
  <c r="AR196" i="1"/>
  <c r="AR658" i="1"/>
  <c r="AR197" i="1"/>
  <c r="AR198" i="1"/>
  <c r="AR199" i="1"/>
  <c r="AR660" i="1"/>
  <c r="AR200" i="1"/>
  <c r="AR661" i="1"/>
  <c r="AR662" i="1"/>
  <c r="AR663" i="1"/>
  <c r="AR201" i="1"/>
  <c r="AR202" i="1"/>
  <c r="AR664" i="1"/>
  <c r="AR203" i="1"/>
  <c r="AR204" i="1"/>
  <c r="AR665" i="1"/>
  <c r="AR205" i="1"/>
  <c r="AR666" i="1"/>
  <c r="AR667" i="1"/>
  <c r="AR668" i="1"/>
  <c r="AR206" i="1"/>
  <c r="AR207" i="1"/>
  <c r="AR669" i="1"/>
  <c r="AR670" i="1"/>
  <c r="AR671" i="1"/>
  <c r="AR208" i="1"/>
  <c r="AR209" i="1"/>
  <c r="AR672" i="1"/>
  <c r="AR210" i="1"/>
  <c r="AR673" i="1"/>
  <c r="AR674" i="1"/>
  <c r="AR211" i="1"/>
  <c r="AR675" i="1"/>
  <c r="AR212" i="1"/>
  <c r="AR676" i="1"/>
  <c r="AR677" i="1"/>
  <c r="AR213" i="1"/>
  <c r="AR214" i="1"/>
  <c r="AR678" i="1"/>
  <c r="AR679" i="1"/>
  <c r="AR681" i="1"/>
  <c r="AR215" i="1"/>
  <c r="AR216" i="1"/>
  <c r="AR682" i="1"/>
  <c r="AR684" i="1"/>
  <c r="AR217" i="1"/>
  <c r="AR218" i="1"/>
  <c r="AR685" i="1"/>
  <c r="AR686" i="1"/>
  <c r="AR687" i="1"/>
  <c r="AR219" i="1"/>
  <c r="AR688" i="1"/>
  <c r="AR689" i="1"/>
  <c r="AR690" i="1"/>
  <c r="AR220" i="1"/>
  <c r="AR221" i="1"/>
  <c r="AR222" i="1"/>
  <c r="AR691" i="1"/>
  <c r="AR223" i="1"/>
  <c r="AR224" i="1"/>
  <c r="AR225" i="1"/>
  <c r="AR226" i="1"/>
  <c r="AR692" i="1"/>
  <c r="AR693" i="1"/>
  <c r="AR227" i="1"/>
  <c r="AR694" i="1"/>
  <c r="AR696" i="1"/>
  <c r="AR697" i="1"/>
  <c r="AR228" i="1"/>
  <c r="AR229" i="1"/>
  <c r="AR230" i="1"/>
  <c r="AR231" i="1"/>
  <c r="AR698" i="1"/>
  <c r="AR232" i="1"/>
  <c r="AR699" i="1"/>
  <c r="AR700" i="1"/>
  <c r="AR233" i="1"/>
  <c r="AR701" i="1"/>
  <c r="AR234" i="1"/>
  <c r="AR702" i="1"/>
  <c r="AR235" i="1"/>
  <c r="AR236" i="1"/>
  <c r="AR703" i="1"/>
  <c r="AR704" i="1"/>
  <c r="AR237" i="1"/>
  <c r="AR705" i="1"/>
  <c r="AR706" i="1"/>
  <c r="AR707" i="1"/>
  <c r="AR708" i="1"/>
  <c r="AR238" i="1"/>
  <c r="AR240" i="1"/>
  <c r="AR241" i="1"/>
  <c r="AR242" i="1"/>
  <c r="AR709" i="1"/>
  <c r="AR710" i="1"/>
  <c r="AR711" i="1"/>
  <c r="AR243" i="1"/>
  <c r="AR244" i="1"/>
  <c r="AR245" i="1"/>
  <c r="AR246" i="1"/>
  <c r="AR712" i="1"/>
  <c r="AR713" i="1"/>
  <c r="AR247" i="1"/>
  <c r="AR248" i="1"/>
  <c r="AR714" i="1"/>
  <c r="AR715" i="1"/>
  <c r="AR249" i="1"/>
  <c r="AR250" i="1"/>
  <c r="AR716" i="1"/>
  <c r="AR251" i="1"/>
  <c r="AR717" i="1"/>
  <c r="AR252" i="1"/>
  <c r="AR718" i="1"/>
  <c r="AR719" i="1"/>
  <c r="AR253" i="1"/>
  <c r="AR254" i="1"/>
  <c r="AR720" i="1"/>
  <c r="AR255" i="1"/>
  <c r="AR256" i="1"/>
  <c r="AR721" i="1"/>
  <c r="AR722" i="1"/>
  <c r="AR257" i="1"/>
  <c r="AR258" i="1"/>
  <c r="AR259" i="1"/>
  <c r="AR260" i="1"/>
  <c r="AR261" i="1"/>
  <c r="AR723" i="1"/>
  <c r="AR724" i="1"/>
  <c r="AR262" i="1"/>
  <c r="AR725" i="1"/>
  <c r="AR726" i="1"/>
  <c r="AR263" i="1"/>
  <c r="AR264" i="1"/>
  <c r="AR265" i="1"/>
  <c r="AR727" i="1"/>
  <c r="AR266" i="1"/>
  <c r="AR267" i="1"/>
  <c r="AR268" i="1"/>
  <c r="AR269" i="1"/>
  <c r="AR270" i="1"/>
  <c r="AR271" i="1"/>
  <c r="AR728" i="1"/>
  <c r="AR272" i="1"/>
  <c r="AR729" i="1"/>
  <c r="AR273" i="1"/>
  <c r="AR274" i="1"/>
  <c r="AR730" i="1"/>
  <c r="AR731" i="1"/>
  <c r="AR275" i="1"/>
  <c r="AR276" i="1"/>
  <c r="AR277" i="1"/>
  <c r="AR732" i="1"/>
  <c r="AR733" i="1"/>
  <c r="AR734" i="1"/>
  <c r="AR278" i="1"/>
  <c r="AR279" i="1"/>
  <c r="AR280" i="1"/>
  <c r="AR735" i="1"/>
  <c r="AR736" i="1"/>
  <c r="AR737" i="1"/>
  <c r="AR281" i="1"/>
  <c r="AR282" i="1"/>
  <c r="AR738" i="1"/>
  <c r="AR283" i="1"/>
  <c r="AR739" i="1"/>
  <c r="AR284" i="1"/>
  <c r="AR285" i="1"/>
  <c r="AR286" i="1"/>
  <c r="AR287" i="1"/>
  <c r="AR289" i="1"/>
  <c r="AR740" i="1"/>
  <c r="AR290" i="1"/>
  <c r="AR291" i="1"/>
  <c r="AR741" i="1"/>
  <c r="AR292" i="1"/>
  <c r="AR742" i="1"/>
  <c r="AR293" i="1"/>
  <c r="AR294" i="1"/>
  <c r="AR743" i="1"/>
  <c r="AR744" i="1"/>
  <c r="AR295" i="1"/>
  <c r="AR745" i="1"/>
  <c r="AR296" i="1"/>
  <c r="AR746" i="1"/>
  <c r="AR747" i="1"/>
  <c r="AR748" i="1"/>
  <c r="AR297" i="1"/>
  <c r="AR749" i="1"/>
  <c r="AR750" i="1"/>
  <c r="AR298" i="1"/>
  <c r="AR299" i="1"/>
  <c r="AR300" i="1"/>
  <c r="AR751" i="1"/>
  <c r="AR752" i="1"/>
  <c r="AR301" i="1"/>
  <c r="AR302" i="1"/>
  <c r="AR753" i="1"/>
  <c r="AR303" i="1"/>
  <c r="AR754" i="1"/>
  <c r="AR304" i="1"/>
  <c r="AR755" i="1"/>
  <c r="AR305" i="1"/>
  <c r="AR756" i="1"/>
  <c r="AR306" i="1"/>
  <c r="AR307" i="1"/>
  <c r="AR757" i="1"/>
  <c r="AR308" i="1"/>
  <c r="AR758" i="1"/>
  <c r="AR309" i="1"/>
  <c r="AR310" i="1"/>
  <c r="AR759" i="1"/>
  <c r="AR311" i="1"/>
  <c r="AR760" i="1"/>
  <c r="AR312" i="1"/>
  <c r="AR313" i="1"/>
  <c r="AR761" i="1"/>
  <c r="AR314" i="1"/>
  <c r="AR315" i="1"/>
  <c r="AR763" i="1"/>
  <c r="AR764" i="1"/>
  <c r="AR316" i="1"/>
  <c r="AR765" i="1"/>
  <c r="AR317" i="1"/>
  <c r="AR318" i="1"/>
  <c r="AR766" i="1"/>
  <c r="AR767" i="1"/>
  <c r="AR319" i="1"/>
  <c r="AR768" i="1"/>
  <c r="AR320" i="1"/>
  <c r="AR321" i="1"/>
  <c r="AR322" i="1"/>
  <c r="AR769" i="1"/>
  <c r="AR323" i="1"/>
  <c r="AR324" i="1"/>
  <c r="AR325" i="1"/>
  <c r="AR770" i="1"/>
  <c r="AR771" i="1"/>
  <c r="AR772" i="1"/>
  <c r="AR326" i="1"/>
  <c r="AR774" i="1"/>
  <c r="AR327" i="1"/>
  <c r="AR775" i="1"/>
  <c r="AR328" i="1"/>
  <c r="AR776" i="1"/>
  <c r="AR329" i="1"/>
  <c r="AR330" i="1"/>
  <c r="AR777" i="1"/>
  <c r="AR778" i="1"/>
  <c r="AR331" i="1"/>
  <c r="AR332" i="1"/>
  <c r="AR333" i="1"/>
  <c r="AR779" i="1"/>
  <c r="AR780" i="1"/>
  <c r="AR781" i="1"/>
  <c r="AR782" i="1"/>
  <c r="AR334" i="1"/>
  <c r="AR335" i="1"/>
  <c r="AR336" i="1"/>
  <c r="AR337" i="1"/>
  <c r="AR783" i="1"/>
  <c r="AR338" i="1"/>
  <c r="AR784" i="1"/>
  <c r="AR339" i="1"/>
  <c r="AR785" i="1"/>
  <c r="AR340" i="1"/>
  <c r="AR342" i="1"/>
  <c r="AR786" i="1"/>
  <c r="AR343" i="1"/>
  <c r="AR344" i="1"/>
  <c r="AR787" i="1"/>
  <c r="AR788" i="1"/>
  <c r="AR789" i="1"/>
  <c r="AR790" i="1"/>
  <c r="AR791" i="1"/>
  <c r="AR345" i="1"/>
  <c r="AR792" i="1"/>
  <c r="AR346" i="1"/>
  <c r="AR793" i="1"/>
  <c r="AR794" i="1"/>
  <c r="AR347" i="1"/>
  <c r="AR348" i="1"/>
  <c r="AR349" i="1"/>
  <c r="AR350" i="1"/>
  <c r="AR351" i="1"/>
  <c r="AR352" i="1"/>
  <c r="AR353" i="1"/>
  <c r="AR354" i="1"/>
  <c r="AR355" i="1"/>
  <c r="AR795" i="1"/>
  <c r="AR356" i="1"/>
  <c r="AR357" i="1"/>
  <c r="AR358" i="1"/>
  <c r="AR796" i="1"/>
  <c r="AR797" i="1"/>
  <c r="AR798" i="1"/>
  <c r="AR799" i="1"/>
  <c r="AR359" i="1"/>
  <c r="AR360" i="1"/>
  <c r="AR800" i="1"/>
  <c r="AR802" i="1"/>
  <c r="AR803" i="1"/>
  <c r="AR361" i="1"/>
  <c r="AR362" i="1"/>
  <c r="AR363" i="1"/>
  <c r="AR364" i="1"/>
  <c r="AR365" i="1"/>
  <c r="AR804" i="1"/>
  <c r="AR805" i="1"/>
  <c r="AR366" i="1"/>
  <c r="AR367" i="1"/>
  <c r="AR806" i="1"/>
  <c r="AR368" i="1"/>
  <c r="AR369" i="1"/>
  <c r="AR807" i="1"/>
  <c r="AR370" i="1"/>
  <c r="AR808" i="1"/>
  <c r="AR371" i="1"/>
  <c r="AR809" i="1"/>
  <c r="AR810" i="1"/>
  <c r="AR811" i="1"/>
  <c r="AR812" i="1"/>
  <c r="AR813" i="1"/>
  <c r="AR372" i="1"/>
  <c r="AR814" i="1"/>
  <c r="AR815" i="1"/>
  <c r="AR816" i="1"/>
  <c r="AR817" i="1"/>
  <c r="AR373" i="1"/>
  <c r="AR374" i="1"/>
  <c r="AR375" i="1"/>
  <c r="AR376" i="1"/>
  <c r="AR818" i="1"/>
  <c r="AR377" i="1"/>
  <c r="AR819" i="1"/>
  <c r="AR378" i="1"/>
  <c r="AR379" i="1"/>
  <c r="AR820" i="1"/>
  <c r="AR380" i="1"/>
  <c r="AR381" i="1"/>
  <c r="AR821" i="1"/>
  <c r="AR382" i="1"/>
  <c r="AR822" i="1"/>
  <c r="AR823" i="1"/>
  <c r="AR383" i="1"/>
  <c r="AR384" i="1"/>
  <c r="AR825" i="1"/>
  <c r="AR385" i="1"/>
  <c r="AR386" i="1"/>
  <c r="AR826" i="1"/>
  <c r="AR827" i="1"/>
  <c r="AR828" i="1"/>
  <c r="AR829" i="1"/>
  <c r="AR387" i="1"/>
  <c r="AR830" i="1"/>
  <c r="AR831" i="1"/>
  <c r="AR388" i="1"/>
  <c r="AR389" i="1"/>
  <c r="AR390" i="1"/>
  <c r="AR832" i="1"/>
  <c r="AR833" i="1"/>
  <c r="AR834" i="1"/>
  <c r="AR391" i="1"/>
  <c r="AR836" i="1"/>
  <c r="AR837" i="1"/>
  <c r="AR392" i="1"/>
  <c r="AR393" i="1"/>
  <c r="AR394" i="1"/>
  <c r="AR395" i="1"/>
  <c r="AR838" i="1"/>
  <c r="AR396" i="1"/>
  <c r="AR397" i="1"/>
  <c r="AR399" i="1"/>
  <c r="AR400" i="1"/>
  <c r="AR839" i="1"/>
  <c r="AR840" i="1"/>
  <c r="AR841" i="1"/>
  <c r="AR401" i="1"/>
  <c r="AR842" i="1"/>
  <c r="AR402" i="1"/>
  <c r="AR843" i="1"/>
  <c r="AR844" i="1"/>
  <c r="AR845" i="1"/>
  <c r="AR846" i="1"/>
  <c r="AR847" i="1"/>
  <c r="AR404" i="1"/>
  <c r="AR848" i="1"/>
  <c r="AR405" i="1"/>
  <c r="AR850" i="1"/>
  <c r="AR406" i="1"/>
  <c r="AR851" i="1"/>
  <c r="AR407" i="1"/>
  <c r="AR852" i="1"/>
  <c r="AR408" i="1"/>
  <c r="AR409" i="1"/>
  <c r="AR410" i="1"/>
  <c r="AR853" i="1"/>
  <c r="AR855" i="1"/>
  <c r="AR411" i="1"/>
  <c r="AR412" i="1"/>
  <c r="AR413" i="1"/>
  <c r="AR414" i="1"/>
  <c r="AR415" i="1"/>
  <c r="AR416" i="1"/>
  <c r="AR417" i="1"/>
  <c r="AR856" i="1"/>
  <c r="AR418" i="1"/>
  <c r="AR419" i="1"/>
  <c r="AR857" i="1"/>
  <c r="AR420" i="1"/>
  <c r="AR858" i="1"/>
  <c r="AR859" i="1"/>
  <c r="AR421" i="1"/>
  <c r="AR860" i="1"/>
  <c r="AR422" i="1"/>
  <c r="AR423" i="1"/>
  <c r="AR424" i="1"/>
  <c r="AR861" i="1"/>
  <c r="AR862" i="1"/>
  <c r="AR425" i="1"/>
  <c r="AR426" i="1"/>
  <c r="AR863" i="1"/>
  <c r="AR864" i="1"/>
  <c r="AR427" i="1"/>
  <c r="AR865" i="1"/>
  <c r="AR428" i="1"/>
  <c r="AR429" i="1"/>
  <c r="AR430" i="1"/>
  <c r="AR866" i="1"/>
  <c r="AR431" i="1"/>
  <c r="AR867" i="1"/>
  <c r="AR868" i="1"/>
  <c r="AR869" i="1"/>
  <c r="AR432" i="1"/>
  <c r="AR433" i="1"/>
  <c r="AR870" i="1"/>
  <c r="AR434" i="1"/>
  <c r="AR435" i="1"/>
  <c r="AR436" i="1"/>
  <c r="AR871" i="1"/>
  <c r="AR872" i="1"/>
  <c r="AR873" i="1"/>
  <c r="AR437" i="1"/>
  <c r="AR874" i="1"/>
  <c r="AR438" i="1"/>
  <c r="AR439" i="1"/>
  <c r="AR440" i="1"/>
  <c r="AR441" i="1"/>
  <c r="AR442" i="1"/>
  <c r="AR875" i="1"/>
  <c r="AR443" i="1"/>
  <c r="AR876" i="1"/>
  <c r="AR444" i="1"/>
  <c r="AR877" i="1"/>
  <c r="AR445" i="1"/>
  <c r="AR446" i="1"/>
  <c r="AR878" i="1"/>
  <c r="AR447" i="1"/>
  <c r="AR448" i="1"/>
  <c r="AR879" i="1"/>
  <c r="AR449" i="1"/>
  <c r="AR880" i="1"/>
  <c r="AR450" i="1"/>
  <c r="AR451" i="1"/>
  <c r="AR452" i="1"/>
  <c r="AR881" i="1"/>
  <c r="AR453" i="1"/>
  <c r="AR454" i="1"/>
  <c r="AR882" i="1"/>
  <c r="AR883" i="1"/>
  <c r="AR455" i="1"/>
  <c r="AR884" i="1"/>
  <c r="AR885" i="1"/>
  <c r="AR456" i="1"/>
  <c r="AR886" i="1"/>
  <c r="AR887" i="1"/>
  <c r="AR888" i="1"/>
  <c r="AR457" i="1"/>
  <c r="AR458" i="1"/>
  <c r="AR459" i="1"/>
  <c r="AR889" i="1"/>
  <c r="AR890" i="1"/>
  <c r="AR460" i="1"/>
  <c r="AR461" i="1"/>
  <c r="AR891" i="1"/>
  <c r="AR462" i="1"/>
  <c r="AR463" i="1"/>
  <c r="AR892" i="1"/>
  <c r="AR464" i="1"/>
  <c r="AR465" i="1"/>
  <c r="AR893" i="1"/>
  <c r="AR894" i="1"/>
  <c r="AR895" i="1"/>
  <c r="AR896" i="1"/>
  <c r="AR466" i="1"/>
  <c r="AR897" i="1"/>
  <c r="AR467" i="1"/>
  <c r="AR898" i="1"/>
  <c r="AR899" i="1"/>
  <c r="AR900" i="1"/>
  <c r="AR468" i="1"/>
  <c r="AR469" i="1"/>
  <c r="AR901" i="1"/>
  <c r="AR470" i="1"/>
  <c r="AR902" i="1"/>
  <c r="AR903" i="1"/>
  <c r="AR471" i="1"/>
  <c r="AR904" i="1"/>
  <c r="AR905" i="1"/>
  <c r="AR472" i="1"/>
  <c r="AR906" i="1"/>
  <c r="AR907" i="1"/>
  <c r="AR473" i="1"/>
  <c r="AR474" i="1"/>
  <c r="AR908" i="1"/>
  <c r="AR909" i="1"/>
  <c r="AR475" i="1"/>
  <c r="AR477" i="1"/>
  <c r="AR478" i="1"/>
  <c r="AR479" i="1"/>
  <c r="AR910" i="1"/>
  <c r="AR911" i="1"/>
  <c r="AR480" i="1"/>
  <c r="AR481" i="1"/>
  <c r="AR482" i="1"/>
  <c r="AR483" i="1"/>
  <c r="AR484" i="1"/>
  <c r="AR485" i="1"/>
  <c r="AR912" i="1"/>
  <c r="AR913" i="1"/>
  <c r="AR914" i="1"/>
  <c r="AR915" i="1"/>
  <c r="AR916" i="1"/>
  <c r="AR917" i="1"/>
  <c r="AR486" i="1"/>
  <c r="AR918" i="1"/>
  <c r="AR919" i="1"/>
  <c r="AR920" i="1"/>
  <c r="AR487" i="1"/>
  <c r="AR488" i="1"/>
  <c r="AR921" i="1"/>
  <c r="AR922" i="1"/>
  <c r="AR489" i="1"/>
  <c r="AR490" i="1"/>
  <c r="AR923" i="1"/>
  <c r="AR491" i="1"/>
  <c r="AR924" i="1"/>
  <c r="AR492" i="1"/>
  <c r="AR493" i="1"/>
  <c r="AR925" i="1"/>
  <c r="AR926" i="1"/>
  <c r="AR927" i="1"/>
  <c r="AR494" i="1"/>
  <c r="AR928" i="1"/>
  <c r="AR495" i="1"/>
  <c r="AR929" i="1"/>
  <c r="AR930" i="1"/>
  <c r="AR496" i="1"/>
  <c r="AR497" i="1"/>
  <c r="AR931" i="1"/>
  <c r="AR498" i="1"/>
  <c r="AR499" i="1"/>
  <c r="AR500" i="1"/>
  <c r="AR501" i="1"/>
  <c r="AR932" i="1"/>
  <c r="AR502" i="1"/>
  <c r="AR933" i="1"/>
  <c r="AR288" i="1"/>
  <c r="AR341" i="1"/>
  <c r="AR835" i="1"/>
  <c r="AR398" i="1"/>
  <c r="AR163" i="1"/>
  <c r="AR801" i="1"/>
  <c r="AR854" i="1"/>
  <c r="AR86" i="1"/>
  <c r="AR849" i="1"/>
  <c r="AR695" i="1"/>
  <c r="AR78" i="1"/>
  <c r="AR149" i="1"/>
  <c r="AR683" i="1"/>
  <c r="AR166" i="1"/>
  <c r="AR403" i="1"/>
  <c r="AR762" i="1"/>
  <c r="AR476" i="1"/>
  <c r="AR556" i="1"/>
  <c r="AR824" i="1"/>
  <c r="AR505" i="1"/>
  <c r="AR195" i="1"/>
  <c r="AR539" i="1"/>
  <c r="AR680" i="1"/>
  <c r="AR608" i="1"/>
  <c r="AR649" i="1"/>
  <c r="AR579" i="1"/>
  <c r="AR239" i="1"/>
  <c r="AR773" i="1"/>
  <c r="AR91" i="1"/>
  <c r="AR159" i="1"/>
  <c r="AR79" i="1"/>
  <c r="AR659" i="1"/>
  <c r="AR2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416" i="1"/>
  <c r="AU417" i="1"/>
  <c r="AU418" i="1"/>
  <c r="AU419" i="1"/>
  <c r="AU420" i="1"/>
  <c r="AU421" i="1"/>
  <c r="AU422" i="1"/>
  <c r="AU423" i="1"/>
  <c r="AU424" i="1"/>
  <c r="AU425" i="1"/>
  <c r="AU426" i="1"/>
  <c r="AU427" i="1"/>
  <c r="AU428" i="1"/>
  <c r="AU429" i="1"/>
  <c r="AU430" i="1"/>
  <c r="AU431" i="1"/>
  <c r="AU432" i="1"/>
  <c r="AU433" i="1"/>
  <c r="AU434" i="1"/>
  <c r="AU435" i="1"/>
  <c r="AU436" i="1"/>
  <c r="AU437" i="1"/>
  <c r="AU438" i="1"/>
  <c r="AU439" i="1"/>
  <c r="AU440" i="1"/>
  <c r="AU441" i="1"/>
  <c r="AU442" i="1"/>
  <c r="AU443" i="1"/>
  <c r="AU444" i="1"/>
  <c r="AU445" i="1"/>
  <c r="AU446" i="1"/>
  <c r="AU447" i="1"/>
  <c r="AU448" i="1"/>
  <c r="AU449" i="1"/>
  <c r="AU450" i="1"/>
  <c r="AU451" i="1"/>
  <c r="AU452" i="1"/>
  <c r="AU453" i="1"/>
  <c r="AU454" i="1"/>
  <c r="AU455" i="1"/>
  <c r="AU456" i="1"/>
  <c r="AU457" i="1"/>
  <c r="AU458" i="1"/>
  <c r="AU459" i="1"/>
  <c r="AU460" i="1"/>
  <c r="AU461" i="1"/>
  <c r="AU462" i="1"/>
  <c r="AU463" i="1"/>
  <c r="AU464" i="1"/>
  <c r="AU465" i="1"/>
  <c r="AU466" i="1"/>
  <c r="AU467" i="1"/>
  <c r="AU468" i="1"/>
  <c r="AU469" i="1"/>
  <c r="AU470" i="1"/>
  <c r="AU471" i="1"/>
  <c r="AU472" i="1"/>
  <c r="AU473" i="1"/>
  <c r="AU474" i="1"/>
  <c r="AU475" i="1"/>
  <c r="AU476" i="1"/>
  <c r="AU477" i="1"/>
  <c r="AU478" i="1"/>
  <c r="AU479" i="1"/>
  <c r="AU480" i="1"/>
  <c r="AU481" i="1"/>
  <c r="AU482" i="1"/>
  <c r="AU483" i="1"/>
  <c r="AU484" i="1"/>
  <c r="AU485" i="1"/>
  <c r="AU486" i="1"/>
  <c r="AU487" i="1"/>
  <c r="AU488" i="1"/>
  <c r="AU489" i="1"/>
  <c r="AU490" i="1"/>
  <c r="AU491" i="1"/>
  <c r="AU492" i="1"/>
  <c r="AU493" i="1"/>
  <c r="AU494" i="1"/>
  <c r="AU495" i="1"/>
  <c r="AU496" i="1"/>
  <c r="AU497" i="1"/>
  <c r="AU498" i="1"/>
  <c r="AU499" i="1"/>
  <c r="AU500" i="1"/>
  <c r="AU501" i="1"/>
  <c r="AU502" i="1"/>
  <c r="AU503" i="1"/>
  <c r="AU504" i="1"/>
  <c r="AU505" i="1"/>
  <c r="AU506" i="1"/>
  <c r="AU507" i="1"/>
  <c r="AU508" i="1"/>
  <c r="AU509" i="1"/>
  <c r="AU510" i="1"/>
  <c r="AU511" i="1"/>
  <c r="AU512" i="1"/>
  <c r="AU513" i="1"/>
  <c r="AU514" i="1"/>
  <c r="AU515" i="1"/>
  <c r="AU516" i="1"/>
  <c r="AU517" i="1"/>
  <c r="AU518" i="1"/>
  <c r="AU519" i="1"/>
  <c r="AU520" i="1"/>
  <c r="AU521" i="1"/>
  <c r="AU522" i="1"/>
  <c r="AU523" i="1"/>
  <c r="AU524" i="1"/>
  <c r="AU525" i="1"/>
  <c r="AU526" i="1"/>
  <c r="AU527" i="1"/>
  <c r="AU528" i="1"/>
  <c r="AU529" i="1"/>
  <c r="AU530" i="1"/>
  <c r="AU531" i="1"/>
  <c r="AU532" i="1"/>
  <c r="AU533" i="1"/>
  <c r="AU534" i="1"/>
  <c r="AU535" i="1"/>
  <c r="AU536" i="1"/>
  <c r="AU537" i="1"/>
  <c r="AU538" i="1"/>
  <c r="AU539" i="1"/>
  <c r="AU540" i="1"/>
  <c r="AU541" i="1"/>
  <c r="AU542" i="1"/>
  <c r="AU543" i="1"/>
  <c r="AU544" i="1"/>
  <c r="AU545" i="1"/>
  <c r="AU546" i="1"/>
  <c r="AU547" i="1"/>
  <c r="AU548" i="1"/>
  <c r="AU549" i="1"/>
  <c r="AU550" i="1"/>
  <c r="AU551" i="1"/>
  <c r="AU552" i="1"/>
  <c r="AU553" i="1"/>
  <c r="AU554" i="1"/>
  <c r="AU555" i="1"/>
  <c r="AU556" i="1"/>
  <c r="AU557" i="1"/>
  <c r="AU558" i="1"/>
  <c r="AU559" i="1"/>
  <c r="AU560" i="1"/>
  <c r="AU561" i="1"/>
  <c r="AU562" i="1"/>
  <c r="AU563" i="1"/>
  <c r="AU564" i="1"/>
  <c r="AU565" i="1"/>
  <c r="AU566" i="1"/>
  <c r="AU567" i="1"/>
  <c r="AU568" i="1"/>
  <c r="AU569" i="1"/>
  <c r="AU570" i="1"/>
  <c r="AU571" i="1"/>
  <c r="AU572" i="1"/>
  <c r="AU573" i="1"/>
  <c r="AU574" i="1"/>
  <c r="AU575" i="1"/>
  <c r="AU576" i="1"/>
  <c r="AU577" i="1"/>
  <c r="AU578" i="1"/>
  <c r="AU579" i="1"/>
  <c r="AU580" i="1"/>
  <c r="AU581" i="1"/>
  <c r="AU582" i="1"/>
  <c r="AU583" i="1"/>
  <c r="AU584" i="1"/>
  <c r="AU585" i="1"/>
  <c r="AU586" i="1"/>
  <c r="AU587" i="1"/>
  <c r="AU588" i="1"/>
  <c r="AU589" i="1"/>
  <c r="AU590" i="1"/>
  <c r="AU591" i="1"/>
  <c r="AU592" i="1"/>
  <c r="AU593" i="1"/>
  <c r="AU594" i="1"/>
  <c r="AU595" i="1"/>
  <c r="AU596" i="1"/>
  <c r="AU597" i="1"/>
  <c r="AU598" i="1"/>
  <c r="AU599" i="1"/>
  <c r="AU600" i="1"/>
  <c r="AU601" i="1"/>
  <c r="AU602" i="1"/>
  <c r="AU603" i="1"/>
  <c r="AU604" i="1"/>
  <c r="AU605" i="1"/>
  <c r="AU606" i="1"/>
  <c r="AU607" i="1"/>
  <c r="AU608" i="1"/>
  <c r="AU609" i="1"/>
  <c r="AU610" i="1"/>
  <c r="AU611" i="1"/>
  <c r="AU612" i="1"/>
  <c r="AU613" i="1"/>
  <c r="AU614" i="1"/>
  <c r="AU615" i="1"/>
  <c r="AU616" i="1"/>
  <c r="AU617" i="1"/>
  <c r="AU618" i="1"/>
  <c r="AU619" i="1"/>
  <c r="AU620" i="1"/>
  <c r="AU621" i="1"/>
  <c r="AU622" i="1"/>
  <c r="AU623" i="1"/>
  <c r="AU624" i="1"/>
  <c r="AU625" i="1"/>
  <c r="AU626" i="1"/>
  <c r="AU627" i="1"/>
  <c r="AU628" i="1"/>
  <c r="AU629" i="1"/>
  <c r="AU630" i="1"/>
  <c r="AU631" i="1"/>
  <c r="AU632" i="1"/>
  <c r="AU633" i="1"/>
  <c r="AU634" i="1"/>
  <c r="AU635" i="1"/>
  <c r="AU636" i="1"/>
  <c r="AU637" i="1"/>
  <c r="AU638" i="1"/>
  <c r="AU639" i="1"/>
  <c r="AU640" i="1"/>
  <c r="AU641" i="1"/>
  <c r="AU642" i="1"/>
  <c r="AU643" i="1"/>
  <c r="AU644" i="1"/>
  <c r="AU645" i="1"/>
  <c r="AU646" i="1"/>
  <c r="AU647" i="1"/>
  <c r="AU648" i="1"/>
  <c r="AU649" i="1"/>
  <c r="AU650" i="1"/>
  <c r="AU651" i="1"/>
  <c r="AU652" i="1"/>
  <c r="AU653" i="1"/>
  <c r="AU654" i="1"/>
  <c r="AU655" i="1"/>
  <c r="AU656" i="1"/>
  <c r="AU657" i="1"/>
  <c r="AU658" i="1"/>
  <c r="AU659" i="1"/>
  <c r="AU660" i="1"/>
  <c r="AU661" i="1"/>
  <c r="AU662" i="1"/>
  <c r="AU663" i="1"/>
  <c r="AU664" i="1"/>
  <c r="AU665" i="1"/>
  <c r="AU666" i="1"/>
  <c r="AU667" i="1"/>
  <c r="AU668" i="1"/>
  <c r="AU669" i="1"/>
  <c r="AU670" i="1"/>
  <c r="AU671" i="1"/>
  <c r="AU672" i="1"/>
  <c r="AU673" i="1"/>
  <c r="AU674" i="1"/>
  <c r="AU675" i="1"/>
  <c r="AU676" i="1"/>
  <c r="AU677" i="1"/>
  <c r="AU678" i="1"/>
  <c r="AU679" i="1"/>
  <c r="AU680" i="1"/>
  <c r="AU681" i="1"/>
  <c r="AU682" i="1"/>
  <c r="AU683" i="1"/>
  <c r="AU684" i="1"/>
  <c r="AU685" i="1"/>
  <c r="AU686" i="1"/>
  <c r="AU687" i="1"/>
  <c r="AU688" i="1"/>
  <c r="AU689" i="1"/>
  <c r="AU690" i="1"/>
  <c r="AU691" i="1"/>
  <c r="AU692" i="1"/>
  <c r="AU693" i="1"/>
  <c r="AU694" i="1"/>
  <c r="AU695" i="1"/>
  <c r="AU696" i="1"/>
  <c r="AU697" i="1"/>
  <c r="AU698" i="1"/>
  <c r="AU699" i="1"/>
  <c r="AU700" i="1"/>
  <c r="AU701" i="1"/>
  <c r="AU702" i="1"/>
  <c r="AU703" i="1"/>
  <c r="AU704" i="1"/>
  <c r="AU705" i="1"/>
  <c r="AU706" i="1"/>
  <c r="AU707" i="1"/>
  <c r="AU708" i="1"/>
  <c r="AU709" i="1"/>
  <c r="AU710" i="1"/>
  <c r="AU711" i="1"/>
  <c r="AU712" i="1"/>
  <c r="AU713" i="1"/>
  <c r="AU714" i="1"/>
  <c r="AU715" i="1"/>
  <c r="AU716" i="1"/>
  <c r="AU717" i="1"/>
  <c r="AU718" i="1"/>
  <c r="AU719" i="1"/>
  <c r="AU720" i="1"/>
  <c r="AU721" i="1"/>
  <c r="AU722" i="1"/>
  <c r="AU723" i="1"/>
  <c r="AU724" i="1"/>
  <c r="AU725" i="1"/>
  <c r="AU726" i="1"/>
  <c r="AU727" i="1"/>
  <c r="AU728" i="1"/>
  <c r="AU729" i="1"/>
  <c r="AU730" i="1"/>
  <c r="AU731" i="1"/>
  <c r="AU732" i="1"/>
  <c r="AU733" i="1"/>
  <c r="AU734" i="1"/>
  <c r="AU735" i="1"/>
  <c r="AU736" i="1"/>
  <c r="AU737" i="1"/>
  <c r="AU738" i="1"/>
  <c r="AU739" i="1"/>
  <c r="AU740" i="1"/>
  <c r="AU741" i="1"/>
  <c r="AU742" i="1"/>
  <c r="AU743" i="1"/>
  <c r="AU744" i="1"/>
  <c r="AU745" i="1"/>
  <c r="AU746" i="1"/>
  <c r="AU747" i="1"/>
  <c r="AU748" i="1"/>
  <c r="AU749" i="1"/>
  <c r="AU750" i="1"/>
  <c r="AU751" i="1"/>
  <c r="AU752" i="1"/>
  <c r="AU753" i="1"/>
  <c r="AU754" i="1"/>
  <c r="AU755" i="1"/>
  <c r="AU756" i="1"/>
  <c r="AU757" i="1"/>
  <c r="AU758" i="1"/>
  <c r="AU759" i="1"/>
  <c r="AU760" i="1"/>
  <c r="AU761" i="1"/>
  <c r="AU762" i="1"/>
  <c r="AU763" i="1"/>
  <c r="AU764" i="1"/>
  <c r="AU765" i="1"/>
  <c r="AU766" i="1"/>
  <c r="AU767" i="1"/>
  <c r="AU768" i="1"/>
  <c r="AU769" i="1"/>
  <c r="AU770" i="1"/>
  <c r="AU771" i="1"/>
  <c r="AU772" i="1"/>
  <c r="AU773" i="1"/>
  <c r="AU774" i="1"/>
  <c r="AU775" i="1"/>
  <c r="AU776" i="1"/>
  <c r="AU777" i="1"/>
  <c r="AU778" i="1"/>
  <c r="AU779" i="1"/>
  <c r="AU780" i="1"/>
  <c r="AU781" i="1"/>
  <c r="AU782" i="1"/>
  <c r="AU783" i="1"/>
  <c r="AU784" i="1"/>
  <c r="AU785" i="1"/>
  <c r="AU786" i="1"/>
  <c r="AU787" i="1"/>
  <c r="AU788" i="1"/>
  <c r="AU789" i="1"/>
  <c r="AU790" i="1"/>
  <c r="AU791" i="1"/>
  <c r="AU792" i="1"/>
  <c r="AU793" i="1"/>
  <c r="AU794" i="1"/>
  <c r="AU795" i="1"/>
  <c r="AU796" i="1"/>
  <c r="AU797" i="1"/>
  <c r="AU798" i="1"/>
  <c r="AU799" i="1"/>
  <c r="AU800" i="1"/>
  <c r="AU801" i="1"/>
  <c r="AU802" i="1"/>
  <c r="AU803" i="1"/>
  <c r="AU804" i="1"/>
  <c r="AU805" i="1"/>
  <c r="AU806" i="1"/>
  <c r="AU807" i="1"/>
  <c r="AU808" i="1"/>
  <c r="AU809" i="1"/>
  <c r="AU810" i="1"/>
  <c r="AU811" i="1"/>
  <c r="AU812" i="1"/>
  <c r="AU813" i="1"/>
  <c r="AU814" i="1"/>
  <c r="AU815" i="1"/>
  <c r="AU816" i="1"/>
  <c r="AU817" i="1"/>
  <c r="AU818" i="1"/>
  <c r="AU819" i="1"/>
  <c r="AU820" i="1"/>
  <c r="AU821" i="1"/>
  <c r="AU822" i="1"/>
  <c r="AU823" i="1"/>
  <c r="AU824" i="1"/>
  <c r="AU825" i="1"/>
  <c r="AU826" i="1"/>
  <c r="AU827" i="1"/>
  <c r="AU828" i="1"/>
  <c r="AU829" i="1"/>
  <c r="AU830" i="1"/>
  <c r="AU831" i="1"/>
  <c r="AU832" i="1"/>
  <c r="AU833" i="1"/>
  <c r="AU834" i="1"/>
  <c r="AU835" i="1"/>
  <c r="AU836" i="1"/>
  <c r="AU837" i="1"/>
  <c r="AU838" i="1"/>
  <c r="AU839" i="1"/>
  <c r="AU840" i="1"/>
  <c r="AU841" i="1"/>
  <c r="AU842" i="1"/>
  <c r="AU843" i="1"/>
  <c r="AU844" i="1"/>
  <c r="AU845" i="1"/>
  <c r="AU846" i="1"/>
  <c r="AU847" i="1"/>
  <c r="AU848" i="1"/>
  <c r="AU849" i="1"/>
  <c r="AU850" i="1"/>
  <c r="AU851" i="1"/>
  <c r="AU852" i="1"/>
  <c r="AU853" i="1"/>
  <c r="AU854" i="1"/>
  <c r="AU855" i="1"/>
  <c r="AU856" i="1"/>
  <c r="AU857" i="1"/>
  <c r="AU858" i="1"/>
  <c r="AU859" i="1"/>
  <c r="AU860" i="1"/>
  <c r="AU861" i="1"/>
  <c r="AU862" i="1"/>
  <c r="AU863" i="1"/>
  <c r="AU864" i="1"/>
  <c r="AU865" i="1"/>
  <c r="AU866" i="1"/>
  <c r="AU867" i="1"/>
  <c r="AU868" i="1"/>
  <c r="AU869" i="1"/>
  <c r="AU870" i="1"/>
  <c r="AU871" i="1"/>
  <c r="AU872" i="1"/>
  <c r="AU873" i="1"/>
  <c r="AU874" i="1"/>
  <c r="AU875" i="1"/>
  <c r="AU876" i="1"/>
  <c r="AU877" i="1"/>
  <c r="AU878" i="1"/>
  <c r="AU879" i="1"/>
  <c r="AU880" i="1"/>
  <c r="AU881" i="1"/>
  <c r="AU882" i="1"/>
  <c r="AU883" i="1"/>
  <c r="AU884" i="1"/>
  <c r="AU885" i="1"/>
  <c r="AU886" i="1"/>
  <c r="AU887" i="1"/>
  <c r="AU888" i="1"/>
  <c r="AU889" i="1"/>
  <c r="AU890" i="1"/>
  <c r="AU891" i="1"/>
  <c r="AU892" i="1"/>
  <c r="AU893" i="1"/>
  <c r="AU894" i="1"/>
  <c r="AU895" i="1"/>
  <c r="AU896" i="1"/>
  <c r="AU897" i="1"/>
  <c r="AU898" i="1"/>
  <c r="AU899" i="1"/>
  <c r="AU900" i="1"/>
  <c r="AU901" i="1"/>
  <c r="AU902" i="1"/>
  <c r="AU903" i="1"/>
  <c r="AU904" i="1"/>
  <c r="AU905" i="1"/>
  <c r="AU906" i="1"/>
  <c r="AU907" i="1"/>
  <c r="AU908" i="1"/>
  <c r="AU909" i="1"/>
  <c r="AU910" i="1"/>
  <c r="AU911" i="1"/>
  <c r="AU912" i="1"/>
  <c r="AU913" i="1"/>
  <c r="AU914" i="1"/>
  <c r="AU915" i="1"/>
  <c r="AU916" i="1"/>
  <c r="AU917" i="1"/>
  <c r="AU918" i="1"/>
  <c r="AU919" i="1"/>
  <c r="AU920" i="1"/>
  <c r="AU921" i="1"/>
  <c r="AU922" i="1"/>
  <c r="AU923" i="1"/>
  <c r="AU924" i="1"/>
  <c r="AU925" i="1"/>
  <c r="AU926" i="1"/>
  <c r="AU927" i="1"/>
  <c r="AU928" i="1"/>
  <c r="AU929" i="1"/>
  <c r="AU930" i="1"/>
  <c r="AU931" i="1"/>
  <c r="AU932" i="1"/>
  <c r="AU933" i="1"/>
  <c r="AU2" i="1"/>
  <c r="AD3" i="1"/>
  <c r="AD4" i="1"/>
  <c r="AD5" i="1"/>
  <c r="AD503" i="1"/>
  <c r="AD6" i="1"/>
  <c r="AD504" i="1"/>
  <c r="AD506" i="1"/>
  <c r="AD7" i="1"/>
  <c r="AD507" i="1"/>
  <c r="AD508" i="1"/>
  <c r="AD8" i="1"/>
  <c r="AD9" i="1"/>
  <c r="AD509" i="1"/>
  <c r="AD10" i="1"/>
  <c r="AD11" i="1"/>
  <c r="AD12" i="1"/>
  <c r="AD13" i="1"/>
  <c r="AD510" i="1"/>
  <c r="AD14" i="1"/>
  <c r="AD511" i="1"/>
  <c r="AD512" i="1"/>
  <c r="AD513" i="1"/>
  <c r="AD514" i="1"/>
  <c r="AD15" i="1"/>
  <c r="AD16" i="1"/>
  <c r="AD17" i="1"/>
  <c r="AD515" i="1"/>
  <c r="AD18" i="1"/>
  <c r="AD516" i="1"/>
  <c r="AD19" i="1"/>
  <c r="AD517" i="1"/>
  <c r="AD20" i="1"/>
  <c r="AD21" i="1"/>
  <c r="AD518" i="1"/>
  <c r="AD22" i="1"/>
  <c r="AD23" i="1"/>
  <c r="AD519" i="1"/>
  <c r="AD24" i="1"/>
  <c r="AD25" i="1"/>
  <c r="AD26" i="1"/>
  <c r="AD27" i="1"/>
  <c r="AD520" i="1"/>
  <c r="AD28" i="1"/>
  <c r="AD29" i="1"/>
  <c r="AD30" i="1"/>
  <c r="AD31" i="1"/>
  <c r="AD32" i="1"/>
  <c r="AD521" i="1"/>
  <c r="AD33" i="1"/>
  <c r="AD522" i="1"/>
  <c r="AD34" i="1"/>
  <c r="AD35" i="1"/>
  <c r="AD523" i="1"/>
  <c r="AD524" i="1"/>
  <c r="AD525" i="1"/>
  <c r="AD526" i="1"/>
  <c r="AD36" i="1"/>
  <c r="AD37" i="1"/>
  <c r="AD38" i="1"/>
  <c r="AD39" i="1"/>
  <c r="AD40" i="1"/>
  <c r="AD41" i="1"/>
  <c r="AD42" i="1"/>
  <c r="AD43" i="1"/>
  <c r="AD44" i="1"/>
  <c r="AD527" i="1"/>
  <c r="AD528" i="1"/>
  <c r="AD45" i="1"/>
  <c r="AD46" i="1"/>
  <c r="AD529" i="1"/>
  <c r="AD530" i="1"/>
  <c r="AD47" i="1"/>
  <c r="AD531" i="1"/>
  <c r="AD532" i="1"/>
  <c r="AD533" i="1"/>
  <c r="AD48" i="1"/>
  <c r="AD534" i="1"/>
  <c r="AD535" i="1"/>
  <c r="AD536" i="1"/>
  <c r="AD49" i="1"/>
  <c r="AD537" i="1"/>
  <c r="AD50" i="1"/>
  <c r="AD51" i="1"/>
  <c r="AD52" i="1"/>
  <c r="AD53" i="1"/>
  <c r="AD54" i="1"/>
  <c r="AD55" i="1"/>
  <c r="AD56" i="1"/>
  <c r="AD57" i="1"/>
  <c r="AD538" i="1"/>
  <c r="AD540" i="1"/>
  <c r="AD541" i="1"/>
  <c r="AD58" i="1"/>
  <c r="AD59" i="1"/>
  <c r="AD542" i="1"/>
  <c r="AD60" i="1"/>
  <c r="AD543" i="1"/>
  <c r="AD61" i="1"/>
  <c r="AD544" i="1"/>
  <c r="AD545" i="1"/>
  <c r="AD62" i="1"/>
  <c r="AD546" i="1"/>
  <c r="AD547" i="1"/>
  <c r="AD548" i="1"/>
  <c r="AD63" i="1"/>
  <c r="AD64" i="1"/>
  <c r="AD65" i="1"/>
  <c r="AD66" i="1"/>
  <c r="AD549" i="1"/>
  <c r="AD67" i="1"/>
  <c r="AD550" i="1"/>
  <c r="AD68" i="1"/>
  <c r="AD69" i="1"/>
  <c r="AD70" i="1"/>
  <c r="AD71" i="1"/>
  <c r="AD551" i="1"/>
  <c r="AD72" i="1"/>
  <c r="AD73" i="1"/>
  <c r="AD74" i="1"/>
  <c r="AD75" i="1"/>
  <c r="AD552" i="1"/>
  <c r="AD76" i="1"/>
  <c r="AD77" i="1"/>
  <c r="AD80" i="1"/>
  <c r="AD553" i="1"/>
  <c r="AD554" i="1"/>
  <c r="AD555" i="1"/>
  <c r="AD81" i="1"/>
  <c r="AD82" i="1"/>
  <c r="AD83" i="1"/>
  <c r="AD557" i="1"/>
  <c r="AD84" i="1"/>
  <c r="AD85" i="1"/>
  <c r="AD558" i="1"/>
  <c r="AD559" i="1"/>
  <c r="AD560" i="1"/>
  <c r="AD561" i="1"/>
  <c r="AD87" i="1"/>
  <c r="AD562" i="1"/>
  <c r="AD88" i="1"/>
  <c r="AD89" i="1"/>
  <c r="AD90" i="1"/>
  <c r="AD92" i="1"/>
  <c r="AD93" i="1"/>
  <c r="AD563" i="1"/>
  <c r="AD564" i="1"/>
  <c r="AD94" i="1"/>
  <c r="AD565" i="1"/>
  <c r="AD95" i="1"/>
  <c r="AD96" i="1"/>
  <c r="AD97" i="1"/>
  <c r="AD98" i="1"/>
  <c r="AD566" i="1"/>
  <c r="AD99" i="1"/>
  <c r="AD567" i="1"/>
  <c r="AD568" i="1"/>
  <c r="AD100" i="1"/>
  <c r="AD101" i="1"/>
  <c r="AD569" i="1"/>
  <c r="AD570" i="1"/>
  <c r="AD571" i="1"/>
  <c r="AD102" i="1"/>
  <c r="AD572" i="1"/>
  <c r="AD573" i="1"/>
  <c r="AD103" i="1"/>
  <c r="AD574" i="1"/>
  <c r="AD575" i="1"/>
  <c r="AD576" i="1"/>
  <c r="AD577" i="1"/>
  <c r="AD578" i="1"/>
  <c r="AD580" i="1"/>
  <c r="AD581" i="1"/>
  <c r="AD104" i="1"/>
  <c r="AD582" i="1"/>
  <c r="AD105" i="1"/>
  <c r="AD583" i="1"/>
  <c r="AD106" i="1"/>
  <c r="AD107" i="1"/>
  <c r="AD108" i="1"/>
  <c r="AD109" i="1"/>
  <c r="AD584" i="1"/>
  <c r="AD110" i="1"/>
  <c r="AD585" i="1"/>
  <c r="AD111" i="1"/>
  <c r="AD112" i="1"/>
  <c r="AD113" i="1"/>
  <c r="AD586" i="1"/>
  <c r="AD587" i="1"/>
  <c r="AD588" i="1"/>
  <c r="AD589" i="1"/>
  <c r="AD114" i="1"/>
  <c r="AD115" i="1"/>
  <c r="AD116" i="1"/>
  <c r="AD590" i="1"/>
  <c r="AD591" i="1"/>
  <c r="AD117" i="1"/>
  <c r="AD592" i="1"/>
  <c r="AD118" i="1"/>
  <c r="AD119" i="1"/>
  <c r="AD593" i="1"/>
  <c r="AD594" i="1"/>
  <c r="AD595" i="1"/>
  <c r="AD120" i="1"/>
  <c r="AD596" i="1"/>
  <c r="AD597" i="1"/>
  <c r="AD598" i="1"/>
  <c r="AD121" i="1"/>
  <c r="AD599" i="1"/>
  <c r="AD600" i="1"/>
  <c r="AD122" i="1"/>
  <c r="AD123" i="1"/>
  <c r="AD124" i="1"/>
  <c r="AD125" i="1"/>
  <c r="AD126" i="1"/>
  <c r="AD127" i="1"/>
  <c r="AD601" i="1"/>
  <c r="AD602" i="1"/>
  <c r="AD603" i="1"/>
  <c r="AD128" i="1"/>
  <c r="AD129" i="1"/>
  <c r="AD604" i="1"/>
  <c r="AD605" i="1"/>
  <c r="AD606" i="1"/>
  <c r="AD607" i="1"/>
  <c r="AD130" i="1"/>
  <c r="AD609" i="1"/>
  <c r="AD131" i="1"/>
  <c r="AD132" i="1"/>
  <c r="AD610" i="1"/>
  <c r="AD133" i="1"/>
  <c r="AD134" i="1"/>
  <c r="AD611" i="1"/>
  <c r="AD135" i="1"/>
  <c r="AD136" i="1"/>
  <c r="AD137" i="1"/>
  <c r="AD138" i="1"/>
  <c r="AD139" i="1"/>
  <c r="AD140" i="1"/>
  <c r="AD141" i="1"/>
  <c r="AD142" i="1"/>
  <c r="AD612" i="1"/>
  <c r="AD613" i="1"/>
  <c r="AD614" i="1"/>
  <c r="AD143" i="1"/>
  <c r="AD144" i="1"/>
  <c r="AD145" i="1"/>
  <c r="AD146" i="1"/>
  <c r="AD147" i="1"/>
  <c r="AD615" i="1"/>
  <c r="AD148" i="1"/>
  <c r="AD616" i="1"/>
  <c r="AD617" i="1"/>
  <c r="AD150" i="1"/>
  <c r="AD618" i="1"/>
  <c r="AD619" i="1"/>
  <c r="AD151" i="1"/>
  <c r="AD620" i="1"/>
  <c r="AD152" i="1"/>
  <c r="AD153" i="1"/>
  <c r="AD621" i="1"/>
  <c r="AD622" i="1"/>
  <c r="AD623" i="1"/>
  <c r="AD624" i="1"/>
  <c r="AD154" i="1"/>
  <c r="AD155" i="1"/>
  <c r="AD625" i="1"/>
  <c r="AD626" i="1"/>
  <c r="AD627" i="1"/>
  <c r="AD628" i="1"/>
  <c r="AD156" i="1"/>
  <c r="AD157" i="1"/>
  <c r="AD158" i="1"/>
  <c r="AD629" i="1"/>
  <c r="AD160" i="1"/>
  <c r="AD161" i="1"/>
  <c r="AD162" i="1"/>
  <c r="AD630" i="1"/>
  <c r="AD631" i="1"/>
  <c r="AD164" i="1"/>
  <c r="AD165" i="1"/>
  <c r="AD632" i="1"/>
  <c r="AD167" i="1"/>
  <c r="AD633" i="1"/>
  <c r="AD168" i="1"/>
  <c r="AD634" i="1"/>
  <c r="AD169" i="1"/>
  <c r="AD170" i="1"/>
  <c r="AD171" i="1"/>
  <c r="AD635" i="1"/>
  <c r="AD636" i="1"/>
  <c r="AD172" i="1"/>
  <c r="AD637" i="1"/>
  <c r="AD173" i="1"/>
  <c r="AD638" i="1"/>
  <c r="AD639" i="1"/>
  <c r="AD640" i="1"/>
  <c r="AD174" i="1"/>
  <c r="AD641" i="1"/>
  <c r="AD175" i="1"/>
  <c r="AD176" i="1"/>
  <c r="AD642" i="1"/>
  <c r="AD643" i="1"/>
  <c r="AD177" i="1"/>
  <c r="AD178" i="1"/>
  <c r="AD179" i="1"/>
  <c r="AD644" i="1"/>
  <c r="AD645" i="1"/>
  <c r="AD646" i="1"/>
  <c r="AD180" i="1"/>
  <c r="AD181" i="1"/>
  <c r="AD182" i="1"/>
  <c r="AD183" i="1"/>
  <c r="AD647" i="1"/>
  <c r="AD648" i="1"/>
  <c r="AD184" i="1"/>
  <c r="AD185" i="1"/>
  <c r="AD650" i="1"/>
  <c r="AD186" i="1"/>
  <c r="AD187" i="1"/>
  <c r="AD188" i="1"/>
  <c r="AD189" i="1"/>
  <c r="AD190" i="1"/>
  <c r="AD191" i="1"/>
  <c r="AD651" i="1"/>
  <c r="AD652" i="1"/>
  <c r="AD653" i="1"/>
  <c r="AD192" i="1"/>
  <c r="AD654" i="1"/>
  <c r="AD655" i="1"/>
  <c r="AD193" i="1"/>
  <c r="AD194" i="1"/>
  <c r="AD656" i="1"/>
  <c r="AD657" i="1"/>
  <c r="AD196" i="1"/>
  <c r="AD658" i="1"/>
  <c r="AD197" i="1"/>
  <c r="AD198" i="1"/>
  <c r="AD199" i="1"/>
  <c r="AD660" i="1"/>
  <c r="AD200" i="1"/>
  <c r="AD661" i="1"/>
  <c r="AD662" i="1"/>
  <c r="AD663" i="1"/>
  <c r="AD201" i="1"/>
  <c r="AD202" i="1"/>
  <c r="AD664" i="1"/>
  <c r="AD203" i="1"/>
  <c r="AD204" i="1"/>
  <c r="AD665" i="1"/>
  <c r="AD205" i="1"/>
  <c r="AD666" i="1"/>
  <c r="AD667" i="1"/>
  <c r="AD668" i="1"/>
  <c r="AD206" i="1"/>
  <c r="AD207" i="1"/>
  <c r="AD669" i="1"/>
  <c r="AD670" i="1"/>
  <c r="AD671" i="1"/>
  <c r="AD208" i="1"/>
  <c r="AD209" i="1"/>
  <c r="AD672" i="1"/>
  <c r="AD210" i="1"/>
  <c r="AD673" i="1"/>
  <c r="AD674" i="1"/>
  <c r="AD211" i="1"/>
  <c r="AD675" i="1"/>
  <c r="AD212" i="1"/>
  <c r="AD676" i="1"/>
  <c r="AD677" i="1"/>
  <c r="AD213" i="1"/>
  <c r="AD214" i="1"/>
  <c r="AD678" i="1"/>
  <c r="AD679" i="1"/>
  <c r="AD681" i="1"/>
  <c r="AD215" i="1"/>
  <c r="AD216" i="1"/>
  <c r="AD682" i="1"/>
  <c r="AD684" i="1"/>
  <c r="AD217" i="1"/>
  <c r="AD218" i="1"/>
  <c r="AD685" i="1"/>
  <c r="AD686" i="1"/>
  <c r="AD687" i="1"/>
  <c r="AD219" i="1"/>
  <c r="AD688" i="1"/>
  <c r="AD689" i="1"/>
  <c r="AD690" i="1"/>
  <c r="AD220" i="1"/>
  <c r="AD221" i="1"/>
  <c r="AD222" i="1"/>
  <c r="AD691" i="1"/>
  <c r="AD223" i="1"/>
  <c r="AD224" i="1"/>
  <c r="AD225" i="1"/>
  <c r="AD226" i="1"/>
  <c r="AD692" i="1"/>
  <c r="AD693" i="1"/>
  <c r="AD227" i="1"/>
  <c r="AD694" i="1"/>
  <c r="AD696" i="1"/>
  <c r="AD697" i="1"/>
  <c r="AD228" i="1"/>
  <c r="AD229" i="1"/>
  <c r="AD230" i="1"/>
  <c r="AD231" i="1"/>
  <c r="AD698" i="1"/>
  <c r="AD232" i="1"/>
  <c r="AD699" i="1"/>
  <c r="AD700" i="1"/>
  <c r="AD233" i="1"/>
  <c r="AD701" i="1"/>
  <c r="AD234" i="1"/>
  <c r="AD702" i="1"/>
  <c r="AD235" i="1"/>
  <c r="AD236" i="1"/>
  <c r="AD703" i="1"/>
  <c r="AD704" i="1"/>
  <c r="AD237" i="1"/>
  <c r="AD705" i="1"/>
  <c r="AD706" i="1"/>
  <c r="AD707" i="1"/>
  <c r="AD708" i="1"/>
  <c r="AD238" i="1"/>
  <c r="AD240" i="1"/>
  <c r="AD241" i="1"/>
  <c r="AD242" i="1"/>
  <c r="AD709" i="1"/>
  <c r="AD710" i="1"/>
  <c r="AD711" i="1"/>
  <c r="AD243" i="1"/>
  <c r="AD244" i="1"/>
  <c r="AD245" i="1"/>
  <c r="AD246" i="1"/>
  <c r="AD712" i="1"/>
  <c r="AD713" i="1"/>
  <c r="AD247" i="1"/>
  <c r="AD248" i="1"/>
  <c r="AD714" i="1"/>
  <c r="AD715" i="1"/>
  <c r="AD249" i="1"/>
  <c r="AD250" i="1"/>
  <c r="AD716" i="1"/>
  <c r="AD251" i="1"/>
  <c r="AD717" i="1"/>
  <c r="AD252" i="1"/>
  <c r="AD718" i="1"/>
  <c r="AD719" i="1"/>
  <c r="AD253" i="1"/>
  <c r="AD254" i="1"/>
  <c r="AD720" i="1"/>
  <c r="AD255" i="1"/>
  <c r="AD256" i="1"/>
  <c r="AD721" i="1"/>
  <c r="AD722" i="1"/>
  <c r="AD257" i="1"/>
  <c r="AD258" i="1"/>
  <c r="AD259" i="1"/>
  <c r="AD260" i="1"/>
  <c r="AD261" i="1"/>
  <c r="AD723" i="1"/>
  <c r="AD724" i="1"/>
  <c r="AD262" i="1"/>
  <c r="AD725" i="1"/>
  <c r="AD726" i="1"/>
  <c r="AD263" i="1"/>
  <c r="AD264" i="1"/>
  <c r="AD265" i="1"/>
  <c r="AD727" i="1"/>
  <c r="AD266" i="1"/>
  <c r="AD267" i="1"/>
  <c r="AD268" i="1"/>
  <c r="AD269" i="1"/>
  <c r="AD270" i="1"/>
  <c r="AD271" i="1"/>
  <c r="AD728" i="1"/>
  <c r="AD272" i="1"/>
  <c r="AD729" i="1"/>
  <c r="AD273" i="1"/>
  <c r="AD274" i="1"/>
  <c r="AD730" i="1"/>
  <c r="AD731" i="1"/>
  <c r="AD275" i="1"/>
  <c r="AD276" i="1"/>
  <c r="AD277" i="1"/>
  <c r="AD732" i="1"/>
  <c r="AD733" i="1"/>
  <c r="AD734" i="1"/>
  <c r="AD278" i="1"/>
  <c r="AD279" i="1"/>
  <c r="AD280" i="1"/>
  <c r="AD735" i="1"/>
  <c r="AD736" i="1"/>
  <c r="AD737" i="1"/>
  <c r="AD281" i="1"/>
  <c r="AD282" i="1"/>
  <c r="AD738" i="1"/>
  <c r="AD283" i="1"/>
  <c r="AD739" i="1"/>
  <c r="AD284" i="1"/>
  <c r="AD285" i="1"/>
  <c r="AD286" i="1"/>
  <c r="AD287" i="1"/>
  <c r="AD289" i="1"/>
  <c r="AD740" i="1"/>
  <c r="AD290" i="1"/>
  <c r="AD291" i="1"/>
  <c r="AD741" i="1"/>
  <c r="AD292" i="1"/>
  <c r="AD742" i="1"/>
  <c r="AD293" i="1"/>
  <c r="AD294" i="1"/>
  <c r="AD743" i="1"/>
  <c r="AD744" i="1"/>
  <c r="AD295" i="1"/>
  <c r="AD745" i="1"/>
  <c r="AD296" i="1"/>
  <c r="AD746" i="1"/>
  <c r="AD747" i="1"/>
  <c r="AD748" i="1"/>
  <c r="AD297" i="1"/>
  <c r="AD749" i="1"/>
  <c r="AD750" i="1"/>
  <c r="AD298" i="1"/>
  <c r="AD299" i="1"/>
  <c r="AD300" i="1"/>
  <c r="AD751" i="1"/>
  <c r="AD752" i="1"/>
  <c r="AD301" i="1"/>
  <c r="AD302" i="1"/>
  <c r="AD753" i="1"/>
  <c r="AD303" i="1"/>
  <c r="AD754" i="1"/>
  <c r="AD304" i="1"/>
  <c r="AD755" i="1"/>
  <c r="AD305" i="1"/>
  <c r="AD756" i="1"/>
  <c r="AD306" i="1"/>
  <c r="AD307" i="1"/>
  <c r="AD757" i="1"/>
  <c r="AD308" i="1"/>
  <c r="AD758" i="1"/>
  <c r="AD309" i="1"/>
  <c r="AD310" i="1"/>
  <c r="AD759" i="1"/>
  <c r="AD311" i="1"/>
  <c r="AD760" i="1"/>
  <c r="AD312" i="1"/>
  <c r="AD313" i="1"/>
  <c r="AD761" i="1"/>
  <c r="AD314" i="1"/>
  <c r="AD315" i="1"/>
  <c r="AD763" i="1"/>
  <c r="AD764" i="1"/>
  <c r="AD316" i="1"/>
  <c r="AD765" i="1"/>
  <c r="AD317" i="1"/>
  <c r="AD318" i="1"/>
  <c r="AD766" i="1"/>
  <c r="AD767" i="1"/>
  <c r="AD319" i="1"/>
  <c r="AD768" i="1"/>
  <c r="AD320" i="1"/>
  <c r="AD321" i="1"/>
  <c r="AD322" i="1"/>
  <c r="AD769" i="1"/>
  <c r="AD323" i="1"/>
  <c r="AD324" i="1"/>
  <c r="AD325" i="1"/>
  <c r="AD770" i="1"/>
  <c r="AD771" i="1"/>
  <c r="AD772" i="1"/>
  <c r="AD326" i="1"/>
  <c r="AD774" i="1"/>
  <c r="AD327" i="1"/>
  <c r="AD775" i="1"/>
  <c r="AD328" i="1"/>
  <c r="AD776" i="1"/>
  <c r="AD329" i="1"/>
  <c r="AD330" i="1"/>
  <c r="AD777" i="1"/>
  <c r="AD778" i="1"/>
  <c r="AD331" i="1"/>
  <c r="AD332" i="1"/>
  <c r="AD333" i="1"/>
  <c r="AD779" i="1"/>
  <c r="AD780" i="1"/>
  <c r="AD781" i="1"/>
  <c r="AD782" i="1"/>
  <c r="AD334" i="1"/>
  <c r="AD335" i="1"/>
  <c r="AD336" i="1"/>
  <c r="AD337" i="1"/>
  <c r="AD783" i="1"/>
  <c r="AD338" i="1"/>
  <c r="AD784" i="1"/>
  <c r="AD339" i="1"/>
  <c r="AD785" i="1"/>
  <c r="AD340" i="1"/>
  <c r="AD342" i="1"/>
  <c r="AD786" i="1"/>
  <c r="AD343" i="1"/>
  <c r="AD344" i="1"/>
  <c r="AD787" i="1"/>
  <c r="AD788" i="1"/>
  <c r="AD789" i="1"/>
  <c r="AD790" i="1"/>
  <c r="AD791" i="1"/>
  <c r="AD345" i="1"/>
  <c r="AD792" i="1"/>
  <c r="AD346" i="1"/>
  <c r="AD793" i="1"/>
  <c r="AD794" i="1"/>
  <c r="AD347" i="1"/>
  <c r="AD348" i="1"/>
  <c r="AD349" i="1"/>
  <c r="AD350" i="1"/>
  <c r="AD351" i="1"/>
  <c r="AD352" i="1"/>
  <c r="AD353" i="1"/>
  <c r="AD354" i="1"/>
  <c r="AD355" i="1"/>
  <c r="AD795" i="1"/>
  <c r="AD356" i="1"/>
  <c r="AD357" i="1"/>
  <c r="AD358" i="1"/>
  <c r="AD796" i="1"/>
  <c r="AD797" i="1"/>
  <c r="AD798" i="1"/>
  <c r="AD799" i="1"/>
  <c r="AD359" i="1"/>
  <c r="AD360" i="1"/>
  <c r="AD800" i="1"/>
  <c r="AD802" i="1"/>
  <c r="AD803" i="1"/>
  <c r="AD361" i="1"/>
  <c r="AD362" i="1"/>
  <c r="AD363" i="1"/>
  <c r="AD364" i="1"/>
  <c r="AD365" i="1"/>
  <c r="AD804" i="1"/>
  <c r="AD805" i="1"/>
  <c r="AD366" i="1"/>
  <c r="AD367" i="1"/>
  <c r="AD806" i="1"/>
  <c r="AD368" i="1"/>
  <c r="AD369" i="1"/>
  <c r="AD807" i="1"/>
  <c r="AD370" i="1"/>
  <c r="AD808" i="1"/>
  <c r="AD371" i="1"/>
  <c r="AD809" i="1"/>
  <c r="AD810" i="1"/>
  <c r="AD811" i="1"/>
  <c r="AD812" i="1"/>
  <c r="AD813" i="1"/>
  <c r="AD372" i="1"/>
  <c r="AD814" i="1"/>
  <c r="AD815" i="1"/>
  <c r="AD816" i="1"/>
  <c r="AD817" i="1"/>
  <c r="AD373" i="1"/>
  <c r="AD374" i="1"/>
  <c r="AD375" i="1"/>
  <c r="AD376" i="1"/>
  <c r="AD818" i="1"/>
  <c r="AD377" i="1"/>
  <c r="AD819" i="1"/>
  <c r="AD378" i="1"/>
  <c r="AD379" i="1"/>
  <c r="AD820" i="1"/>
  <c r="AD380" i="1"/>
  <c r="AD381" i="1"/>
  <c r="AD821" i="1"/>
  <c r="AD382" i="1"/>
  <c r="AD822" i="1"/>
  <c r="AD823" i="1"/>
  <c r="AD383" i="1"/>
  <c r="AD384" i="1"/>
  <c r="AD825" i="1"/>
  <c r="AD385" i="1"/>
  <c r="AD386" i="1"/>
  <c r="AD826" i="1"/>
  <c r="AD827" i="1"/>
  <c r="AD828" i="1"/>
  <c r="AD829" i="1"/>
  <c r="AD387" i="1"/>
  <c r="AD830" i="1"/>
  <c r="AD831" i="1"/>
  <c r="AD388" i="1"/>
  <c r="AD389" i="1"/>
  <c r="AD390" i="1"/>
  <c r="AD832" i="1"/>
  <c r="AD833" i="1"/>
  <c r="AD834" i="1"/>
  <c r="AD391" i="1"/>
  <c r="AD836" i="1"/>
  <c r="AD837" i="1"/>
  <c r="AD392" i="1"/>
  <c r="AD393" i="1"/>
  <c r="AD394" i="1"/>
  <c r="AD395" i="1"/>
  <c r="AD838" i="1"/>
  <c r="AD396" i="1"/>
  <c r="AD397" i="1"/>
  <c r="AD399" i="1"/>
  <c r="AD400" i="1"/>
  <c r="AD839" i="1"/>
  <c r="AD840" i="1"/>
  <c r="AD841" i="1"/>
  <c r="AD401" i="1"/>
  <c r="AD842" i="1"/>
  <c r="AD402" i="1"/>
  <c r="AD843" i="1"/>
  <c r="AD844" i="1"/>
  <c r="AD845" i="1"/>
  <c r="AD846" i="1"/>
  <c r="AD847" i="1"/>
  <c r="AD404" i="1"/>
  <c r="AD848" i="1"/>
  <c r="AD405" i="1"/>
  <c r="AD850" i="1"/>
  <c r="AD406" i="1"/>
  <c r="AD851" i="1"/>
  <c r="AD407" i="1"/>
  <c r="AD852" i="1"/>
  <c r="AD408" i="1"/>
  <c r="AD409" i="1"/>
  <c r="AD410" i="1"/>
  <c r="AD853" i="1"/>
  <c r="AD855" i="1"/>
  <c r="AD411" i="1"/>
  <c r="AD412" i="1"/>
  <c r="AD413" i="1"/>
  <c r="AD414" i="1"/>
  <c r="AD415" i="1"/>
  <c r="AD416" i="1"/>
  <c r="AD417" i="1"/>
  <c r="AD856" i="1"/>
  <c r="AD418" i="1"/>
  <c r="AD419" i="1"/>
  <c r="AD857" i="1"/>
  <c r="AD420" i="1"/>
  <c r="AD858" i="1"/>
  <c r="AD859" i="1"/>
  <c r="AD421" i="1"/>
  <c r="AD860" i="1"/>
  <c r="AD422" i="1"/>
  <c r="AD423" i="1"/>
  <c r="AD424" i="1"/>
  <c r="AD861" i="1"/>
  <c r="AD862" i="1"/>
  <c r="AD425" i="1"/>
  <c r="AD426" i="1"/>
  <c r="AD863" i="1"/>
  <c r="AD864" i="1"/>
  <c r="AD427" i="1"/>
  <c r="AD865" i="1"/>
  <c r="AD428" i="1"/>
  <c r="AD429" i="1"/>
  <c r="AD430" i="1"/>
  <c r="AD866" i="1"/>
  <c r="AD431" i="1"/>
  <c r="AD867" i="1"/>
  <c r="AD868" i="1"/>
  <c r="AD869" i="1"/>
  <c r="AD432" i="1"/>
  <c r="AD433" i="1"/>
  <c r="AD870" i="1"/>
  <c r="AD434" i="1"/>
  <c r="AD435" i="1"/>
  <c r="AD436" i="1"/>
  <c r="AD871" i="1"/>
  <c r="AD872" i="1"/>
  <c r="AD873" i="1"/>
  <c r="AD437" i="1"/>
  <c r="AD874" i="1"/>
  <c r="AD438" i="1"/>
  <c r="AD439" i="1"/>
  <c r="AD440" i="1"/>
  <c r="AD441" i="1"/>
  <c r="AD442" i="1"/>
  <c r="AD875" i="1"/>
  <c r="AD443" i="1"/>
  <c r="AD876" i="1"/>
  <c r="AD444" i="1"/>
  <c r="AD877" i="1"/>
  <c r="AD445" i="1"/>
  <c r="AD446" i="1"/>
  <c r="AD878" i="1"/>
  <c r="AD447" i="1"/>
  <c r="AD448" i="1"/>
  <c r="AD879" i="1"/>
  <c r="AD449" i="1"/>
  <c r="AD880" i="1"/>
  <c r="AD450" i="1"/>
  <c r="AD451" i="1"/>
  <c r="AD452" i="1"/>
  <c r="AD881" i="1"/>
  <c r="AD453" i="1"/>
  <c r="AD454" i="1"/>
  <c r="AD882" i="1"/>
  <c r="AD883" i="1"/>
  <c r="AD455" i="1"/>
  <c r="AD884" i="1"/>
  <c r="AD885" i="1"/>
  <c r="AD456" i="1"/>
  <c r="AD886" i="1"/>
  <c r="AD887" i="1"/>
  <c r="AD888" i="1"/>
  <c r="AD457" i="1"/>
  <c r="AD458" i="1"/>
  <c r="AD459" i="1"/>
  <c r="AD889" i="1"/>
  <c r="AD890" i="1"/>
  <c r="AD460" i="1"/>
  <c r="AD461" i="1"/>
  <c r="AD891" i="1"/>
  <c r="AD462" i="1"/>
  <c r="AD463" i="1"/>
  <c r="AD892" i="1"/>
  <c r="AD464" i="1"/>
  <c r="AD465" i="1"/>
  <c r="AD893" i="1"/>
  <c r="AD894" i="1"/>
  <c r="AD895" i="1"/>
  <c r="AD896" i="1"/>
  <c r="AD466" i="1"/>
  <c r="AD897" i="1"/>
  <c r="AD467" i="1"/>
  <c r="AD898" i="1"/>
  <c r="AD899" i="1"/>
  <c r="AD900" i="1"/>
  <c r="AD468" i="1"/>
  <c r="AD469" i="1"/>
  <c r="AD901" i="1"/>
  <c r="AD470" i="1"/>
  <c r="AD902" i="1"/>
  <c r="AD903" i="1"/>
  <c r="AD471" i="1"/>
  <c r="AD904" i="1"/>
  <c r="AD905" i="1"/>
  <c r="AD472" i="1"/>
  <c r="AD906" i="1"/>
  <c r="AD907" i="1"/>
  <c r="AD473" i="1"/>
  <c r="AD474" i="1"/>
  <c r="AD908" i="1"/>
  <c r="AD909" i="1"/>
  <c r="AD475" i="1"/>
  <c r="AD477" i="1"/>
  <c r="AD478" i="1"/>
  <c r="AD479" i="1"/>
  <c r="AD910" i="1"/>
  <c r="AD911" i="1"/>
  <c r="AD480" i="1"/>
  <c r="AD481" i="1"/>
  <c r="AD482" i="1"/>
  <c r="AD483" i="1"/>
  <c r="AD484" i="1"/>
  <c r="AD485" i="1"/>
  <c r="AD912" i="1"/>
  <c r="AD913" i="1"/>
  <c r="AD914" i="1"/>
  <c r="AD915" i="1"/>
  <c r="AD916" i="1"/>
  <c r="AD917" i="1"/>
  <c r="AD486" i="1"/>
  <c r="AD918" i="1"/>
  <c r="AD919" i="1"/>
  <c r="AD920" i="1"/>
  <c r="AD487" i="1"/>
  <c r="AD488" i="1"/>
  <c r="AD921" i="1"/>
  <c r="AD922" i="1"/>
  <c r="AD489" i="1"/>
  <c r="AD490" i="1"/>
  <c r="AD923" i="1"/>
  <c r="AD491" i="1"/>
  <c r="AD924" i="1"/>
  <c r="AD492" i="1"/>
  <c r="AD493" i="1"/>
  <c r="AD925" i="1"/>
  <c r="AD926" i="1"/>
  <c r="AD927" i="1"/>
  <c r="AD494" i="1"/>
  <c r="AD928" i="1"/>
  <c r="AD495" i="1"/>
  <c r="AD929" i="1"/>
  <c r="AD930" i="1"/>
  <c r="AD496" i="1"/>
  <c r="AD497" i="1"/>
  <c r="AD931" i="1"/>
  <c r="AD498" i="1"/>
  <c r="AD499" i="1"/>
  <c r="AD500" i="1"/>
  <c r="AD501" i="1"/>
  <c r="AD932" i="1"/>
  <c r="AD502" i="1"/>
  <c r="AD933" i="1"/>
  <c r="AD288" i="1"/>
  <c r="AD341" i="1"/>
  <c r="AD835" i="1"/>
  <c r="AD398" i="1"/>
  <c r="AD163" i="1"/>
  <c r="AD801" i="1"/>
  <c r="AD854" i="1"/>
  <c r="AD86" i="1"/>
  <c r="AD849" i="1"/>
  <c r="AD695" i="1"/>
  <c r="AD78" i="1"/>
  <c r="AD149" i="1"/>
  <c r="AD683" i="1"/>
  <c r="AD166" i="1"/>
  <c r="AD403" i="1"/>
  <c r="AD762" i="1"/>
  <c r="AD476" i="1"/>
  <c r="AD556" i="1"/>
  <c r="AD824" i="1"/>
  <c r="AD505" i="1"/>
  <c r="AD195" i="1"/>
  <c r="AD539" i="1"/>
  <c r="AD680" i="1"/>
  <c r="AD608" i="1"/>
  <c r="AD649" i="1"/>
  <c r="AD579" i="1"/>
  <c r="AD239" i="1"/>
  <c r="AD773" i="1"/>
  <c r="AD91" i="1"/>
  <c r="AD159" i="1"/>
  <c r="AD79" i="1"/>
  <c r="AD659" i="1"/>
  <c r="R3" i="1"/>
  <c r="R4" i="1"/>
  <c r="R5" i="1"/>
  <c r="R503" i="1"/>
  <c r="R6" i="1"/>
  <c r="R504" i="1"/>
  <c r="R506" i="1"/>
  <c r="R7" i="1"/>
  <c r="R507" i="1"/>
  <c r="R508" i="1"/>
  <c r="R8" i="1"/>
  <c r="R9" i="1"/>
  <c r="R509" i="1"/>
  <c r="R10" i="1"/>
  <c r="R11" i="1"/>
  <c r="R12" i="1"/>
  <c r="R13" i="1"/>
  <c r="R510" i="1"/>
  <c r="R14" i="1"/>
  <c r="R511" i="1"/>
  <c r="R512" i="1"/>
  <c r="R513" i="1"/>
  <c r="R514" i="1"/>
  <c r="R15" i="1"/>
  <c r="R16" i="1"/>
  <c r="R17" i="1"/>
  <c r="R515" i="1"/>
  <c r="R18" i="1"/>
  <c r="R516" i="1"/>
  <c r="R19" i="1"/>
  <c r="R517" i="1"/>
  <c r="R20" i="1"/>
  <c r="R21" i="1"/>
  <c r="R518" i="1"/>
  <c r="R22" i="1"/>
  <c r="R23" i="1"/>
  <c r="R519" i="1"/>
  <c r="R24" i="1"/>
  <c r="R25" i="1"/>
  <c r="R26" i="1"/>
  <c r="R27" i="1"/>
  <c r="R520" i="1"/>
  <c r="R28" i="1"/>
  <c r="R29" i="1"/>
  <c r="R30" i="1"/>
  <c r="R31" i="1"/>
  <c r="R32" i="1"/>
  <c r="R521" i="1"/>
  <c r="R33" i="1"/>
  <c r="R522" i="1"/>
  <c r="R34" i="1"/>
  <c r="R35" i="1"/>
  <c r="R523" i="1"/>
  <c r="R524" i="1"/>
  <c r="R525" i="1"/>
  <c r="R526" i="1"/>
  <c r="R36" i="1"/>
  <c r="R37" i="1"/>
  <c r="R38" i="1"/>
  <c r="R39" i="1"/>
  <c r="R40" i="1"/>
  <c r="R41" i="1"/>
  <c r="R42" i="1"/>
  <c r="R43" i="1"/>
  <c r="R44" i="1"/>
  <c r="R527" i="1"/>
  <c r="R528" i="1"/>
  <c r="R45" i="1"/>
  <c r="R46" i="1"/>
  <c r="R529" i="1"/>
  <c r="R530" i="1"/>
  <c r="R47" i="1"/>
  <c r="R531" i="1"/>
  <c r="R532" i="1"/>
  <c r="R533" i="1"/>
  <c r="R48" i="1"/>
  <c r="R534" i="1"/>
  <c r="R535" i="1"/>
  <c r="R536" i="1"/>
  <c r="R49" i="1"/>
  <c r="R537" i="1"/>
  <c r="R50" i="1"/>
  <c r="R51" i="1"/>
  <c r="R52" i="1"/>
  <c r="R53" i="1"/>
  <c r="R54" i="1"/>
  <c r="R55" i="1"/>
  <c r="R56" i="1"/>
  <c r="R57" i="1"/>
  <c r="R538" i="1"/>
  <c r="R540" i="1"/>
  <c r="R541" i="1"/>
  <c r="R58" i="1"/>
  <c r="R59" i="1"/>
  <c r="R542" i="1"/>
  <c r="R60" i="1"/>
  <c r="R543" i="1"/>
  <c r="R61" i="1"/>
  <c r="R544" i="1"/>
  <c r="R545" i="1"/>
  <c r="R62" i="1"/>
  <c r="R546" i="1"/>
  <c r="R547" i="1"/>
  <c r="R548" i="1"/>
  <c r="R63" i="1"/>
  <c r="R64" i="1"/>
  <c r="R65" i="1"/>
  <c r="R66" i="1"/>
  <c r="R549" i="1"/>
  <c r="R67" i="1"/>
  <c r="R550" i="1"/>
  <c r="R68" i="1"/>
  <c r="R69" i="1"/>
  <c r="R70" i="1"/>
  <c r="R71" i="1"/>
  <c r="R551" i="1"/>
  <c r="R72" i="1"/>
  <c r="R73" i="1"/>
  <c r="R74" i="1"/>
  <c r="R75" i="1"/>
  <c r="R552" i="1"/>
  <c r="R76" i="1"/>
  <c r="R77" i="1"/>
  <c r="R80" i="1"/>
  <c r="R553" i="1"/>
  <c r="R554" i="1"/>
  <c r="R555" i="1"/>
  <c r="R81" i="1"/>
  <c r="R82" i="1"/>
  <c r="R83" i="1"/>
  <c r="R557" i="1"/>
  <c r="R84" i="1"/>
  <c r="R85" i="1"/>
  <c r="R558" i="1"/>
  <c r="R559" i="1"/>
  <c r="R560" i="1"/>
  <c r="R561" i="1"/>
  <c r="R87" i="1"/>
  <c r="R562" i="1"/>
  <c r="R88" i="1"/>
  <c r="R89" i="1"/>
  <c r="R90" i="1"/>
  <c r="R92" i="1"/>
  <c r="R93" i="1"/>
  <c r="R563" i="1"/>
  <c r="R564" i="1"/>
  <c r="R94" i="1"/>
  <c r="R565" i="1"/>
  <c r="R95" i="1"/>
  <c r="R96" i="1"/>
  <c r="R97" i="1"/>
  <c r="R98" i="1"/>
  <c r="R566" i="1"/>
  <c r="R99" i="1"/>
  <c r="R567" i="1"/>
  <c r="R568" i="1"/>
  <c r="R100" i="1"/>
  <c r="R101" i="1"/>
  <c r="R569" i="1"/>
  <c r="R570" i="1"/>
  <c r="R571" i="1"/>
  <c r="R102" i="1"/>
  <c r="R572" i="1"/>
  <c r="R573" i="1"/>
  <c r="R103" i="1"/>
  <c r="R574" i="1"/>
  <c r="R575" i="1"/>
  <c r="R576" i="1"/>
  <c r="R577" i="1"/>
  <c r="R578" i="1"/>
  <c r="R580" i="1"/>
  <c r="R581" i="1"/>
  <c r="R104" i="1"/>
  <c r="R582" i="1"/>
  <c r="R105" i="1"/>
  <c r="R583" i="1"/>
  <c r="R106" i="1"/>
  <c r="R107" i="1"/>
  <c r="R108" i="1"/>
  <c r="R109" i="1"/>
  <c r="R584" i="1"/>
  <c r="R110" i="1"/>
  <c r="R585" i="1"/>
  <c r="R111" i="1"/>
  <c r="R112" i="1"/>
  <c r="R113" i="1"/>
  <c r="R586" i="1"/>
  <c r="R587" i="1"/>
  <c r="R588" i="1"/>
  <c r="R589" i="1"/>
  <c r="R114" i="1"/>
  <c r="R115" i="1"/>
  <c r="R116" i="1"/>
  <c r="R590" i="1"/>
  <c r="R591" i="1"/>
  <c r="R117" i="1"/>
  <c r="R592" i="1"/>
  <c r="R118" i="1"/>
  <c r="R119" i="1"/>
  <c r="R593" i="1"/>
  <c r="R594" i="1"/>
  <c r="R595" i="1"/>
  <c r="R120" i="1"/>
  <c r="R596" i="1"/>
  <c r="R597" i="1"/>
  <c r="R598" i="1"/>
  <c r="R121" i="1"/>
  <c r="R599" i="1"/>
  <c r="R600" i="1"/>
  <c r="R122" i="1"/>
  <c r="R123" i="1"/>
  <c r="R124" i="1"/>
  <c r="R125" i="1"/>
  <c r="R126" i="1"/>
  <c r="R127" i="1"/>
  <c r="R601" i="1"/>
  <c r="R602" i="1"/>
  <c r="R603" i="1"/>
  <c r="R128" i="1"/>
  <c r="R129" i="1"/>
  <c r="R604" i="1"/>
  <c r="R605" i="1"/>
  <c r="R606" i="1"/>
  <c r="R607" i="1"/>
  <c r="R130" i="1"/>
  <c r="R609" i="1"/>
  <c r="R131" i="1"/>
  <c r="R132" i="1"/>
  <c r="R610" i="1"/>
  <c r="R133" i="1"/>
  <c r="R134" i="1"/>
  <c r="R611" i="1"/>
  <c r="R135" i="1"/>
  <c r="R136" i="1"/>
  <c r="R137" i="1"/>
  <c r="R138" i="1"/>
  <c r="R139" i="1"/>
  <c r="R140" i="1"/>
  <c r="R141" i="1"/>
  <c r="R142" i="1"/>
  <c r="R612" i="1"/>
  <c r="R613" i="1"/>
  <c r="R614" i="1"/>
  <c r="R143" i="1"/>
  <c r="R144" i="1"/>
  <c r="R145" i="1"/>
  <c r="R146" i="1"/>
  <c r="R147" i="1"/>
  <c r="R615" i="1"/>
  <c r="R148" i="1"/>
  <c r="R616" i="1"/>
  <c r="R617" i="1"/>
  <c r="R150" i="1"/>
  <c r="R618" i="1"/>
  <c r="R619" i="1"/>
  <c r="R151" i="1"/>
  <c r="R620" i="1"/>
  <c r="R152" i="1"/>
  <c r="R153" i="1"/>
  <c r="R621" i="1"/>
  <c r="R622" i="1"/>
  <c r="R623" i="1"/>
  <c r="R624" i="1"/>
  <c r="R154" i="1"/>
  <c r="R155" i="1"/>
  <c r="R625" i="1"/>
  <c r="R626" i="1"/>
  <c r="R627" i="1"/>
  <c r="R628" i="1"/>
  <c r="R156" i="1"/>
  <c r="R157" i="1"/>
  <c r="R158" i="1"/>
  <c r="R629" i="1"/>
  <c r="R160" i="1"/>
  <c r="R161" i="1"/>
  <c r="R162" i="1"/>
  <c r="R630" i="1"/>
  <c r="R631" i="1"/>
  <c r="R164" i="1"/>
  <c r="R165" i="1"/>
  <c r="R632" i="1"/>
  <c r="R167" i="1"/>
  <c r="R633" i="1"/>
  <c r="R168" i="1"/>
  <c r="R634" i="1"/>
  <c r="R169" i="1"/>
  <c r="R170" i="1"/>
  <c r="R171" i="1"/>
  <c r="R635" i="1"/>
  <c r="R636" i="1"/>
  <c r="R172" i="1"/>
  <c r="R637" i="1"/>
  <c r="R173" i="1"/>
  <c r="R638" i="1"/>
  <c r="R639" i="1"/>
  <c r="R640" i="1"/>
  <c r="R174" i="1"/>
  <c r="R641" i="1"/>
  <c r="R175" i="1"/>
  <c r="R176" i="1"/>
  <c r="R642" i="1"/>
  <c r="R643" i="1"/>
  <c r="R177" i="1"/>
  <c r="R178" i="1"/>
  <c r="R179" i="1"/>
  <c r="R644" i="1"/>
  <c r="R645" i="1"/>
  <c r="R646" i="1"/>
  <c r="R180" i="1"/>
  <c r="R181" i="1"/>
  <c r="R182" i="1"/>
  <c r="R183" i="1"/>
  <c r="R647" i="1"/>
  <c r="R648" i="1"/>
  <c r="R184" i="1"/>
  <c r="R185" i="1"/>
  <c r="R650" i="1"/>
  <c r="R186" i="1"/>
  <c r="R187" i="1"/>
  <c r="R188" i="1"/>
  <c r="R189" i="1"/>
  <c r="R190" i="1"/>
  <c r="R191" i="1"/>
  <c r="R651" i="1"/>
  <c r="R652" i="1"/>
  <c r="R653" i="1"/>
  <c r="R192" i="1"/>
  <c r="R654" i="1"/>
  <c r="R655" i="1"/>
  <c r="R193" i="1"/>
  <c r="R194" i="1"/>
  <c r="R656" i="1"/>
  <c r="R657" i="1"/>
  <c r="R196" i="1"/>
  <c r="R658" i="1"/>
  <c r="R197" i="1"/>
  <c r="R198" i="1"/>
  <c r="R199" i="1"/>
  <c r="R660" i="1"/>
  <c r="R200" i="1"/>
  <c r="R661" i="1"/>
  <c r="R662" i="1"/>
  <c r="R663" i="1"/>
  <c r="R201" i="1"/>
  <c r="R202" i="1"/>
  <c r="R664" i="1"/>
  <c r="R203" i="1"/>
  <c r="R204" i="1"/>
  <c r="R665" i="1"/>
  <c r="R205" i="1"/>
  <c r="R666" i="1"/>
  <c r="R667" i="1"/>
  <c r="R668" i="1"/>
  <c r="R206" i="1"/>
  <c r="R207" i="1"/>
  <c r="R669" i="1"/>
  <c r="R670" i="1"/>
  <c r="R671" i="1"/>
  <c r="R208" i="1"/>
  <c r="R209" i="1"/>
  <c r="R672" i="1"/>
  <c r="R210" i="1"/>
  <c r="R673" i="1"/>
  <c r="R674" i="1"/>
  <c r="R211" i="1"/>
  <c r="R675" i="1"/>
  <c r="R212" i="1"/>
  <c r="R676" i="1"/>
  <c r="R677" i="1"/>
  <c r="R213" i="1"/>
  <c r="R214" i="1"/>
  <c r="R678" i="1"/>
  <c r="R679" i="1"/>
  <c r="R681" i="1"/>
  <c r="R215" i="1"/>
  <c r="R216" i="1"/>
  <c r="R682" i="1"/>
  <c r="R684" i="1"/>
  <c r="R217" i="1"/>
  <c r="R218" i="1"/>
  <c r="R685" i="1"/>
  <c r="R686" i="1"/>
  <c r="R687" i="1"/>
  <c r="R219" i="1"/>
  <c r="R688" i="1"/>
  <c r="R689" i="1"/>
  <c r="R690" i="1"/>
  <c r="R220" i="1"/>
  <c r="R221" i="1"/>
  <c r="R222" i="1"/>
  <c r="R691" i="1"/>
  <c r="R223" i="1"/>
  <c r="R224" i="1"/>
  <c r="R225" i="1"/>
  <c r="R226" i="1"/>
  <c r="R692" i="1"/>
  <c r="R693" i="1"/>
  <c r="R227" i="1"/>
  <c r="R694" i="1"/>
  <c r="R696" i="1"/>
  <c r="R697" i="1"/>
  <c r="R228" i="1"/>
  <c r="R229" i="1"/>
  <c r="R230" i="1"/>
  <c r="R231" i="1"/>
  <c r="R698" i="1"/>
  <c r="R232" i="1"/>
  <c r="R699" i="1"/>
  <c r="R700" i="1"/>
  <c r="R233" i="1"/>
  <c r="R701" i="1"/>
  <c r="R234" i="1"/>
  <c r="R702" i="1"/>
  <c r="R235" i="1"/>
  <c r="R236" i="1"/>
  <c r="R703" i="1"/>
  <c r="R704" i="1"/>
  <c r="R237" i="1"/>
  <c r="R705" i="1"/>
  <c r="R706" i="1"/>
  <c r="R707" i="1"/>
  <c r="R708" i="1"/>
  <c r="R238" i="1"/>
  <c r="R240" i="1"/>
  <c r="R241" i="1"/>
  <c r="R242" i="1"/>
  <c r="R709" i="1"/>
  <c r="R710" i="1"/>
  <c r="R711" i="1"/>
  <c r="R243" i="1"/>
  <c r="R244" i="1"/>
  <c r="R245" i="1"/>
  <c r="R246" i="1"/>
  <c r="R712" i="1"/>
  <c r="R713" i="1"/>
  <c r="R247" i="1"/>
  <c r="R248" i="1"/>
  <c r="R714" i="1"/>
  <c r="R715" i="1"/>
  <c r="R249" i="1"/>
  <c r="R250" i="1"/>
  <c r="R716" i="1"/>
  <c r="R251" i="1"/>
  <c r="R717" i="1"/>
  <c r="R252" i="1"/>
  <c r="R718" i="1"/>
  <c r="R719" i="1"/>
  <c r="R253" i="1"/>
  <c r="R254" i="1"/>
  <c r="R720" i="1"/>
  <c r="R255" i="1"/>
  <c r="R256" i="1"/>
  <c r="R721" i="1"/>
  <c r="R722" i="1"/>
  <c r="R257" i="1"/>
  <c r="R258" i="1"/>
  <c r="R259" i="1"/>
  <c r="R260" i="1"/>
  <c r="R261" i="1"/>
  <c r="R723" i="1"/>
  <c r="R724" i="1"/>
  <c r="R262" i="1"/>
  <c r="R725" i="1"/>
  <c r="R726" i="1"/>
  <c r="R263" i="1"/>
  <c r="R264" i="1"/>
  <c r="R265" i="1"/>
  <c r="R727" i="1"/>
  <c r="R266" i="1"/>
  <c r="R267" i="1"/>
  <c r="R268" i="1"/>
  <c r="R269" i="1"/>
  <c r="R270" i="1"/>
  <c r="R271" i="1"/>
  <c r="R728" i="1"/>
  <c r="R272" i="1"/>
  <c r="R729" i="1"/>
  <c r="R273" i="1"/>
  <c r="R274" i="1"/>
  <c r="R730" i="1"/>
  <c r="R731" i="1"/>
  <c r="R275" i="1"/>
  <c r="R276" i="1"/>
  <c r="R277" i="1"/>
  <c r="R732" i="1"/>
  <c r="R733" i="1"/>
  <c r="R734" i="1"/>
  <c r="R278" i="1"/>
  <c r="R279" i="1"/>
  <c r="R280" i="1"/>
  <c r="R735" i="1"/>
  <c r="R736" i="1"/>
  <c r="R737" i="1"/>
  <c r="R281" i="1"/>
  <c r="R282" i="1"/>
  <c r="R738" i="1"/>
  <c r="R283" i="1"/>
  <c r="R739" i="1"/>
  <c r="R284" i="1"/>
  <c r="R285" i="1"/>
  <c r="R286" i="1"/>
  <c r="R287" i="1"/>
  <c r="R289" i="1"/>
  <c r="R740" i="1"/>
  <c r="R290" i="1"/>
  <c r="R291" i="1"/>
  <c r="R741" i="1"/>
  <c r="R292" i="1"/>
  <c r="R742" i="1"/>
  <c r="R293" i="1"/>
  <c r="R294" i="1"/>
  <c r="R743" i="1"/>
  <c r="R744" i="1"/>
  <c r="R295" i="1"/>
  <c r="R745" i="1"/>
  <c r="R296" i="1"/>
  <c r="R746" i="1"/>
  <c r="R747" i="1"/>
  <c r="R748" i="1"/>
  <c r="R297" i="1"/>
  <c r="R749" i="1"/>
  <c r="R750" i="1"/>
  <c r="R298" i="1"/>
  <c r="R299" i="1"/>
  <c r="R300" i="1"/>
  <c r="R751" i="1"/>
  <c r="R752" i="1"/>
  <c r="R301" i="1"/>
  <c r="R302" i="1"/>
  <c r="R753" i="1"/>
  <c r="R303" i="1"/>
  <c r="R754" i="1"/>
  <c r="R304" i="1"/>
  <c r="R755" i="1"/>
  <c r="R305" i="1"/>
  <c r="R756" i="1"/>
  <c r="R306" i="1"/>
  <c r="R307" i="1"/>
  <c r="R757" i="1"/>
  <c r="R308" i="1"/>
  <c r="R758" i="1"/>
  <c r="R309" i="1"/>
  <c r="R310" i="1"/>
  <c r="R759" i="1"/>
  <c r="R311" i="1"/>
  <c r="R760" i="1"/>
  <c r="R312" i="1"/>
  <c r="R313" i="1"/>
  <c r="R761" i="1"/>
  <c r="R314" i="1"/>
  <c r="R315" i="1"/>
  <c r="R763" i="1"/>
  <c r="R764" i="1"/>
  <c r="R316" i="1"/>
  <c r="R765" i="1"/>
  <c r="R317" i="1"/>
  <c r="R318" i="1"/>
  <c r="R766" i="1"/>
  <c r="R767" i="1"/>
  <c r="R319" i="1"/>
  <c r="R768" i="1"/>
  <c r="R320" i="1"/>
  <c r="R321" i="1"/>
  <c r="R322" i="1"/>
  <c r="R769" i="1"/>
  <c r="R323" i="1"/>
  <c r="R324" i="1"/>
  <c r="R325" i="1"/>
  <c r="R770" i="1"/>
  <c r="R771" i="1"/>
  <c r="R772" i="1"/>
  <c r="R326" i="1"/>
  <c r="R774" i="1"/>
  <c r="R327" i="1"/>
  <c r="R775" i="1"/>
  <c r="R328" i="1"/>
  <c r="R776" i="1"/>
  <c r="R329" i="1"/>
  <c r="R330" i="1"/>
  <c r="R777" i="1"/>
  <c r="R778" i="1"/>
  <c r="R331" i="1"/>
  <c r="R332" i="1"/>
  <c r="R333" i="1"/>
  <c r="R779" i="1"/>
  <c r="R780" i="1"/>
  <c r="R781" i="1"/>
  <c r="R782" i="1"/>
  <c r="R334" i="1"/>
  <c r="R335" i="1"/>
  <c r="R336" i="1"/>
  <c r="R337" i="1"/>
  <c r="R783" i="1"/>
  <c r="R338" i="1"/>
  <c r="R784" i="1"/>
  <c r="R339" i="1"/>
  <c r="R785" i="1"/>
  <c r="R340" i="1"/>
  <c r="R342" i="1"/>
  <c r="R786" i="1"/>
  <c r="R343" i="1"/>
  <c r="R344" i="1"/>
  <c r="R787" i="1"/>
  <c r="R788" i="1"/>
  <c r="R789" i="1"/>
  <c r="R790" i="1"/>
  <c r="R791" i="1"/>
  <c r="R345" i="1"/>
  <c r="R792" i="1"/>
  <c r="R346" i="1"/>
  <c r="R793" i="1"/>
  <c r="R794" i="1"/>
  <c r="R347" i="1"/>
  <c r="R348" i="1"/>
  <c r="R349" i="1"/>
  <c r="R350" i="1"/>
  <c r="R351" i="1"/>
  <c r="R352" i="1"/>
  <c r="R353" i="1"/>
  <c r="R354" i="1"/>
  <c r="R355" i="1"/>
  <c r="R795" i="1"/>
  <c r="R356" i="1"/>
  <c r="R357" i="1"/>
  <c r="R358" i="1"/>
  <c r="R796" i="1"/>
  <c r="R797" i="1"/>
  <c r="R798" i="1"/>
  <c r="R799" i="1"/>
  <c r="R359" i="1"/>
  <c r="R360" i="1"/>
  <c r="R800" i="1"/>
  <c r="R802" i="1"/>
  <c r="R803" i="1"/>
  <c r="R361" i="1"/>
  <c r="R362" i="1"/>
  <c r="R363" i="1"/>
  <c r="R364" i="1"/>
  <c r="R365" i="1"/>
  <c r="R804" i="1"/>
  <c r="R805" i="1"/>
  <c r="R366" i="1"/>
  <c r="R367" i="1"/>
  <c r="R806" i="1"/>
  <c r="R368" i="1"/>
  <c r="R369" i="1"/>
  <c r="R807" i="1"/>
  <c r="R370" i="1"/>
  <c r="R808" i="1"/>
  <c r="R371" i="1"/>
  <c r="R809" i="1"/>
  <c r="R810" i="1"/>
  <c r="R811" i="1"/>
  <c r="R812" i="1"/>
  <c r="R813" i="1"/>
  <c r="R372" i="1"/>
  <c r="R814" i="1"/>
  <c r="R815" i="1"/>
  <c r="R816" i="1"/>
  <c r="R817" i="1"/>
  <c r="R373" i="1"/>
  <c r="R374" i="1"/>
  <c r="R375" i="1"/>
  <c r="R376" i="1"/>
  <c r="R818" i="1"/>
  <c r="R377" i="1"/>
  <c r="R819" i="1"/>
  <c r="R378" i="1"/>
  <c r="R379" i="1"/>
  <c r="R820" i="1"/>
  <c r="R380" i="1"/>
  <c r="R381" i="1"/>
  <c r="R821" i="1"/>
  <c r="R382" i="1"/>
  <c r="R822" i="1"/>
  <c r="R823" i="1"/>
  <c r="R383" i="1"/>
  <c r="R384" i="1"/>
  <c r="R825" i="1"/>
  <c r="R385" i="1"/>
  <c r="R386" i="1"/>
  <c r="R826" i="1"/>
  <c r="R827" i="1"/>
  <c r="R828" i="1"/>
  <c r="R829" i="1"/>
  <c r="R387" i="1"/>
  <c r="R830" i="1"/>
  <c r="R831" i="1"/>
  <c r="R388" i="1"/>
  <c r="R389" i="1"/>
  <c r="R390" i="1"/>
  <c r="R832" i="1"/>
  <c r="R833" i="1"/>
  <c r="R834" i="1"/>
  <c r="R391" i="1"/>
  <c r="R836" i="1"/>
  <c r="R837" i="1"/>
  <c r="R392" i="1"/>
  <c r="R393" i="1"/>
  <c r="R394" i="1"/>
  <c r="R395" i="1"/>
  <c r="R838" i="1"/>
  <c r="R396" i="1"/>
  <c r="R397" i="1"/>
  <c r="R399" i="1"/>
  <c r="R400" i="1"/>
  <c r="R839" i="1"/>
  <c r="R840" i="1"/>
  <c r="R841" i="1"/>
  <c r="R401" i="1"/>
  <c r="R842" i="1"/>
  <c r="R402" i="1"/>
  <c r="R843" i="1"/>
  <c r="R844" i="1"/>
  <c r="R845" i="1"/>
  <c r="R846" i="1"/>
  <c r="R847" i="1"/>
  <c r="R404" i="1"/>
  <c r="R848" i="1"/>
  <c r="R405" i="1"/>
  <c r="R850" i="1"/>
  <c r="R406" i="1"/>
  <c r="R851" i="1"/>
  <c r="R407" i="1"/>
  <c r="R852" i="1"/>
  <c r="R408" i="1"/>
  <c r="R409" i="1"/>
  <c r="R410" i="1"/>
  <c r="R853" i="1"/>
  <c r="R855" i="1"/>
  <c r="R411" i="1"/>
  <c r="R412" i="1"/>
  <c r="R413" i="1"/>
  <c r="R414" i="1"/>
  <c r="R415" i="1"/>
  <c r="R416" i="1"/>
  <c r="R417" i="1"/>
  <c r="R856" i="1"/>
  <c r="R418" i="1"/>
  <c r="R419" i="1"/>
  <c r="R857" i="1"/>
  <c r="R420" i="1"/>
  <c r="R858" i="1"/>
  <c r="R859" i="1"/>
  <c r="R421" i="1"/>
  <c r="R860" i="1"/>
  <c r="R422" i="1"/>
  <c r="R423" i="1"/>
  <c r="R424" i="1"/>
  <c r="R861" i="1"/>
  <c r="R862" i="1"/>
  <c r="R425" i="1"/>
  <c r="R426" i="1"/>
  <c r="R863" i="1"/>
  <c r="R864" i="1"/>
  <c r="R427" i="1"/>
  <c r="R865" i="1"/>
  <c r="R428" i="1"/>
  <c r="R429" i="1"/>
  <c r="R430" i="1"/>
  <c r="R866" i="1"/>
  <c r="R431" i="1"/>
  <c r="R867" i="1"/>
  <c r="R868" i="1"/>
  <c r="R869" i="1"/>
  <c r="R432" i="1"/>
  <c r="R433" i="1"/>
  <c r="R870" i="1"/>
  <c r="R434" i="1"/>
  <c r="R435" i="1"/>
  <c r="R436" i="1"/>
  <c r="R871" i="1"/>
  <c r="R872" i="1"/>
  <c r="R873" i="1"/>
  <c r="R437" i="1"/>
  <c r="R874" i="1"/>
  <c r="R438" i="1"/>
  <c r="R439" i="1"/>
  <c r="R440" i="1"/>
  <c r="R441" i="1"/>
  <c r="R442" i="1"/>
  <c r="R875" i="1"/>
  <c r="R443" i="1"/>
  <c r="R876" i="1"/>
  <c r="R444" i="1"/>
  <c r="R877" i="1"/>
  <c r="R445" i="1"/>
  <c r="R446" i="1"/>
  <c r="R878" i="1"/>
  <c r="R447" i="1"/>
  <c r="R448" i="1"/>
  <c r="R879" i="1"/>
  <c r="R449" i="1"/>
  <c r="R880" i="1"/>
  <c r="R450" i="1"/>
  <c r="R451" i="1"/>
  <c r="R452" i="1"/>
  <c r="R881" i="1"/>
  <c r="R453" i="1"/>
  <c r="R454" i="1"/>
  <c r="R882" i="1"/>
  <c r="R883" i="1"/>
  <c r="R455" i="1"/>
  <c r="R884" i="1"/>
  <c r="R885" i="1"/>
  <c r="R456" i="1"/>
  <c r="R886" i="1"/>
  <c r="R887" i="1"/>
  <c r="R888" i="1"/>
  <c r="R457" i="1"/>
  <c r="R458" i="1"/>
  <c r="R459" i="1"/>
  <c r="R889" i="1"/>
  <c r="R890" i="1"/>
  <c r="R460" i="1"/>
  <c r="R461" i="1"/>
  <c r="R891" i="1"/>
  <c r="R462" i="1"/>
  <c r="R463" i="1"/>
  <c r="R892" i="1"/>
  <c r="R464" i="1"/>
  <c r="R465" i="1"/>
  <c r="R893" i="1"/>
  <c r="R894" i="1"/>
  <c r="R895" i="1"/>
  <c r="R896" i="1"/>
  <c r="R466" i="1"/>
  <c r="R897" i="1"/>
  <c r="R467" i="1"/>
  <c r="R898" i="1"/>
  <c r="R899" i="1"/>
  <c r="R900" i="1"/>
  <c r="R468" i="1"/>
  <c r="R469" i="1"/>
  <c r="R901" i="1"/>
  <c r="R470" i="1"/>
  <c r="R902" i="1"/>
  <c r="R903" i="1"/>
  <c r="R471" i="1"/>
  <c r="R904" i="1"/>
  <c r="R905" i="1"/>
  <c r="R472" i="1"/>
  <c r="R906" i="1"/>
  <c r="R907" i="1"/>
  <c r="R473" i="1"/>
  <c r="R474" i="1"/>
  <c r="R908" i="1"/>
  <c r="R909" i="1"/>
  <c r="R475" i="1"/>
  <c r="R477" i="1"/>
  <c r="R478" i="1"/>
  <c r="R479" i="1"/>
  <c r="R910" i="1"/>
  <c r="R911" i="1"/>
  <c r="R480" i="1"/>
  <c r="R481" i="1"/>
  <c r="R482" i="1"/>
  <c r="R483" i="1"/>
  <c r="R484" i="1"/>
  <c r="R485" i="1"/>
  <c r="R912" i="1"/>
  <c r="R913" i="1"/>
  <c r="R914" i="1"/>
  <c r="R915" i="1"/>
  <c r="R916" i="1"/>
  <c r="R917" i="1"/>
  <c r="R486" i="1"/>
  <c r="R918" i="1"/>
  <c r="R919" i="1"/>
  <c r="R920" i="1"/>
  <c r="R487" i="1"/>
  <c r="R488" i="1"/>
  <c r="R921" i="1"/>
  <c r="R922" i="1"/>
  <c r="R489" i="1"/>
  <c r="R490" i="1"/>
  <c r="R923" i="1"/>
  <c r="R491" i="1"/>
  <c r="R924" i="1"/>
  <c r="R492" i="1"/>
  <c r="R493" i="1"/>
  <c r="R925" i="1"/>
  <c r="R926" i="1"/>
  <c r="R927" i="1"/>
  <c r="R494" i="1"/>
  <c r="R928" i="1"/>
  <c r="R495" i="1"/>
  <c r="R929" i="1"/>
  <c r="R930" i="1"/>
  <c r="R496" i="1"/>
  <c r="R497" i="1"/>
  <c r="R931" i="1"/>
  <c r="R498" i="1"/>
  <c r="R499" i="1"/>
  <c r="R500" i="1"/>
  <c r="R501" i="1"/>
  <c r="R932" i="1"/>
  <c r="R502" i="1"/>
  <c r="R933" i="1"/>
  <c r="R288" i="1"/>
  <c r="R341" i="1"/>
  <c r="R835" i="1"/>
  <c r="R398" i="1"/>
  <c r="R163" i="1"/>
  <c r="R801" i="1"/>
  <c r="R854" i="1"/>
  <c r="R86" i="1"/>
  <c r="R849" i="1"/>
  <c r="R695" i="1"/>
  <c r="R78" i="1"/>
  <c r="R149" i="1"/>
  <c r="R683" i="1"/>
  <c r="R166" i="1"/>
  <c r="R403" i="1"/>
  <c r="R762" i="1"/>
  <c r="R476" i="1"/>
  <c r="R556" i="1"/>
  <c r="R824" i="1"/>
  <c r="R505" i="1"/>
  <c r="R195" i="1"/>
  <c r="R539" i="1"/>
  <c r="R680" i="1"/>
  <c r="R608" i="1"/>
  <c r="R649" i="1"/>
  <c r="R579" i="1"/>
  <c r="R239" i="1"/>
  <c r="R773" i="1"/>
  <c r="R91" i="1"/>
  <c r="R159" i="1"/>
  <c r="R79" i="1"/>
  <c r="R659" i="1"/>
  <c r="R2" i="1"/>
  <c r="AV779" i="1" l="1"/>
  <c r="AV780" i="1"/>
  <c r="AV781" i="1"/>
  <c r="AV782" i="1"/>
  <c r="AV783" i="1"/>
  <c r="AV784" i="1"/>
  <c r="AV785" i="1"/>
  <c r="AV786" i="1"/>
  <c r="AV787" i="1"/>
  <c r="AV789" i="1"/>
  <c r="AV790" i="1"/>
  <c r="AV792" i="1"/>
  <c r="AV793" i="1"/>
  <c r="AV795" i="1"/>
  <c r="AV797" i="1"/>
  <c r="AV798" i="1"/>
  <c r="AV799" i="1"/>
  <c r="AV801" i="1"/>
  <c r="AV802" i="1"/>
  <c r="AV803" i="1"/>
  <c r="AV805" i="1"/>
  <c r="AV806" i="1"/>
  <c r="AV808" i="1"/>
  <c r="AV809" i="1"/>
  <c r="AV812" i="1"/>
  <c r="AV813" i="1"/>
  <c r="AV814" i="1"/>
  <c r="AV815" i="1"/>
  <c r="AV817" i="1"/>
  <c r="AV818" i="1"/>
  <c r="AV819" i="1"/>
  <c r="AV820" i="1"/>
  <c r="AV821" i="1"/>
  <c r="AV823" i="1"/>
  <c r="AV824" i="1"/>
  <c r="AV825" i="1"/>
  <c r="AV826" i="1"/>
  <c r="AV827" i="1"/>
  <c r="AV829" i="1"/>
  <c r="AV831" i="1"/>
  <c r="AV832" i="1"/>
  <c r="AV833" i="1"/>
  <c r="AV834" i="1"/>
  <c r="AV835" i="1"/>
  <c r="AV836" i="1"/>
  <c r="AV837" i="1"/>
  <c r="AV838" i="1"/>
  <c r="AV841" i="1"/>
  <c r="AV843" i="1"/>
  <c r="AV844" i="1"/>
  <c r="AV845" i="1"/>
  <c r="AV846" i="1"/>
  <c r="AV847" i="1"/>
  <c r="AV848" i="1"/>
  <c r="AV849" i="1"/>
  <c r="AV850" i="1"/>
  <c r="AV851" i="1"/>
  <c r="AV852" i="1"/>
  <c r="AV853" i="1"/>
  <c r="AV854" i="1"/>
  <c r="AV855" i="1"/>
  <c r="AV857" i="1"/>
  <c r="AV858" i="1"/>
  <c r="AV859" i="1"/>
  <c r="AV860" i="1"/>
  <c r="AV861" i="1"/>
  <c r="AV862" i="1"/>
  <c r="AV863" i="1"/>
  <c r="AV864" i="1"/>
  <c r="AV866" i="1"/>
  <c r="AV867" i="1"/>
  <c r="AV868" i="1"/>
  <c r="AV869" i="1"/>
  <c r="AV871" i="1"/>
  <c r="AV873" i="1"/>
  <c r="AV874" i="1"/>
  <c r="AV877" i="1"/>
  <c r="AV878" i="1"/>
  <c r="AV880" i="1"/>
  <c r="AV881" i="1"/>
  <c r="AV882" i="1"/>
  <c r="AV883" i="1"/>
  <c r="AV884" i="1"/>
  <c r="AV885" i="1"/>
  <c r="AV886" i="1"/>
  <c r="AV887" i="1"/>
  <c r="AV888" i="1"/>
  <c r="AV889" i="1"/>
  <c r="AV891" i="1"/>
  <c r="AV892" i="1"/>
  <c r="AV893" i="1"/>
  <c r="AV895" i="1"/>
  <c r="AV896" i="1"/>
  <c r="AV897" i="1"/>
  <c r="AV898" i="1"/>
  <c r="AV900" i="1"/>
  <c r="AV901" i="1"/>
  <c r="AV902" i="1"/>
  <c r="AV903" i="1"/>
  <c r="AV904" i="1"/>
  <c r="AV905" i="1"/>
  <c r="AV906" i="1"/>
  <c r="AV909" i="1"/>
  <c r="AV912" i="1"/>
  <c r="AV913" i="1"/>
  <c r="AV914" i="1"/>
  <c r="AV915" i="1"/>
  <c r="AV916" i="1"/>
  <c r="AV918" i="1"/>
  <c r="AV919" i="1"/>
  <c r="AV922" i="1"/>
  <c r="AV924" i="1"/>
  <c r="AV928" i="1"/>
  <c r="AV929" i="1"/>
  <c r="AV930" i="1"/>
  <c r="AV931" i="1"/>
  <c r="AV932" i="1"/>
  <c r="AV320" i="1"/>
  <c r="AV323" i="1"/>
  <c r="AV338" i="1"/>
  <c r="AV339" i="1"/>
  <c r="AV342" i="1"/>
  <c r="AV350" i="1"/>
  <c r="AV352" i="1"/>
  <c r="AV355" i="1"/>
  <c r="AV369" i="1"/>
  <c r="AV372" i="1"/>
  <c r="AV373" i="1"/>
  <c r="AV375" i="1"/>
  <c r="AV382" i="1"/>
  <c r="AV386" i="1"/>
  <c r="AV390" i="1"/>
  <c r="AV394" i="1"/>
  <c r="AV396" i="1"/>
  <c r="AV404" i="1"/>
  <c r="AV405" i="1"/>
  <c r="AV406" i="1"/>
  <c r="AV407" i="1"/>
  <c r="AV409" i="1"/>
  <c r="AV412" i="1"/>
  <c r="AV414" i="1"/>
  <c r="AV417" i="1"/>
  <c r="AV425" i="1"/>
  <c r="AV426" i="1"/>
  <c r="AV427" i="1"/>
  <c r="AV428" i="1"/>
  <c r="AV432" i="1"/>
  <c r="AV433" i="1"/>
  <c r="AV434" i="1"/>
  <c r="AV435" i="1"/>
  <c r="AV436" i="1"/>
  <c r="AV439" i="1"/>
  <c r="AV445" i="1"/>
  <c r="AV447" i="1"/>
  <c r="AV450" i="1"/>
  <c r="AV453" i="1"/>
  <c r="AV458" i="1"/>
  <c r="AV459" i="1"/>
  <c r="AV461" i="1"/>
  <c r="AV462" i="1"/>
  <c r="AV467" i="1"/>
  <c r="AV468" i="1"/>
  <c r="AV469" i="1"/>
  <c r="AV471" i="1"/>
  <c r="AV473" i="1"/>
  <c r="AV474" i="1"/>
  <c r="AV480" i="1"/>
  <c r="AV481" i="1"/>
  <c r="AV484" i="1"/>
  <c r="AV490" i="1"/>
  <c r="AV497" i="1"/>
  <c r="AV503" i="1"/>
  <c r="AV504" i="1"/>
  <c r="AV505" i="1"/>
  <c r="AV506" i="1"/>
  <c r="AV507" i="1"/>
  <c r="AV508" i="1"/>
  <c r="AV509" i="1"/>
  <c r="AV510" i="1"/>
  <c r="AV512" i="1"/>
  <c r="AV513" i="1"/>
  <c r="AV514" i="1"/>
  <c r="AV515" i="1"/>
  <c r="AV516" i="1"/>
  <c r="AV517" i="1"/>
  <c r="AV518" i="1"/>
  <c r="AV519" i="1"/>
  <c r="AV520" i="1"/>
  <c r="AV522" i="1"/>
  <c r="AV524" i="1"/>
  <c r="AV525" i="1"/>
  <c r="AV526" i="1"/>
  <c r="AV527" i="1"/>
  <c r="AV530" i="1"/>
  <c r="AV531" i="1"/>
  <c r="AV533" i="1"/>
  <c r="AV535" i="1"/>
  <c r="AV536" i="1"/>
  <c r="AV537" i="1"/>
  <c r="AV538" i="1"/>
  <c r="AV539" i="1"/>
  <c r="AV540" i="1"/>
  <c r="AV542" i="1"/>
  <c r="AV543" i="1"/>
  <c r="AV544" i="1"/>
  <c r="AV545" i="1"/>
  <c r="AV546" i="1"/>
  <c r="AV547" i="1"/>
  <c r="AV549" i="1"/>
  <c r="AV550" i="1"/>
  <c r="AV552" i="1"/>
  <c r="AV553" i="1"/>
  <c r="AV554" i="1"/>
  <c r="AV556" i="1"/>
  <c r="AV557" i="1"/>
  <c r="AV558" i="1"/>
  <c r="AV559" i="1"/>
  <c r="AV562" i="1"/>
  <c r="AV564" i="1"/>
  <c r="AV565" i="1"/>
  <c r="AV566" i="1"/>
  <c r="AV568" i="1"/>
  <c r="AV569" i="1"/>
  <c r="AV570" i="1"/>
  <c r="AV572" i="1"/>
  <c r="AV573" i="1"/>
  <c r="AV574" i="1"/>
  <c r="AV576" i="1"/>
  <c r="AV577" i="1"/>
  <c r="AV578" i="1"/>
  <c r="AV579" i="1"/>
  <c r="AV580" i="1"/>
  <c r="AV581" i="1"/>
  <c r="AV582" i="1"/>
  <c r="AV584" i="1"/>
  <c r="AV585" i="1"/>
  <c r="AV586" i="1"/>
  <c r="AV588" i="1"/>
  <c r="AV591" i="1"/>
  <c r="AV592" i="1"/>
  <c r="AV593" i="1"/>
  <c r="AV594" i="1"/>
  <c r="AV596" i="1"/>
  <c r="AV597" i="1"/>
  <c r="AV598" i="1"/>
  <c r="AV600" i="1"/>
  <c r="AV601" i="1"/>
  <c r="AV602" i="1"/>
  <c r="AV603" i="1"/>
  <c r="AV604" i="1"/>
  <c r="AV606" i="1"/>
  <c r="AV609" i="1"/>
  <c r="AV610" i="1"/>
  <c r="AV612" i="1"/>
  <c r="AV614" i="1"/>
  <c r="AV615" i="1"/>
  <c r="AV616" i="1"/>
  <c r="AV617" i="1"/>
  <c r="AV618" i="1"/>
  <c r="AV619" i="1"/>
  <c r="AV620" i="1"/>
  <c r="AV621" i="1"/>
  <c r="AV622" i="1"/>
  <c r="AV623" i="1"/>
  <c r="AV624" i="1"/>
  <c r="AV625" i="1"/>
  <c r="AV626" i="1"/>
  <c r="AV627" i="1"/>
  <c r="AV628" i="1"/>
  <c r="AV632" i="1"/>
  <c r="AV633" i="1"/>
  <c r="AV634" i="1"/>
  <c r="AV635" i="1"/>
  <c r="AV636" i="1"/>
  <c r="AV637" i="1"/>
  <c r="AV638" i="1"/>
  <c r="AV639" i="1"/>
  <c r="AV640" i="1"/>
  <c r="AV641" i="1"/>
  <c r="AV642" i="1"/>
  <c r="AV643" i="1"/>
  <c r="AV644" i="1"/>
  <c r="AV645" i="1"/>
  <c r="AV646" i="1"/>
  <c r="AV647" i="1"/>
  <c r="AV648" i="1"/>
  <c r="AV650" i="1"/>
  <c r="AV652" i="1"/>
  <c r="AV654" i="1"/>
  <c r="AV655" i="1"/>
  <c r="AV658" i="1"/>
  <c r="AV661" i="1"/>
  <c r="AV662" i="1"/>
  <c r="AV663" i="1"/>
  <c r="AV664" i="1"/>
  <c r="AV665" i="1"/>
  <c r="AV666" i="1"/>
  <c r="AV667" i="1"/>
  <c r="AV668" i="1"/>
  <c r="AV669" i="1"/>
  <c r="AV670" i="1"/>
  <c r="AV671" i="1"/>
  <c r="AV672" i="1"/>
  <c r="AV673" i="1"/>
  <c r="AV674" i="1"/>
  <c r="AV676" i="1"/>
  <c r="AV679" i="1"/>
  <c r="AV680" i="1"/>
  <c r="AV682" i="1"/>
  <c r="AV683" i="1"/>
  <c r="AV684" i="1"/>
  <c r="AV685" i="1"/>
  <c r="AV688" i="1"/>
  <c r="AV689" i="1"/>
  <c r="AV690" i="1"/>
  <c r="AV691" i="1"/>
  <c r="AV692" i="1"/>
  <c r="AV693" i="1"/>
  <c r="AV695" i="1"/>
  <c r="AV696" i="1"/>
  <c r="AV697" i="1"/>
  <c r="AV700" i="1"/>
  <c r="AV701" i="1"/>
  <c r="AV702" i="1"/>
  <c r="AV703" i="1"/>
  <c r="AV705" i="1"/>
  <c r="AV706" i="1"/>
  <c r="AV707" i="1"/>
  <c r="AV708" i="1"/>
  <c r="AV712" i="1"/>
  <c r="AV713" i="1"/>
  <c r="AV714" i="1"/>
  <c r="AV715" i="1"/>
  <c r="AV716" i="1"/>
  <c r="AV717" i="1"/>
  <c r="AV718" i="1"/>
  <c r="AV720" i="1"/>
  <c r="AV722" i="1"/>
  <c r="AV723" i="1"/>
  <c r="AV724" i="1"/>
  <c r="AV726" i="1"/>
  <c r="AV728" i="1"/>
  <c r="AV729" i="1"/>
  <c r="AV730" i="1"/>
  <c r="AV733" i="1"/>
  <c r="AV734" i="1"/>
  <c r="AV735" i="1"/>
  <c r="AV736" i="1"/>
  <c r="AV737" i="1"/>
  <c r="AV738" i="1"/>
  <c r="AV739" i="1"/>
  <c r="AV740" i="1"/>
  <c r="AV741" i="1"/>
  <c r="AV742" i="1"/>
  <c r="AV744" i="1"/>
  <c r="AV745" i="1"/>
  <c r="AV747" i="1"/>
  <c r="AV749" i="1"/>
  <c r="AV750" i="1"/>
  <c r="AV751" i="1"/>
  <c r="AV752" i="1"/>
  <c r="AV754" i="1"/>
  <c r="AV755" i="1"/>
  <c r="AV756" i="1"/>
  <c r="AV758" i="1"/>
  <c r="AV760" i="1"/>
  <c r="AV761" i="1"/>
  <c r="AV762" i="1"/>
  <c r="AV764" i="1"/>
  <c r="AV767" i="1"/>
  <c r="AV768" i="1"/>
  <c r="AV769" i="1"/>
  <c r="AV770" i="1"/>
  <c r="AV771" i="1"/>
  <c r="AV772" i="1"/>
  <c r="AV773" i="1"/>
  <c r="AV774" i="1"/>
  <c r="AV775" i="1"/>
  <c r="AV776" i="1"/>
  <c r="AV777" i="1"/>
  <c r="AV778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229" i="1"/>
  <c r="AV230" i="1"/>
  <c r="AV231" i="1"/>
  <c r="AV232" i="1"/>
  <c r="AV233" i="1"/>
  <c r="AV234" i="1"/>
  <c r="AV235" i="1"/>
  <c r="AV236" i="1"/>
  <c r="AV237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1" i="1"/>
  <c r="AV252" i="1"/>
  <c r="AV253" i="1"/>
  <c r="AV254" i="1"/>
  <c r="AV255" i="1"/>
  <c r="AV256" i="1"/>
  <c r="AV257" i="1"/>
  <c r="AV258" i="1"/>
  <c r="AV259" i="1"/>
  <c r="AV260" i="1"/>
  <c r="AV261" i="1"/>
  <c r="AV262" i="1"/>
  <c r="AV263" i="1"/>
  <c r="AV264" i="1"/>
  <c r="AV265" i="1"/>
  <c r="AV266" i="1"/>
  <c r="AV267" i="1"/>
  <c r="AV268" i="1"/>
  <c r="AV269" i="1"/>
  <c r="AV270" i="1"/>
  <c r="AV271" i="1"/>
  <c r="AV272" i="1"/>
  <c r="AV273" i="1"/>
  <c r="AV274" i="1"/>
  <c r="AV275" i="1"/>
  <c r="AV276" i="1"/>
  <c r="AV277" i="1"/>
  <c r="AV278" i="1"/>
  <c r="AV279" i="1"/>
  <c r="AV280" i="1"/>
  <c r="AV281" i="1"/>
  <c r="AV282" i="1"/>
  <c r="AV283" i="1"/>
  <c r="AV284" i="1"/>
  <c r="AV285" i="1"/>
  <c r="AV286" i="1"/>
  <c r="AV287" i="1"/>
  <c r="AV288" i="1"/>
  <c r="AV289" i="1"/>
  <c r="AV290" i="1"/>
  <c r="AV291" i="1"/>
  <c r="AV292" i="1"/>
  <c r="AV293" i="1"/>
  <c r="AV294" i="1"/>
  <c r="AV295" i="1"/>
  <c r="AV296" i="1"/>
  <c r="AV297" i="1"/>
  <c r="AV298" i="1"/>
  <c r="AV299" i="1"/>
  <c r="AV300" i="1"/>
  <c r="AV301" i="1"/>
  <c r="AV302" i="1"/>
  <c r="AV303" i="1"/>
  <c r="AV304" i="1"/>
  <c r="AV305" i="1"/>
  <c r="AV306" i="1"/>
  <c r="AV307" i="1"/>
  <c r="AV308" i="1"/>
  <c r="AV309" i="1"/>
  <c r="AV310" i="1"/>
  <c r="AV311" i="1"/>
  <c r="AV312" i="1"/>
  <c r="AV313" i="1"/>
  <c r="AV314" i="1"/>
  <c r="AV315" i="1"/>
  <c r="AV316" i="1"/>
  <c r="AV317" i="1"/>
  <c r="AV318" i="1"/>
  <c r="AV319" i="1"/>
  <c r="AV321" i="1"/>
  <c r="AV322" i="1"/>
  <c r="AV324" i="1"/>
  <c r="AV325" i="1"/>
  <c r="AV326" i="1"/>
  <c r="AV327" i="1"/>
  <c r="AV328" i="1"/>
  <c r="AV329" i="1"/>
  <c r="AV330" i="1"/>
  <c r="AV331" i="1"/>
  <c r="AV332" i="1"/>
  <c r="AV333" i="1"/>
  <c r="AV334" i="1"/>
  <c r="AV335" i="1"/>
  <c r="AV336" i="1"/>
  <c r="AV337" i="1"/>
  <c r="AV340" i="1"/>
  <c r="AV341" i="1"/>
  <c r="AV343" i="1"/>
  <c r="AV344" i="1"/>
  <c r="AV345" i="1"/>
  <c r="AV346" i="1"/>
  <c r="AV347" i="1"/>
  <c r="AV348" i="1"/>
  <c r="AV349" i="1"/>
  <c r="AV351" i="1"/>
  <c r="AV353" i="1"/>
  <c r="AV354" i="1"/>
  <c r="AV356" i="1"/>
  <c r="AV357" i="1"/>
  <c r="AV358" i="1"/>
  <c r="AV359" i="1"/>
  <c r="AV360" i="1"/>
  <c r="AV361" i="1"/>
  <c r="AV362" i="1"/>
  <c r="AV363" i="1"/>
  <c r="AV364" i="1"/>
  <c r="AV365" i="1"/>
  <c r="AV366" i="1"/>
  <c r="AV367" i="1"/>
  <c r="AV368" i="1"/>
  <c r="AV370" i="1"/>
  <c r="AV371" i="1"/>
  <c r="AV374" i="1"/>
  <c r="AV376" i="1"/>
  <c r="AV377" i="1"/>
  <c r="AV378" i="1"/>
  <c r="AV379" i="1"/>
  <c r="AV380" i="1"/>
  <c r="AV381" i="1"/>
  <c r="AV383" i="1"/>
  <c r="AV384" i="1"/>
  <c r="AV385" i="1"/>
  <c r="AV387" i="1"/>
  <c r="AV388" i="1"/>
  <c r="AV389" i="1"/>
  <c r="AV391" i="1"/>
  <c r="AV392" i="1"/>
  <c r="AV393" i="1"/>
  <c r="AV395" i="1"/>
  <c r="AV397" i="1"/>
  <c r="AV398" i="1"/>
  <c r="AV399" i="1"/>
  <c r="AV400" i="1"/>
  <c r="AV401" i="1"/>
  <c r="AV402" i="1"/>
  <c r="AV403" i="1"/>
  <c r="AV408" i="1"/>
  <c r="AV410" i="1"/>
  <c r="AV411" i="1"/>
  <c r="AV413" i="1"/>
  <c r="AV415" i="1"/>
  <c r="AV416" i="1"/>
  <c r="AV418" i="1"/>
  <c r="AV419" i="1"/>
  <c r="AV420" i="1"/>
  <c r="AV421" i="1"/>
  <c r="AV422" i="1"/>
  <c r="AV423" i="1"/>
  <c r="AV424" i="1"/>
  <c r="AV429" i="1"/>
  <c r="AV430" i="1"/>
  <c r="AV431" i="1"/>
  <c r="AV437" i="1"/>
  <c r="AV438" i="1"/>
  <c r="AV440" i="1"/>
  <c r="AV441" i="1"/>
  <c r="AV442" i="1"/>
  <c r="AV443" i="1"/>
  <c r="AV444" i="1"/>
  <c r="AV446" i="1"/>
  <c r="AV448" i="1"/>
  <c r="AV449" i="1"/>
  <c r="AV451" i="1"/>
  <c r="AV452" i="1"/>
  <c r="AV454" i="1"/>
  <c r="AV455" i="1"/>
  <c r="AV456" i="1"/>
  <c r="AV457" i="1"/>
  <c r="AV460" i="1"/>
  <c r="AV463" i="1"/>
  <c r="AV464" i="1"/>
  <c r="AV465" i="1"/>
  <c r="AV466" i="1"/>
  <c r="AV470" i="1"/>
  <c r="AV472" i="1"/>
  <c r="AV475" i="1"/>
  <c r="AV476" i="1"/>
  <c r="AV477" i="1"/>
  <c r="AV478" i="1"/>
  <c r="AV479" i="1"/>
  <c r="AV482" i="1"/>
  <c r="AV483" i="1"/>
  <c r="AV485" i="1"/>
  <c r="AV486" i="1"/>
  <c r="AV487" i="1"/>
  <c r="AV488" i="1"/>
  <c r="AV489" i="1"/>
  <c r="AV491" i="1"/>
  <c r="AV492" i="1"/>
  <c r="AV493" i="1"/>
  <c r="AV494" i="1"/>
  <c r="AV495" i="1"/>
  <c r="AV496" i="1"/>
  <c r="AV498" i="1"/>
  <c r="AV499" i="1"/>
  <c r="AV500" i="1"/>
  <c r="AV501" i="1"/>
  <c r="AV502" i="1"/>
  <c r="AV511" i="1"/>
  <c r="AV521" i="1"/>
  <c r="AV523" i="1"/>
  <c r="AV528" i="1"/>
  <c r="AV529" i="1"/>
  <c r="AV532" i="1"/>
  <c r="AV534" i="1"/>
  <c r="AV541" i="1"/>
  <c r="AV548" i="1"/>
  <c r="AV551" i="1"/>
  <c r="AV555" i="1"/>
  <c r="AV560" i="1"/>
  <c r="AV561" i="1"/>
  <c r="AV563" i="1"/>
  <c r="AV567" i="1"/>
  <c r="AV571" i="1"/>
  <c r="AV575" i="1"/>
  <c r="AV583" i="1"/>
  <c r="AV587" i="1"/>
  <c r="AV589" i="1"/>
  <c r="AV590" i="1"/>
  <c r="AV595" i="1"/>
  <c r="AV599" i="1"/>
  <c r="AV605" i="1"/>
  <c r="AV607" i="1"/>
  <c r="AV608" i="1"/>
  <c r="AV611" i="1"/>
  <c r="AV613" i="1"/>
  <c r="AV629" i="1"/>
  <c r="AV630" i="1"/>
  <c r="AV631" i="1"/>
  <c r="AV649" i="1"/>
  <c r="AV651" i="1"/>
  <c r="AV653" i="1"/>
  <c r="AV656" i="1"/>
  <c r="AV657" i="1"/>
  <c r="AV659" i="1"/>
  <c r="AV660" i="1"/>
  <c r="AV675" i="1"/>
  <c r="AV677" i="1"/>
  <c r="AV678" i="1"/>
  <c r="AV681" i="1"/>
  <c r="AV686" i="1"/>
  <c r="AV687" i="1"/>
  <c r="AV694" i="1"/>
  <c r="AV698" i="1"/>
  <c r="AV699" i="1"/>
  <c r="AV704" i="1"/>
  <c r="AV709" i="1"/>
  <c r="AV710" i="1"/>
  <c r="AV711" i="1"/>
  <c r="AV719" i="1"/>
  <c r="AV721" i="1"/>
  <c r="AV725" i="1"/>
  <c r="AV727" i="1"/>
  <c r="AV731" i="1"/>
  <c r="AV732" i="1"/>
  <c r="AV743" i="1"/>
  <c r="AV746" i="1"/>
  <c r="AV748" i="1"/>
  <c r="AV753" i="1"/>
  <c r="AV757" i="1"/>
  <c r="AV759" i="1"/>
  <c r="AV763" i="1"/>
  <c r="AV765" i="1"/>
  <c r="AV766" i="1"/>
  <c r="AV788" i="1"/>
  <c r="AV791" i="1"/>
  <c r="AV794" i="1"/>
  <c r="AV796" i="1"/>
  <c r="AV800" i="1"/>
  <c r="AV804" i="1"/>
  <c r="AV807" i="1"/>
  <c r="AV810" i="1"/>
  <c r="AV811" i="1"/>
  <c r="AV816" i="1"/>
  <c r="AV822" i="1"/>
  <c r="AV828" i="1"/>
  <c r="AV830" i="1"/>
  <c r="AV839" i="1"/>
  <c r="AV840" i="1"/>
  <c r="AV842" i="1"/>
  <c r="AV856" i="1"/>
  <c r="AV865" i="1"/>
  <c r="AV870" i="1"/>
  <c r="AV872" i="1"/>
  <c r="AV875" i="1"/>
  <c r="AV876" i="1"/>
  <c r="AV879" i="1"/>
  <c r="AV890" i="1"/>
  <c r="AV894" i="1"/>
  <c r="AV899" i="1"/>
  <c r="AV907" i="1"/>
  <c r="AV908" i="1"/>
  <c r="AV910" i="1"/>
  <c r="AV911" i="1"/>
  <c r="AV917" i="1"/>
  <c r="AV920" i="1"/>
  <c r="AV921" i="1"/>
  <c r="AV923" i="1"/>
  <c r="AV925" i="1"/>
  <c r="AV926" i="1"/>
  <c r="AV927" i="1"/>
  <c r="AV933" i="1"/>
  <c r="AV2" i="1"/>
  <c r="AY5" i="1"/>
  <c r="AY8" i="1"/>
  <c r="AN84" i="1"/>
  <c r="AX84" i="1" s="1"/>
  <c r="AN85" i="1"/>
  <c r="AX85" i="1" s="1"/>
  <c r="AN558" i="1"/>
  <c r="AX558" i="1" s="1"/>
  <c r="AN559" i="1"/>
  <c r="AX559" i="1" s="1"/>
  <c r="AN560" i="1"/>
  <c r="AX560" i="1" s="1"/>
  <c r="AN561" i="1"/>
  <c r="AX561" i="1" s="1"/>
  <c r="AN87" i="1"/>
  <c r="AX87" i="1" s="1"/>
  <c r="AN562" i="1"/>
  <c r="AX562" i="1" s="1"/>
  <c r="AN88" i="1"/>
  <c r="AX88" i="1" s="1"/>
  <c r="AN89" i="1"/>
  <c r="AX89" i="1" s="1"/>
  <c r="AN90" i="1"/>
  <c r="AX90" i="1" s="1"/>
  <c r="AN92" i="1"/>
  <c r="AX92" i="1" s="1"/>
  <c r="AN93" i="1"/>
  <c r="AX93" i="1" s="1"/>
  <c r="AN563" i="1"/>
  <c r="AX563" i="1" s="1"/>
  <c r="AN564" i="1"/>
  <c r="AX564" i="1" s="1"/>
  <c r="AN94" i="1"/>
  <c r="AX94" i="1" s="1"/>
  <c r="AN565" i="1"/>
  <c r="AX565" i="1" s="1"/>
  <c r="AN95" i="1"/>
  <c r="AX95" i="1" s="1"/>
  <c r="AN96" i="1"/>
  <c r="AX96" i="1" s="1"/>
  <c r="AN97" i="1"/>
  <c r="AX97" i="1" s="1"/>
  <c r="AN98" i="1"/>
  <c r="AX98" i="1" s="1"/>
  <c r="AN566" i="1"/>
  <c r="AX566" i="1" s="1"/>
  <c r="AN99" i="1"/>
  <c r="AX99" i="1" s="1"/>
  <c r="AN567" i="1"/>
  <c r="AX567" i="1" s="1"/>
  <c r="AN568" i="1"/>
  <c r="AX568" i="1" s="1"/>
  <c r="AN100" i="1"/>
  <c r="AX100" i="1" s="1"/>
  <c r="AN101" i="1"/>
  <c r="AX101" i="1" s="1"/>
  <c r="AN569" i="1"/>
  <c r="AX569" i="1" s="1"/>
  <c r="AN570" i="1"/>
  <c r="AX570" i="1" s="1"/>
  <c r="AN571" i="1"/>
  <c r="AX571" i="1" s="1"/>
  <c r="AN102" i="1"/>
  <c r="AX102" i="1" s="1"/>
  <c r="AN572" i="1"/>
  <c r="AX572" i="1" s="1"/>
  <c r="AN573" i="1"/>
  <c r="AX573" i="1" s="1"/>
  <c r="AN103" i="1"/>
  <c r="AX103" i="1" s="1"/>
  <c r="AN574" i="1"/>
  <c r="AX574" i="1" s="1"/>
  <c r="AN575" i="1"/>
  <c r="AX575" i="1" s="1"/>
  <c r="AN576" i="1"/>
  <c r="AX576" i="1" s="1"/>
  <c r="AN577" i="1"/>
  <c r="AX577" i="1" s="1"/>
  <c r="AN578" i="1"/>
  <c r="AX578" i="1" s="1"/>
  <c r="AN580" i="1"/>
  <c r="AX580" i="1" s="1"/>
  <c r="AN581" i="1"/>
  <c r="AX581" i="1" s="1"/>
  <c r="AN104" i="1"/>
  <c r="AX104" i="1" s="1"/>
  <c r="AN582" i="1"/>
  <c r="AX582" i="1" s="1"/>
  <c r="AN105" i="1"/>
  <c r="AX105" i="1" s="1"/>
  <c r="AN583" i="1"/>
  <c r="AX583" i="1" s="1"/>
  <c r="AN106" i="1"/>
  <c r="AX106" i="1" s="1"/>
  <c r="AN107" i="1"/>
  <c r="AX107" i="1" s="1"/>
  <c r="AN108" i="1"/>
  <c r="AX108" i="1" s="1"/>
  <c r="AN109" i="1"/>
  <c r="AX109" i="1" s="1"/>
  <c r="AN584" i="1"/>
  <c r="AX584" i="1" s="1"/>
  <c r="AN110" i="1"/>
  <c r="AX110" i="1" s="1"/>
  <c r="AN585" i="1"/>
  <c r="AX585" i="1" s="1"/>
  <c r="AN111" i="1"/>
  <c r="AX111" i="1" s="1"/>
  <c r="AN112" i="1"/>
  <c r="AX112" i="1" s="1"/>
  <c r="AN113" i="1"/>
  <c r="AX113" i="1" s="1"/>
  <c r="AN586" i="1"/>
  <c r="AX586" i="1" s="1"/>
  <c r="AN587" i="1"/>
  <c r="AX587" i="1" s="1"/>
  <c r="AN588" i="1"/>
  <c r="AX588" i="1" s="1"/>
  <c r="AN589" i="1"/>
  <c r="AX589" i="1" s="1"/>
  <c r="AN114" i="1"/>
  <c r="AX114" i="1" s="1"/>
  <c r="AN115" i="1"/>
  <c r="AX115" i="1" s="1"/>
  <c r="AN116" i="1"/>
  <c r="AX116" i="1" s="1"/>
  <c r="AN590" i="1"/>
  <c r="AX590" i="1" s="1"/>
  <c r="AN591" i="1"/>
  <c r="AX591" i="1" s="1"/>
  <c r="AN117" i="1"/>
  <c r="AX117" i="1" s="1"/>
  <c r="AN592" i="1"/>
  <c r="AX592" i="1" s="1"/>
  <c r="AN118" i="1"/>
  <c r="AX118" i="1" s="1"/>
  <c r="AN119" i="1"/>
  <c r="AX119" i="1" s="1"/>
  <c r="AN593" i="1"/>
  <c r="AX593" i="1" s="1"/>
  <c r="AN594" i="1"/>
  <c r="AX594" i="1" s="1"/>
  <c r="AN595" i="1"/>
  <c r="AX595" i="1" s="1"/>
  <c r="AN120" i="1"/>
  <c r="AX120" i="1" s="1"/>
  <c r="AN596" i="1"/>
  <c r="AX596" i="1" s="1"/>
  <c r="AN597" i="1"/>
  <c r="AX597" i="1" s="1"/>
  <c r="AN598" i="1"/>
  <c r="AX598" i="1" s="1"/>
  <c r="AN121" i="1"/>
  <c r="AX121" i="1" s="1"/>
  <c r="AN599" i="1"/>
  <c r="AX599" i="1" s="1"/>
  <c r="AN600" i="1"/>
  <c r="AX600" i="1" s="1"/>
  <c r="AN122" i="1"/>
  <c r="AX122" i="1" s="1"/>
  <c r="AN123" i="1"/>
  <c r="AX123" i="1" s="1"/>
  <c r="AN124" i="1"/>
  <c r="AX124" i="1" s="1"/>
  <c r="AN125" i="1"/>
  <c r="AX125" i="1" s="1"/>
  <c r="AN126" i="1"/>
  <c r="AX126" i="1" s="1"/>
  <c r="AN127" i="1"/>
  <c r="AX127" i="1" s="1"/>
  <c r="AN601" i="1"/>
  <c r="AX601" i="1" s="1"/>
  <c r="AN602" i="1"/>
  <c r="AX602" i="1" s="1"/>
  <c r="AN603" i="1"/>
  <c r="AX603" i="1" s="1"/>
  <c r="AN2" i="1"/>
  <c r="AX2" i="1" s="1"/>
  <c r="AN3" i="1"/>
  <c r="AX3" i="1" s="1"/>
  <c r="AN4" i="1"/>
  <c r="AX4" i="1" s="1"/>
  <c r="AN5" i="1"/>
  <c r="AX5" i="1" s="1"/>
  <c r="AN503" i="1"/>
  <c r="AX503" i="1" s="1"/>
  <c r="AN6" i="1"/>
  <c r="AX6" i="1" s="1"/>
  <c r="AN504" i="1"/>
  <c r="AX504" i="1" s="1"/>
  <c r="AN506" i="1"/>
  <c r="AX506" i="1" s="1"/>
  <c r="AN7" i="1"/>
  <c r="AX7" i="1" s="1"/>
  <c r="AN507" i="1"/>
  <c r="AX507" i="1" s="1"/>
  <c r="AN508" i="1"/>
  <c r="AX508" i="1" s="1"/>
  <c r="AN8" i="1"/>
  <c r="AX8" i="1" s="1"/>
  <c r="AN9" i="1"/>
  <c r="AX9" i="1" s="1"/>
  <c r="AN509" i="1"/>
  <c r="AX509" i="1" s="1"/>
  <c r="AN10" i="1"/>
  <c r="AX10" i="1" s="1"/>
  <c r="AN11" i="1"/>
  <c r="AX11" i="1" s="1"/>
  <c r="AN12" i="1"/>
  <c r="AX12" i="1" s="1"/>
  <c r="AN13" i="1"/>
  <c r="AX13" i="1" s="1"/>
  <c r="AN510" i="1"/>
  <c r="AX510" i="1" s="1"/>
  <c r="AN14" i="1"/>
  <c r="AX14" i="1" s="1"/>
  <c r="AN511" i="1"/>
  <c r="AX511" i="1" s="1"/>
  <c r="AN512" i="1"/>
  <c r="AX512" i="1" s="1"/>
  <c r="AN513" i="1"/>
  <c r="AX513" i="1" s="1"/>
  <c r="AN514" i="1"/>
  <c r="AX514" i="1" s="1"/>
  <c r="AN15" i="1"/>
  <c r="AX15" i="1" s="1"/>
  <c r="AN16" i="1"/>
  <c r="AX16" i="1" s="1"/>
  <c r="AN17" i="1"/>
  <c r="AX17" i="1" s="1"/>
  <c r="AN515" i="1"/>
  <c r="AX515" i="1" s="1"/>
  <c r="AN18" i="1"/>
  <c r="AX18" i="1" s="1"/>
  <c r="AN516" i="1"/>
  <c r="AX516" i="1" s="1"/>
  <c r="AN19" i="1"/>
  <c r="AX19" i="1" s="1"/>
  <c r="AN517" i="1"/>
  <c r="AX517" i="1" s="1"/>
  <c r="AN20" i="1"/>
  <c r="AX20" i="1" s="1"/>
  <c r="AN21" i="1"/>
  <c r="AX21" i="1" s="1"/>
  <c r="AN518" i="1"/>
  <c r="AX518" i="1" s="1"/>
  <c r="AN22" i="1"/>
  <c r="AX22" i="1" s="1"/>
  <c r="AN23" i="1"/>
  <c r="AX23" i="1" s="1"/>
  <c r="AN519" i="1"/>
  <c r="AX519" i="1" s="1"/>
  <c r="AN24" i="1"/>
  <c r="AX24" i="1" s="1"/>
  <c r="AN25" i="1"/>
  <c r="AX25" i="1" s="1"/>
  <c r="AN26" i="1"/>
  <c r="AX26" i="1" s="1"/>
  <c r="AN27" i="1"/>
  <c r="AX27" i="1" s="1"/>
  <c r="AN520" i="1"/>
  <c r="AX520" i="1" s="1"/>
  <c r="AN28" i="1"/>
  <c r="AX28" i="1" s="1"/>
  <c r="AN29" i="1"/>
  <c r="AX29" i="1" s="1"/>
  <c r="AN30" i="1"/>
  <c r="AX30" i="1" s="1"/>
  <c r="AN31" i="1"/>
  <c r="AX31" i="1" s="1"/>
  <c r="AN32" i="1"/>
  <c r="AX32" i="1" s="1"/>
  <c r="AN521" i="1"/>
  <c r="AX521" i="1" s="1"/>
  <c r="AN33" i="1"/>
  <c r="AX33" i="1" s="1"/>
  <c r="AN522" i="1"/>
  <c r="AX522" i="1" s="1"/>
  <c r="AN34" i="1"/>
  <c r="AX34" i="1" s="1"/>
  <c r="AN35" i="1"/>
  <c r="AX35" i="1" s="1"/>
  <c r="AN523" i="1"/>
  <c r="AX523" i="1" s="1"/>
  <c r="AN524" i="1"/>
  <c r="AX524" i="1" s="1"/>
  <c r="AN525" i="1"/>
  <c r="AX525" i="1" s="1"/>
  <c r="AN526" i="1"/>
  <c r="AX526" i="1" s="1"/>
  <c r="AN36" i="1"/>
  <c r="AX36" i="1" s="1"/>
  <c r="AN37" i="1"/>
  <c r="AX37" i="1" s="1"/>
  <c r="AN38" i="1"/>
  <c r="AX38" i="1" s="1"/>
  <c r="AN39" i="1"/>
  <c r="AX39" i="1" s="1"/>
  <c r="AN40" i="1"/>
  <c r="AX40" i="1" s="1"/>
  <c r="AN41" i="1"/>
  <c r="AX41" i="1" s="1"/>
  <c r="AN42" i="1"/>
  <c r="AX42" i="1" s="1"/>
  <c r="AN43" i="1"/>
  <c r="AX43" i="1" s="1"/>
  <c r="AN44" i="1"/>
  <c r="AX44" i="1" s="1"/>
  <c r="AN527" i="1"/>
  <c r="AX527" i="1" s="1"/>
  <c r="AN528" i="1"/>
  <c r="AX528" i="1" s="1"/>
  <c r="AN45" i="1"/>
  <c r="AX45" i="1" s="1"/>
  <c r="AN46" i="1"/>
  <c r="AX46" i="1" s="1"/>
  <c r="AN529" i="1"/>
  <c r="AX529" i="1" s="1"/>
  <c r="AN530" i="1"/>
  <c r="AX530" i="1" s="1"/>
  <c r="AN47" i="1"/>
  <c r="AX47" i="1" s="1"/>
  <c r="AN531" i="1"/>
  <c r="AX531" i="1" s="1"/>
  <c r="AN532" i="1"/>
  <c r="AX532" i="1" s="1"/>
  <c r="AN533" i="1"/>
  <c r="AX533" i="1" s="1"/>
  <c r="AN48" i="1"/>
  <c r="AX48" i="1" s="1"/>
  <c r="AN534" i="1"/>
  <c r="AX534" i="1" s="1"/>
  <c r="AN535" i="1"/>
  <c r="AX535" i="1" s="1"/>
  <c r="AN536" i="1"/>
  <c r="AX536" i="1" s="1"/>
  <c r="AN49" i="1"/>
  <c r="AX49" i="1" s="1"/>
  <c r="AN537" i="1"/>
  <c r="AX537" i="1" s="1"/>
  <c r="AN50" i="1"/>
  <c r="AX50" i="1" s="1"/>
  <c r="AN51" i="1"/>
  <c r="AX51" i="1" s="1"/>
  <c r="AN52" i="1"/>
  <c r="AX52" i="1" s="1"/>
  <c r="AN53" i="1"/>
  <c r="AX53" i="1" s="1"/>
  <c r="AN54" i="1"/>
  <c r="AX54" i="1" s="1"/>
  <c r="AN55" i="1"/>
  <c r="AX55" i="1" s="1"/>
  <c r="AN56" i="1"/>
  <c r="AX56" i="1" s="1"/>
  <c r="AN57" i="1"/>
  <c r="AX57" i="1" s="1"/>
  <c r="AN538" i="1"/>
  <c r="AX538" i="1" s="1"/>
  <c r="AN540" i="1"/>
  <c r="AX540" i="1" s="1"/>
  <c r="AN541" i="1"/>
  <c r="AX541" i="1" s="1"/>
  <c r="AN58" i="1"/>
  <c r="AX58" i="1" s="1"/>
  <c r="AN59" i="1"/>
  <c r="AX59" i="1" s="1"/>
  <c r="AN542" i="1"/>
  <c r="AX542" i="1" s="1"/>
  <c r="AN60" i="1"/>
  <c r="AX60" i="1" s="1"/>
  <c r="AN543" i="1"/>
  <c r="AX543" i="1" s="1"/>
  <c r="AN61" i="1"/>
  <c r="AX61" i="1" s="1"/>
  <c r="AN544" i="1"/>
  <c r="AX544" i="1" s="1"/>
  <c r="AN545" i="1"/>
  <c r="AX545" i="1" s="1"/>
  <c r="AN62" i="1"/>
  <c r="AX62" i="1" s="1"/>
  <c r="AN546" i="1"/>
  <c r="AX546" i="1" s="1"/>
  <c r="AN547" i="1"/>
  <c r="AX547" i="1" s="1"/>
  <c r="AN548" i="1"/>
  <c r="AX548" i="1" s="1"/>
  <c r="AN63" i="1"/>
  <c r="AX63" i="1" s="1"/>
  <c r="AN64" i="1"/>
  <c r="AX64" i="1" s="1"/>
  <c r="AN65" i="1"/>
  <c r="AX65" i="1" s="1"/>
  <c r="AN66" i="1"/>
  <c r="AX66" i="1" s="1"/>
  <c r="AN549" i="1"/>
  <c r="AX549" i="1" s="1"/>
  <c r="AN67" i="1"/>
  <c r="AX67" i="1" s="1"/>
  <c r="AN550" i="1"/>
  <c r="AX550" i="1" s="1"/>
  <c r="AN68" i="1"/>
  <c r="AX68" i="1" s="1"/>
  <c r="AN69" i="1"/>
  <c r="AX69" i="1" s="1"/>
  <c r="AN70" i="1"/>
  <c r="AX70" i="1" s="1"/>
  <c r="AN71" i="1"/>
  <c r="AX71" i="1" s="1"/>
  <c r="AN551" i="1"/>
  <c r="AX551" i="1" s="1"/>
  <c r="AN72" i="1"/>
  <c r="AX72" i="1" s="1"/>
  <c r="AN73" i="1"/>
  <c r="AX73" i="1" s="1"/>
  <c r="AN74" i="1"/>
  <c r="AX74" i="1" s="1"/>
  <c r="AN75" i="1"/>
  <c r="AX75" i="1" s="1"/>
  <c r="AN552" i="1"/>
  <c r="AX552" i="1" s="1"/>
  <c r="AN76" i="1"/>
  <c r="AX76" i="1" s="1"/>
  <c r="AN77" i="1"/>
  <c r="AX77" i="1" s="1"/>
  <c r="AN80" i="1"/>
  <c r="AX80" i="1" s="1"/>
  <c r="AN553" i="1"/>
  <c r="AX553" i="1" s="1"/>
  <c r="AN554" i="1"/>
  <c r="AX554" i="1" s="1"/>
  <c r="AN555" i="1"/>
  <c r="AX555" i="1" s="1"/>
  <c r="AN81" i="1"/>
  <c r="AX81" i="1" s="1"/>
  <c r="AN82" i="1"/>
  <c r="AX82" i="1" s="1"/>
  <c r="AN83" i="1"/>
  <c r="AX83" i="1" s="1"/>
  <c r="AN557" i="1"/>
  <c r="AX557" i="1" s="1"/>
  <c r="AN128" i="1"/>
  <c r="AX128" i="1" s="1"/>
  <c r="AN129" i="1"/>
  <c r="AX129" i="1" s="1"/>
  <c r="AN604" i="1"/>
  <c r="AX604" i="1" s="1"/>
  <c r="AN605" i="1"/>
  <c r="AX605" i="1" s="1"/>
  <c r="AN606" i="1"/>
  <c r="AX606" i="1" s="1"/>
  <c r="AN607" i="1"/>
  <c r="AX607" i="1" s="1"/>
  <c r="AN130" i="1"/>
  <c r="AX130" i="1" s="1"/>
  <c r="AN609" i="1"/>
  <c r="AX609" i="1" s="1"/>
  <c r="AN131" i="1"/>
  <c r="AX131" i="1" s="1"/>
  <c r="AN132" i="1"/>
  <c r="AX132" i="1" s="1"/>
  <c r="AN610" i="1"/>
  <c r="AX610" i="1" s="1"/>
  <c r="AN133" i="1"/>
  <c r="AX133" i="1" s="1"/>
  <c r="AN134" i="1"/>
  <c r="AX134" i="1" s="1"/>
  <c r="AN611" i="1"/>
  <c r="AX611" i="1" s="1"/>
  <c r="AN135" i="1"/>
  <c r="AX135" i="1" s="1"/>
  <c r="AN136" i="1"/>
  <c r="AX136" i="1" s="1"/>
  <c r="AN137" i="1"/>
  <c r="AX137" i="1" s="1"/>
  <c r="AN138" i="1"/>
  <c r="AX138" i="1" s="1"/>
  <c r="AN139" i="1"/>
  <c r="AX139" i="1" s="1"/>
  <c r="AN140" i="1"/>
  <c r="AX140" i="1" s="1"/>
  <c r="AN141" i="1"/>
  <c r="AX141" i="1" s="1"/>
  <c r="AN142" i="1"/>
  <c r="AX142" i="1" s="1"/>
  <c r="AN612" i="1"/>
  <c r="AX612" i="1" s="1"/>
  <c r="AN613" i="1"/>
  <c r="AX613" i="1" s="1"/>
  <c r="AN614" i="1"/>
  <c r="AX614" i="1" s="1"/>
  <c r="AN143" i="1"/>
  <c r="AX143" i="1" s="1"/>
  <c r="AN144" i="1"/>
  <c r="AX144" i="1" s="1"/>
  <c r="AN145" i="1"/>
  <c r="AX145" i="1" s="1"/>
  <c r="AN146" i="1"/>
  <c r="AX146" i="1" s="1"/>
  <c r="AN147" i="1"/>
  <c r="AX147" i="1" s="1"/>
  <c r="AN615" i="1"/>
  <c r="AX615" i="1" s="1"/>
  <c r="AN148" i="1"/>
  <c r="AX148" i="1" s="1"/>
  <c r="AN616" i="1"/>
  <c r="AX616" i="1" s="1"/>
  <c r="AN617" i="1"/>
  <c r="AX617" i="1" s="1"/>
  <c r="AN150" i="1"/>
  <c r="AX150" i="1" s="1"/>
  <c r="AN618" i="1"/>
  <c r="AX618" i="1" s="1"/>
  <c r="AN619" i="1"/>
  <c r="AX619" i="1" s="1"/>
  <c r="AN151" i="1"/>
  <c r="AX151" i="1" s="1"/>
  <c r="AN620" i="1"/>
  <c r="AX620" i="1" s="1"/>
  <c r="AN152" i="1"/>
  <c r="AX152" i="1" s="1"/>
  <c r="AN153" i="1"/>
  <c r="AX153" i="1" s="1"/>
  <c r="AN621" i="1"/>
  <c r="AX621" i="1" s="1"/>
  <c r="AN622" i="1"/>
  <c r="AX622" i="1" s="1"/>
  <c r="AN623" i="1"/>
  <c r="AX623" i="1" s="1"/>
  <c r="AN624" i="1"/>
  <c r="AX624" i="1" s="1"/>
  <c r="AN154" i="1"/>
  <c r="AX154" i="1" s="1"/>
  <c r="AN155" i="1"/>
  <c r="AX155" i="1" s="1"/>
  <c r="AN625" i="1"/>
  <c r="AX625" i="1" s="1"/>
  <c r="AN626" i="1"/>
  <c r="AX626" i="1" s="1"/>
  <c r="AN627" i="1"/>
  <c r="AX627" i="1" s="1"/>
  <c r="AN628" i="1"/>
  <c r="AX628" i="1" s="1"/>
  <c r="AN156" i="1"/>
  <c r="AX156" i="1" s="1"/>
  <c r="AN157" i="1"/>
  <c r="AX157" i="1" s="1"/>
  <c r="AN158" i="1"/>
  <c r="AX158" i="1" s="1"/>
  <c r="AN629" i="1"/>
  <c r="AX629" i="1" s="1"/>
  <c r="AN160" i="1"/>
  <c r="AX160" i="1" s="1"/>
  <c r="AN161" i="1"/>
  <c r="AX161" i="1" s="1"/>
  <c r="AN162" i="1"/>
  <c r="AX162" i="1" s="1"/>
  <c r="AN630" i="1"/>
  <c r="AX630" i="1" s="1"/>
  <c r="AN631" i="1"/>
  <c r="AX631" i="1" s="1"/>
  <c r="AN164" i="1"/>
  <c r="AX164" i="1" s="1"/>
  <c r="AN165" i="1"/>
  <c r="AX165" i="1" s="1"/>
  <c r="AN632" i="1"/>
  <c r="AX632" i="1" s="1"/>
  <c r="AN167" i="1"/>
  <c r="AX167" i="1" s="1"/>
  <c r="AN633" i="1"/>
  <c r="AX633" i="1" s="1"/>
  <c r="AN168" i="1"/>
  <c r="AX168" i="1" s="1"/>
  <c r="AN634" i="1"/>
  <c r="AX634" i="1" s="1"/>
  <c r="AN169" i="1"/>
  <c r="AX169" i="1" s="1"/>
  <c r="AN170" i="1"/>
  <c r="AX170" i="1" s="1"/>
  <c r="AN171" i="1"/>
  <c r="AX171" i="1" s="1"/>
  <c r="AN635" i="1"/>
  <c r="AX635" i="1" s="1"/>
  <c r="AN636" i="1"/>
  <c r="AX636" i="1" s="1"/>
  <c r="AN172" i="1"/>
  <c r="AX172" i="1" s="1"/>
  <c r="AN637" i="1"/>
  <c r="AX637" i="1" s="1"/>
  <c r="AN173" i="1"/>
  <c r="AX173" i="1" s="1"/>
  <c r="AN638" i="1"/>
  <c r="AX638" i="1" s="1"/>
  <c r="AN639" i="1"/>
  <c r="AX639" i="1" s="1"/>
  <c r="AN640" i="1"/>
  <c r="AX640" i="1" s="1"/>
  <c r="AN174" i="1"/>
  <c r="AX174" i="1" s="1"/>
  <c r="AN641" i="1"/>
  <c r="AX641" i="1" s="1"/>
  <c r="AN175" i="1"/>
  <c r="AX175" i="1" s="1"/>
  <c r="AN176" i="1"/>
  <c r="AX176" i="1" s="1"/>
  <c r="AN642" i="1"/>
  <c r="AX642" i="1" s="1"/>
  <c r="AN643" i="1"/>
  <c r="AX643" i="1" s="1"/>
  <c r="AN177" i="1"/>
  <c r="AX177" i="1" s="1"/>
  <c r="AN178" i="1"/>
  <c r="AX178" i="1" s="1"/>
  <c r="AN179" i="1"/>
  <c r="AX179" i="1" s="1"/>
  <c r="AN644" i="1"/>
  <c r="AX644" i="1" s="1"/>
  <c r="AN645" i="1"/>
  <c r="AX645" i="1" s="1"/>
  <c r="AN646" i="1"/>
  <c r="AX646" i="1" s="1"/>
  <c r="AN180" i="1"/>
  <c r="AX180" i="1" s="1"/>
  <c r="AN181" i="1"/>
  <c r="AX181" i="1" s="1"/>
  <c r="AN182" i="1"/>
  <c r="AX182" i="1" s="1"/>
  <c r="AN183" i="1"/>
  <c r="AX183" i="1" s="1"/>
  <c r="AN647" i="1"/>
  <c r="AX647" i="1" s="1"/>
  <c r="AN648" i="1"/>
  <c r="AX648" i="1" s="1"/>
  <c r="AN184" i="1"/>
  <c r="AX184" i="1" s="1"/>
  <c r="AN185" i="1"/>
  <c r="AX185" i="1" s="1"/>
  <c r="AN650" i="1"/>
  <c r="AX650" i="1" s="1"/>
  <c r="AN186" i="1"/>
  <c r="AX186" i="1" s="1"/>
  <c r="AN187" i="1"/>
  <c r="AX187" i="1" s="1"/>
  <c r="AN188" i="1"/>
  <c r="AX188" i="1" s="1"/>
  <c r="AN189" i="1"/>
  <c r="AX189" i="1" s="1"/>
  <c r="AN190" i="1"/>
  <c r="AX190" i="1" s="1"/>
  <c r="AN191" i="1"/>
  <c r="AX191" i="1" s="1"/>
  <c r="AN651" i="1"/>
  <c r="AX651" i="1" s="1"/>
  <c r="AN652" i="1"/>
  <c r="AX652" i="1" s="1"/>
  <c r="AN653" i="1"/>
  <c r="AX653" i="1" s="1"/>
  <c r="AN192" i="1"/>
  <c r="AX192" i="1" s="1"/>
  <c r="AN654" i="1"/>
  <c r="AX654" i="1" s="1"/>
  <c r="AN655" i="1"/>
  <c r="AX655" i="1" s="1"/>
  <c r="AN193" i="1"/>
  <c r="AX193" i="1" s="1"/>
  <c r="AN194" i="1"/>
  <c r="AX194" i="1" s="1"/>
  <c r="AN656" i="1"/>
  <c r="AX656" i="1" s="1"/>
  <c r="AN657" i="1"/>
  <c r="AX657" i="1" s="1"/>
  <c r="AN196" i="1"/>
  <c r="AX196" i="1" s="1"/>
  <c r="AN658" i="1"/>
  <c r="AX658" i="1" s="1"/>
  <c r="AN197" i="1"/>
  <c r="AX197" i="1" s="1"/>
  <c r="AN198" i="1"/>
  <c r="AX198" i="1" s="1"/>
  <c r="AN199" i="1"/>
  <c r="AX199" i="1" s="1"/>
  <c r="AN660" i="1"/>
  <c r="AX660" i="1" s="1"/>
  <c r="AN200" i="1"/>
  <c r="AX200" i="1" s="1"/>
  <c r="AN661" i="1"/>
  <c r="AX661" i="1" s="1"/>
  <c r="AN662" i="1"/>
  <c r="AX662" i="1" s="1"/>
  <c r="AN663" i="1"/>
  <c r="AX663" i="1" s="1"/>
  <c r="AN201" i="1"/>
  <c r="AX201" i="1" s="1"/>
  <c r="AN202" i="1"/>
  <c r="AX202" i="1" s="1"/>
  <c r="AN664" i="1"/>
  <c r="AX664" i="1" s="1"/>
  <c r="AN203" i="1"/>
  <c r="AX203" i="1" s="1"/>
  <c r="AN204" i="1"/>
  <c r="AX204" i="1" s="1"/>
  <c r="AN665" i="1"/>
  <c r="AX665" i="1" s="1"/>
  <c r="AN205" i="1"/>
  <c r="AX205" i="1" s="1"/>
  <c r="AN666" i="1"/>
  <c r="AX666" i="1" s="1"/>
  <c r="AN667" i="1"/>
  <c r="AX667" i="1" s="1"/>
  <c r="AN668" i="1"/>
  <c r="AX668" i="1" s="1"/>
  <c r="AN206" i="1"/>
  <c r="AX206" i="1" s="1"/>
  <c r="AN207" i="1"/>
  <c r="AX207" i="1" s="1"/>
  <c r="AN669" i="1"/>
  <c r="AX669" i="1" s="1"/>
  <c r="AN670" i="1"/>
  <c r="AX670" i="1" s="1"/>
  <c r="AN671" i="1"/>
  <c r="AX671" i="1" s="1"/>
  <c r="AN208" i="1"/>
  <c r="AX208" i="1" s="1"/>
  <c r="AN209" i="1"/>
  <c r="AX209" i="1" s="1"/>
  <c r="AN672" i="1"/>
  <c r="AX672" i="1" s="1"/>
  <c r="AN210" i="1"/>
  <c r="AX210" i="1" s="1"/>
  <c r="AN673" i="1"/>
  <c r="AX673" i="1" s="1"/>
  <c r="AN674" i="1"/>
  <c r="AX674" i="1" s="1"/>
  <c r="AN211" i="1"/>
  <c r="AX211" i="1" s="1"/>
  <c r="AN675" i="1"/>
  <c r="AX675" i="1" s="1"/>
  <c r="AN212" i="1"/>
  <c r="AX212" i="1" s="1"/>
  <c r="AN676" i="1"/>
  <c r="AX676" i="1" s="1"/>
  <c r="AN677" i="1"/>
  <c r="AX677" i="1" s="1"/>
  <c r="AN213" i="1"/>
  <c r="AX213" i="1" s="1"/>
  <c r="AN214" i="1"/>
  <c r="AX214" i="1" s="1"/>
  <c r="AN678" i="1"/>
  <c r="AX678" i="1" s="1"/>
  <c r="AN679" i="1"/>
  <c r="AX679" i="1" s="1"/>
  <c r="AN681" i="1"/>
  <c r="AX681" i="1" s="1"/>
  <c r="AN215" i="1"/>
  <c r="AX215" i="1" s="1"/>
  <c r="AN216" i="1"/>
  <c r="AX216" i="1" s="1"/>
  <c r="AN682" i="1"/>
  <c r="AX682" i="1" s="1"/>
  <c r="AN684" i="1"/>
  <c r="AX684" i="1" s="1"/>
  <c r="AN217" i="1"/>
  <c r="AX217" i="1" s="1"/>
  <c r="AN218" i="1"/>
  <c r="AX218" i="1" s="1"/>
  <c r="AN685" i="1"/>
  <c r="AX685" i="1" s="1"/>
  <c r="AN686" i="1"/>
  <c r="AX686" i="1" s="1"/>
  <c r="AN687" i="1"/>
  <c r="AX687" i="1" s="1"/>
  <c r="AN219" i="1"/>
  <c r="AX219" i="1" s="1"/>
  <c r="AN688" i="1"/>
  <c r="AX688" i="1" s="1"/>
  <c r="AN689" i="1"/>
  <c r="AX689" i="1" s="1"/>
  <c r="AN690" i="1"/>
  <c r="AX690" i="1" s="1"/>
  <c r="AN220" i="1"/>
  <c r="AX220" i="1" s="1"/>
  <c r="AN221" i="1"/>
  <c r="AX221" i="1" s="1"/>
  <c r="AN222" i="1"/>
  <c r="AX222" i="1" s="1"/>
  <c r="AN691" i="1"/>
  <c r="AX691" i="1" s="1"/>
  <c r="AN223" i="1"/>
  <c r="AX223" i="1" s="1"/>
  <c r="AN224" i="1"/>
  <c r="AX224" i="1" s="1"/>
  <c r="AN225" i="1"/>
  <c r="AX225" i="1" s="1"/>
  <c r="AN226" i="1"/>
  <c r="AX226" i="1" s="1"/>
  <c r="AN692" i="1"/>
  <c r="AX692" i="1" s="1"/>
  <c r="AN693" i="1"/>
  <c r="AX693" i="1" s="1"/>
  <c r="AN227" i="1"/>
  <c r="AX227" i="1" s="1"/>
  <c r="AN694" i="1"/>
  <c r="AX694" i="1" s="1"/>
  <c r="AN696" i="1"/>
  <c r="AX696" i="1" s="1"/>
  <c r="AN697" i="1"/>
  <c r="AX697" i="1" s="1"/>
  <c r="AN228" i="1"/>
  <c r="AX228" i="1" s="1"/>
  <c r="AN229" i="1"/>
  <c r="AX229" i="1" s="1"/>
  <c r="AN230" i="1"/>
  <c r="AX230" i="1" s="1"/>
  <c r="AN231" i="1"/>
  <c r="AX231" i="1" s="1"/>
  <c r="AN698" i="1"/>
  <c r="AX698" i="1" s="1"/>
  <c r="AN232" i="1"/>
  <c r="AX232" i="1" s="1"/>
  <c r="AN699" i="1"/>
  <c r="AX699" i="1" s="1"/>
  <c r="AN700" i="1"/>
  <c r="AX700" i="1" s="1"/>
  <c r="AN233" i="1"/>
  <c r="AX233" i="1" s="1"/>
  <c r="AN701" i="1"/>
  <c r="AX701" i="1" s="1"/>
  <c r="AN234" i="1"/>
  <c r="AX234" i="1" s="1"/>
  <c r="AN702" i="1"/>
  <c r="AX702" i="1" s="1"/>
  <c r="AN235" i="1"/>
  <c r="AX235" i="1" s="1"/>
  <c r="AN236" i="1"/>
  <c r="AX236" i="1" s="1"/>
  <c r="AN703" i="1"/>
  <c r="AX703" i="1" s="1"/>
  <c r="AN704" i="1"/>
  <c r="AX704" i="1" s="1"/>
  <c r="AN237" i="1"/>
  <c r="AX237" i="1" s="1"/>
  <c r="AN705" i="1"/>
  <c r="AX705" i="1" s="1"/>
  <c r="AN706" i="1"/>
  <c r="AX706" i="1" s="1"/>
  <c r="AN707" i="1"/>
  <c r="AX707" i="1" s="1"/>
  <c r="AN708" i="1"/>
  <c r="AX708" i="1" s="1"/>
  <c r="AN238" i="1"/>
  <c r="AX238" i="1" s="1"/>
  <c r="AN240" i="1"/>
  <c r="AX240" i="1" s="1"/>
  <c r="AN241" i="1"/>
  <c r="AX241" i="1" s="1"/>
  <c r="AN242" i="1"/>
  <c r="AX242" i="1" s="1"/>
  <c r="AN709" i="1"/>
  <c r="AX709" i="1" s="1"/>
  <c r="AN710" i="1"/>
  <c r="AX710" i="1" s="1"/>
  <c r="AN711" i="1"/>
  <c r="AX711" i="1" s="1"/>
  <c r="AN243" i="1"/>
  <c r="AX243" i="1" s="1"/>
  <c r="AN244" i="1"/>
  <c r="AX244" i="1" s="1"/>
  <c r="AN245" i="1"/>
  <c r="AX245" i="1" s="1"/>
  <c r="AN246" i="1"/>
  <c r="AX246" i="1" s="1"/>
  <c r="AN712" i="1"/>
  <c r="AX712" i="1" s="1"/>
  <c r="AN713" i="1"/>
  <c r="AX713" i="1" s="1"/>
  <c r="AN247" i="1"/>
  <c r="AX247" i="1" s="1"/>
  <c r="AN248" i="1"/>
  <c r="AX248" i="1" s="1"/>
  <c r="AN714" i="1"/>
  <c r="AX714" i="1" s="1"/>
  <c r="AN715" i="1"/>
  <c r="AX715" i="1" s="1"/>
  <c r="AN249" i="1"/>
  <c r="AX249" i="1" s="1"/>
  <c r="AN250" i="1"/>
  <c r="AX250" i="1" s="1"/>
  <c r="AN716" i="1"/>
  <c r="AX716" i="1" s="1"/>
  <c r="AN251" i="1"/>
  <c r="AX251" i="1" s="1"/>
  <c r="AN717" i="1"/>
  <c r="AX717" i="1" s="1"/>
  <c r="AN252" i="1"/>
  <c r="AX252" i="1" s="1"/>
  <c r="AN718" i="1"/>
  <c r="AX718" i="1" s="1"/>
  <c r="AN719" i="1"/>
  <c r="AX719" i="1" s="1"/>
  <c r="AN253" i="1"/>
  <c r="AX253" i="1" s="1"/>
  <c r="AN254" i="1"/>
  <c r="AX254" i="1" s="1"/>
  <c r="AN720" i="1"/>
  <c r="AX720" i="1" s="1"/>
  <c r="AN255" i="1"/>
  <c r="AX255" i="1" s="1"/>
  <c r="AN256" i="1"/>
  <c r="AX256" i="1" s="1"/>
  <c r="AN721" i="1"/>
  <c r="AX721" i="1" s="1"/>
  <c r="AN722" i="1"/>
  <c r="AX722" i="1" s="1"/>
  <c r="AN257" i="1"/>
  <c r="AX257" i="1" s="1"/>
  <c r="AN258" i="1"/>
  <c r="AX258" i="1" s="1"/>
  <c r="AN259" i="1"/>
  <c r="AX259" i="1" s="1"/>
  <c r="AN260" i="1"/>
  <c r="AX260" i="1" s="1"/>
  <c r="AN261" i="1"/>
  <c r="AX261" i="1" s="1"/>
  <c r="AN723" i="1"/>
  <c r="AX723" i="1" s="1"/>
  <c r="AN724" i="1"/>
  <c r="AX724" i="1" s="1"/>
  <c r="AN262" i="1"/>
  <c r="AX262" i="1" s="1"/>
  <c r="AN725" i="1"/>
  <c r="AX725" i="1" s="1"/>
  <c r="AN726" i="1"/>
  <c r="AX726" i="1" s="1"/>
  <c r="AN263" i="1"/>
  <c r="AX263" i="1" s="1"/>
  <c r="AN264" i="1"/>
  <c r="AX264" i="1" s="1"/>
  <c r="AN265" i="1"/>
  <c r="AX265" i="1" s="1"/>
  <c r="AN727" i="1"/>
  <c r="AX727" i="1" s="1"/>
  <c r="AN266" i="1"/>
  <c r="AX266" i="1" s="1"/>
  <c r="AN267" i="1"/>
  <c r="AX267" i="1" s="1"/>
  <c r="AN268" i="1"/>
  <c r="AX268" i="1" s="1"/>
  <c r="AN269" i="1"/>
  <c r="AX269" i="1" s="1"/>
  <c r="AN270" i="1"/>
  <c r="AX270" i="1" s="1"/>
  <c r="AN271" i="1"/>
  <c r="AX271" i="1" s="1"/>
  <c r="AN728" i="1"/>
  <c r="AX728" i="1" s="1"/>
  <c r="AN272" i="1"/>
  <c r="AX272" i="1" s="1"/>
  <c r="AN729" i="1"/>
  <c r="AX729" i="1" s="1"/>
  <c r="AN273" i="1"/>
  <c r="AX273" i="1" s="1"/>
  <c r="AN274" i="1"/>
  <c r="AX274" i="1" s="1"/>
  <c r="AN730" i="1"/>
  <c r="AX730" i="1" s="1"/>
  <c r="AN731" i="1"/>
  <c r="AX731" i="1" s="1"/>
  <c r="AN275" i="1"/>
  <c r="AX275" i="1" s="1"/>
  <c r="AN276" i="1"/>
  <c r="AX276" i="1" s="1"/>
  <c r="AN277" i="1"/>
  <c r="AX277" i="1" s="1"/>
  <c r="AN732" i="1"/>
  <c r="AX732" i="1" s="1"/>
  <c r="AN733" i="1"/>
  <c r="AX733" i="1" s="1"/>
  <c r="AN734" i="1"/>
  <c r="AX734" i="1" s="1"/>
  <c r="AN278" i="1"/>
  <c r="AX278" i="1" s="1"/>
  <c r="AN279" i="1"/>
  <c r="AX279" i="1" s="1"/>
  <c r="AN280" i="1"/>
  <c r="AX280" i="1" s="1"/>
  <c r="AN735" i="1"/>
  <c r="AX735" i="1" s="1"/>
  <c r="AN736" i="1"/>
  <c r="AX736" i="1" s="1"/>
  <c r="AN737" i="1"/>
  <c r="AX737" i="1" s="1"/>
  <c r="AN281" i="1"/>
  <c r="AX281" i="1" s="1"/>
  <c r="AN282" i="1"/>
  <c r="AX282" i="1" s="1"/>
  <c r="AN738" i="1"/>
  <c r="AX738" i="1" s="1"/>
  <c r="AN283" i="1"/>
  <c r="AX283" i="1" s="1"/>
  <c r="AN739" i="1"/>
  <c r="AX739" i="1" s="1"/>
  <c r="AN284" i="1"/>
  <c r="AX284" i="1" s="1"/>
  <c r="AN285" i="1"/>
  <c r="AX285" i="1" s="1"/>
  <c r="AN286" i="1"/>
  <c r="AX286" i="1" s="1"/>
  <c r="AN287" i="1"/>
  <c r="AX287" i="1" s="1"/>
  <c r="AN289" i="1"/>
  <c r="AX289" i="1" s="1"/>
  <c r="AN740" i="1"/>
  <c r="AX740" i="1" s="1"/>
  <c r="AN290" i="1"/>
  <c r="AX290" i="1" s="1"/>
  <c r="AN291" i="1"/>
  <c r="AX291" i="1" s="1"/>
  <c r="AN741" i="1"/>
  <c r="AX741" i="1" s="1"/>
  <c r="AN292" i="1"/>
  <c r="AX292" i="1" s="1"/>
  <c r="AN742" i="1"/>
  <c r="AX742" i="1" s="1"/>
  <c r="AN293" i="1"/>
  <c r="AX293" i="1" s="1"/>
  <c r="AN294" i="1"/>
  <c r="AX294" i="1" s="1"/>
  <c r="AN743" i="1"/>
  <c r="AX743" i="1" s="1"/>
  <c r="AN744" i="1"/>
  <c r="AX744" i="1" s="1"/>
  <c r="AN295" i="1"/>
  <c r="AX295" i="1" s="1"/>
  <c r="AN745" i="1"/>
  <c r="AX745" i="1" s="1"/>
  <c r="AN296" i="1"/>
  <c r="AX296" i="1" s="1"/>
  <c r="AN746" i="1"/>
  <c r="AX746" i="1" s="1"/>
  <c r="AN747" i="1"/>
  <c r="AX747" i="1" s="1"/>
  <c r="AN748" i="1"/>
  <c r="AX748" i="1" s="1"/>
  <c r="AN297" i="1"/>
  <c r="AX297" i="1" s="1"/>
  <c r="AN749" i="1"/>
  <c r="AX749" i="1" s="1"/>
  <c r="AN750" i="1"/>
  <c r="AX750" i="1" s="1"/>
  <c r="AN298" i="1"/>
  <c r="AX298" i="1" s="1"/>
  <c r="AN299" i="1"/>
  <c r="AX299" i="1" s="1"/>
  <c r="AN300" i="1"/>
  <c r="AX300" i="1" s="1"/>
  <c r="AN751" i="1"/>
  <c r="AX751" i="1" s="1"/>
  <c r="AN752" i="1"/>
  <c r="AX752" i="1" s="1"/>
  <c r="AN301" i="1"/>
  <c r="AX301" i="1" s="1"/>
  <c r="AN302" i="1"/>
  <c r="AX302" i="1" s="1"/>
  <c r="AN753" i="1"/>
  <c r="AX753" i="1" s="1"/>
  <c r="AN303" i="1"/>
  <c r="AX303" i="1" s="1"/>
  <c r="AN754" i="1"/>
  <c r="AX754" i="1" s="1"/>
  <c r="AN304" i="1"/>
  <c r="AX304" i="1" s="1"/>
  <c r="AN755" i="1"/>
  <c r="AX755" i="1" s="1"/>
  <c r="AN305" i="1"/>
  <c r="AX305" i="1" s="1"/>
  <c r="AN756" i="1"/>
  <c r="AX756" i="1" s="1"/>
  <c r="AN306" i="1"/>
  <c r="AX306" i="1" s="1"/>
  <c r="AN307" i="1"/>
  <c r="AX307" i="1" s="1"/>
  <c r="AN757" i="1"/>
  <c r="AX757" i="1" s="1"/>
  <c r="AN308" i="1"/>
  <c r="AX308" i="1" s="1"/>
  <c r="AN758" i="1"/>
  <c r="AX758" i="1" s="1"/>
  <c r="AN309" i="1"/>
  <c r="AX309" i="1" s="1"/>
  <c r="AN310" i="1"/>
  <c r="AX310" i="1" s="1"/>
  <c r="AN759" i="1"/>
  <c r="AX759" i="1" s="1"/>
  <c r="AN311" i="1"/>
  <c r="AX311" i="1" s="1"/>
  <c r="AN760" i="1"/>
  <c r="AX760" i="1" s="1"/>
  <c r="AN312" i="1"/>
  <c r="AX312" i="1" s="1"/>
  <c r="AN313" i="1"/>
  <c r="AX313" i="1" s="1"/>
  <c r="AN761" i="1"/>
  <c r="AX761" i="1" s="1"/>
  <c r="AN314" i="1"/>
  <c r="AX314" i="1" s="1"/>
  <c r="AN315" i="1"/>
  <c r="AX315" i="1" s="1"/>
  <c r="AN763" i="1"/>
  <c r="AX763" i="1" s="1"/>
  <c r="AN764" i="1"/>
  <c r="AX764" i="1" s="1"/>
  <c r="AN316" i="1"/>
  <c r="AX316" i="1" s="1"/>
  <c r="AN765" i="1"/>
  <c r="AX765" i="1" s="1"/>
  <c r="AN317" i="1"/>
  <c r="AX317" i="1" s="1"/>
  <c r="AN318" i="1"/>
  <c r="AX318" i="1" s="1"/>
  <c r="AN766" i="1"/>
  <c r="AX766" i="1" s="1"/>
  <c r="AN767" i="1"/>
  <c r="AX767" i="1" s="1"/>
  <c r="AN319" i="1"/>
  <c r="AX319" i="1" s="1"/>
  <c r="AN768" i="1"/>
  <c r="AX768" i="1" s="1"/>
  <c r="AN320" i="1"/>
  <c r="AX320" i="1" s="1"/>
  <c r="AN321" i="1"/>
  <c r="AX321" i="1" s="1"/>
  <c r="AN322" i="1"/>
  <c r="AX322" i="1" s="1"/>
  <c r="AN769" i="1"/>
  <c r="AX769" i="1" s="1"/>
  <c r="AN323" i="1"/>
  <c r="AX323" i="1" s="1"/>
  <c r="AN324" i="1"/>
  <c r="AX324" i="1" s="1"/>
  <c r="AN325" i="1"/>
  <c r="AX325" i="1" s="1"/>
  <c r="AN770" i="1"/>
  <c r="AX770" i="1" s="1"/>
  <c r="AN771" i="1"/>
  <c r="AX771" i="1" s="1"/>
  <c r="AN772" i="1"/>
  <c r="AX772" i="1" s="1"/>
  <c r="AN326" i="1"/>
  <c r="AX326" i="1" s="1"/>
  <c r="AN774" i="1"/>
  <c r="AX774" i="1" s="1"/>
  <c r="AN327" i="1"/>
  <c r="AX327" i="1" s="1"/>
  <c r="AN775" i="1"/>
  <c r="AX775" i="1" s="1"/>
  <c r="AN328" i="1"/>
  <c r="AX328" i="1" s="1"/>
  <c r="AN776" i="1"/>
  <c r="AX776" i="1" s="1"/>
  <c r="AN329" i="1"/>
  <c r="AX329" i="1" s="1"/>
  <c r="AN330" i="1"/>
  <c r="AX330" i="1" s="1"/>
  <c r="AN777" i="1"/>
  <c r="AX777" i="1" s="1"/>
  <c r="AN778" i="1"/>
  <c r="AX778" i="1" s="1"/>
  <c r="AN331" i="1"/>
  <c r="AX331" i="1" s="1"/>
  <c r="AN332" i="1"/>
  <c r="AX332" i="1" s="1"/>
  <c r="AN333" i="1"/>
  <c r="AX333" i="1" s="1"/>
  <c r="AN779" i="1"/>
  <c r="AX779" i="1" s="1"/>
  <c r="AN780" i="1"/>
  <c r="AX780" i="1" s="1"/>
  <c r="AN781" i="1"/>
  <c r="AX781" i="1" s="1"/>
  <c r="AN782" i="1"/>
  <c r="AX782" i="1" s="1"/>
  <c r="AN334" i="1"/>
  <c r="AX334" i="1" s="1"/>
  <c r="AN335" i="1"/>
  <c r="AX335" i="1" s="1"/>
  <c r="AN336" i="1"/>
  <c r="AX336" i="1" s="1"/>
  <c r="AN337" i="1"/>
  <c r="AX337" i="1" s="1"/>
  <c r="AN783" i="1"/>
  <c r="AX783" i="1" s="1"/>
  <c r="AN338" i="1"/>
  <c r="AX338" i="1" s="1"/>
  <c r="AN784" i="1"/>
  <c r="AX784" i="1" s="1"/>
  <c r="AN339" i="1"/>
  <c r="AX339" i="1" s="1"/>
  <c r="AN785" i="1"/>
  <c r="AX785" i="1" s="1"/>
  <c r="AN340" i="1"/>
  <c r="AX340" i="1" s="1"/>
  <c r="AN342" i="1"/>
  <c r="AX342" i="1" s="1"/>
  <c r="AN786" i="1"/>
  <c r="AX786" i="1" s="1"/>
  <c r="AN343" i="1"/>
  <c r="AX343" i="1" s="1"/>
  <c r="AN344" i="1"/>
  <c r="AX344" i="1" s="1"/>
  <c r="AN787" i="1"/>
  <c r="AX787" i="1" s="1"/>
  <c r="AN788" i="1"/>
  <c r="AX788" i="1" s="1"/>
  <c r="AN789" i="1"/>
  <c r="AX789" i="1" s="1"/>
  <c r="AN790" i="1"/>
  <c r="AX790" i="1" s="1"/>
  <c r="AN791" i="1"/>
  <c r="AX791" i="1" s="1"/>
  <c r="AN345" i="1"/>
  <c r="AX345" i="1" s="1"/>
  <c r="AN792" i="1"/>
  <c r="AX792" i="1" s="1"/>
  <c r="AN346" i="1"/>
  <c r="AX346" i="1" s="1"/>
  <c r="AN793" i="1"/>
  <c r="AX793" i="1" s="1"/>
  <c r="AN794" i="1"/>
  <c r="AX794" i="1" s="1"/>
  <c r="AN347" i="1"/>
  <c r="AX347" i="1" s="1"/>
  <c r="AN348" i="1"/>
  <c r="AX348" i="1" s="1"/>
  <c r="AN349" i="1"/>
  <c r="AX349" i="1" s="1"/>
  <c r="AN350" i="1"/>
  <c r="AX350" i="1" s="1"/>
  <c r="AN351" i="1"/>
  <c r="AX351" i="1" s="1"/>
  <c r="AN352" i="1"/>
  <c r="AX352" i="1" s="1"/>
  <c r="AN353" i="1"/>
  <c r="AX353" i="1" s="1"/>
  <c r="AN354" i="1"/>
  <c r="AX354" i="1" s="1"/>
  <c r="AN355" i="1"/>
  <c r="AX355" i="1" s="1"/>
  <c r="AN795" i="1"/>
  <c r="AX795" i="1" s="1"/>
  <c r="AN356" i="1"/>
  <c r="AX356" i="1" s="1"/>
  <c r="AN357" i="1"/>
  <c r="AX357" i="1" s="1"/>
  <c r="AN358" i="1"/>
  <c r="AX358" i="1" s="1"/>
  <c r="AN796" i="1"/>
  <c r="AX796" i="1" s="1"/>
  <c r="AN797" i="1"/>
  <c r="AX797" i="1" s="1"/>
  <c r="AN798" i="1"/>
  <c r="AX798" i="1" s="1"/>
  <c r="AN799" i="1"/>
  <c r="AX799" i="1" s="1"/>
  <c r="AN359" i="1"/>
  <c r="AX359" i="1" s="1"/>
  <c r="AN360" i="1"/>
  <c r="AX360" i="1" s="1"/>
  <c r="AN800" i="1"/>
  <c r="AX800" i="1" s="1"/>
  <c r="AN802" i="1"/>
  <c r="AX802" i="1" s="1"/>
  <c r="AN803" i="1"/>
  <c r="AX803" i="1" s="1"/>
  <c r="AN361" i="1"/>
  <c r="AX361" i="1" s="1"/>
  <c r="AN362" i="1"/>
  <c r="AX362" i="1" s="1"/>
  <c r="AN363" i="1"/>
  <c r="AX363" i="1" s="1"/>
  <c r="AN364" i="1"/>
  <c r="AX364" i="1" s="1"/>
  <c r="AN365" i="1"/>
  <c r="AX365" i="1" s="1"/>
  <c r="AN804" i="1"/>
  <c r="AX804" i="1" s="1"/>
  <c r="AN805" i="1"/>
  <c r="AX805" i="1" s="1"/>
  <c r="AN366" i="1"/>
  <c r="AX366" i="1" s="1"/>
  <c r="AN367" i="1"/>
  <c r="AX367" i="1" s="1"/>
  <c r="AN806" i="1"/>
  <c r="AX806" i="1" s="1"/>
  <c r="AN368" i="1"/>
  <c r="AX368" i="1" s="1"/>
  <c r="AN369" i="1"/>
  <c r="AX369" i="1" s="1"/>
  <c r="AN807" i="1"/>
  <c r="AX807" i="1" s="1"/>
  <c r="AN370" i="1"/>
  <c r="AX370" i="1" s="1"/>
  <c r="AN808" i="1"/>
  <c r="AX808" i="1" s="1"/>
  <c r="AN371" i="1"/>
  <c r="AX371" i="1" s="1"/>
  <c r="AN809" i="1"/>
  <c r="AX809" i="1" s="1"/>
  <c r="AN810" i="1"/>
  <c r="AX810" i="1" s="1"/>
  <c r="AN811" i="1"/>
  <c r="AX811" i="1" s="1"/>
  <c r="AN812" i="1"/>
  <c r="AX812" i="1" s="1"/>
  <c r="AN813" i="1"/>
  <c r="AX813" i="1" s="1"/>
  <c r="AN372" i="1"/>
  <c r="AX372" i="1" s="1"/>
  <c r="AN814" i="1"/>
  <c r="AX814" i="1" s="1"/>
  <c r="AN815" i="1"/>
  <c r="AX815" i="1" s="1"/>
  <c r="AN816" i="1"/>
  <c r="AX816" i="1" s="1"/>
  <c r="AN817" i="1"/>
  <c r="AX817" i="1" s="1"/>
  <c r="AN373" i="1"/>
  <c r="AX373" i="1" s="1"/>
  <c r="AN374" i="1"/>
  <c r="AX374" i="1" s="1"/>
  <c r="AN375" i="1"/>
  <c r="AX375" i="1" s="1"/>
  <c r="AN376" i="1"/>
  <c r="AX376" i="1" s="1"/>
  <c r="AN818" i="1"/>
  <c r="AX818" i="1" s="1"/>
  <c r="AN377" i="1"/>
  <c r="AX377" i="1" s="1"/>
  <c r="AN819" i="1"/>
  <c r="AX819" i="1" s="1"/>
  <c r="AN378" i="1"/>
  <c r="AX378" i="1" s="1"/>
  <c r="AN379" i="1"/>
  <c r="AX379" i="1" s="1"/>
  <c r="AN820" i="1"/>
  <c r="AX820" i="1" s="1"/>
  <c r="AN380" i="1"/>
  <c r="AX380" i="1" s="1"/>
  <c r="AN381" i="1"/>
  <c r="AX381" i="1" s="1"/>
  <c r="AN821" i="1"/>
  <c r="AX821" i="1" s="1"/>
  <c r="AN382" i="1"/>
  <c r="AX382" i="1" s="1"/>
  <c r="AN822" i="1"/>
  <c r="AX822" i="1" s="1"/>
  <c r="AN823" i="1"/>
  <c r="AX823" i="1" s="1"/>
  <c r="AN383" i="1"/>
  <c r="AX383" i="1" s="1"/>
  <c r="AN384" i="1"/>
  <c r="AX384" i="1" s="1"/>
  <c r="AN825" i="1"/>
  <c r="AX825" i="1" s="1"/>
  <c r="AN385" i="1"/>
  <c r="AX385" i="1" s="1"/>
  <c r="AN386" i="1"/>
  <c r="AX386" i="1" s="1"/>
  <c r="AN826" i="1"/>
  <c r="AX826" i="1" s="1"/>
  <c r="AN827" i="1"/>
  <c r="AX827" i="1" s="1"/>
  <c r="AN828" i="1"/>
  <c r="AX828" i="1" s="1"/>
  <c r="AN829" i="1"/>
  <c r="AX829" i="1" s="1"/>
  <c r="AN387" i="1"/>
  <c r="AX387" i="1" s="1"/>
  <c r="AN830" i="1"/>
  <c r="AX830" i="1" s="1"/>
  <c r="AN831" i="1"/>
  <c r="AX831" i="1" s="1"/>
  <c r="AN388" i="1"/>
  <c r="AX388" i="1" s="1"/>
  <c r="AN389" i="1"/>
  <c r="AX389" i="1" s="1"/>
  <c r="AN390" i="1"/>
  <c r="AX390" i="1" s="1"/>
  <c r="AN832" i="1"/>
  <c r="AX832" i="1" s="1"/>
  <c r="AN833" i="1"/>
  <c r="AX833" i="1" s="1"/>
  <c r="AN834" i="1"/>
  <c r="AX834" i="1" s="1"/>
  <c r="AN391" i="1"/>
  <c r="AX391" i="1" s="1"/>
  <c r="AN836" i="1"/>
  <c r="AX836" i="1" s="1"/>
  <c r="AN837" i="1"/>
  <c r="AX837" i="1" s="1"/>
  <c r="AN392" i="1"/>
  <c r="AX392" i="1" s="1"/>
  <c r="AN393" i="1"/>
  <c r="AX393" i="1" s="1"/>
  <c r="AN394" i="1"/>
  <c r="AX394" i="1" s="1"/>
  <c r="AN395" i="1"/>
  <c r="AX395" i="1" s="1"/>
  <c r="AN838" i="1"/>
  <c r="AX838" i="1" s="1"/>
  <c r="AN396" i="1"/>
  <c r="AX396" i="1" s="1"/>
  <c r="AN397" i="1"/>
  <c r="AX397" i="1" s="1"/>
  <c r="AN399" i="1"/>
  <c r="AX399" i="1" s="1"/>
  <c r="AN400" i="1"/>
  <c r="AX400" i="1" s="1"/>
  <c r="AN839" i="1"/>
  <c r="AX839" i="1" s="1"/>
  <c r="AN840" i="1"/>
  <c r="AX840" i="1" s="1"/>
  <c r="AN841" i="1"/>
  <c r="AX841" i="1" s="1"/>
  <c r="AN401" i="1"/>
  <c r="AX401" i="1" s="1"/>
  <c r="AN842" i="1"/>
  <c r="AX842" i="1" s="1"/>
  <c r="AN402" i="1"/>
  <c r="AX402" i="1" s="1"/>
  <c r="AN843" i="1"/>
  <c r="AX843" i="1" s="1"/>
  <c r="AN844" i="1"/>
  <c r="AX844" i="1" s="1"/>
  <c r="AN845" i="1"/>
  <c r="AX845" i="1" s="1"/>
  <c r="AN846" i="1"/>
  <c r="AX846" i="1" s="1"/>
  <c r="AN847" i="1"/>
  <c r="AX847" i="1" s="1"/>
  <c r="AN404" i="1"/>
  <c r="AX404" i="1" s="1"/>
  <c r="AN848" i="1"/>
  <c r="AX848" i="1" s="1"/>
  <c r="AN405" i="1"/>
  <c r="AX405" i="1" s="1"/>
  <c r="AN850" i="1"/>
  <c r="AX850" i="1" s="1"/>
  <c r="AN406" i="1"/>
  <c r="AX406" i="1" s="1"/>
  <c r="AN851" i="1"/>
  <c r="AX851" i="1" s="1"/>
  <c r="AN407" i="1"/>
  <c r="AX407" i="1" s="1"/>
  <c r="AN852" i="1"/>
  <c r="AX852" i="1" s="1"/>
  <c r="AN408" i="1"/>
  <c r="AX408" i="1" s="1"/>
  <c r="AN409" i="1"/>
  <c r="AX409" i="1" s="1"/>
  <c r="AN410" i="1"/>
  <c r="AX410" i="1" s="1"/>
  <c r="AN853" i="1"/>
  <c r="AX853" i="1" s="1"/>
  <c r="AN855" i="1"/>
  <c r="AX855" i="1" s="1"/>
  <c r="AN411" i="1"/>
  <c r="AX411" i="1" s="1"/>
  <c r="AN412" i="1"/>
  <c r="AX412" i="1" s="1"/>
  <c r="AN413" i="1"/>
  <c r="AX413" i="1" s="1"/>
  <c r="AN414" i="1"/>
  <c r="AX414" i="1" s="1"/>
  <c r="AN415" i="1"/>
  <c r="AX415" i="1" s="1"/>
  <c r="AN416" i="1"/>
  <c r="AX416" i="1" s="1"/>
  <c r="AN417" i="1"/>
  <c r="AX417" i="1" s="1"/>
  <c r="AN856" i="1"/>
  <c r="AX856" i="1" s="1"/>
  <c r="AN418" i="1"/>
  <c r="AX418" i="1" s="1"/>
  <c r="AN419" i="1"/>
  <c r="AX419" i="1" s="1"/>
  <c r="AN857" i="1"/>
  <c r="AX857" i="1" s="1"/>
  <c r="AN420" i="1"/>
  <c r="AX420" i="1" s="1"/>
  <c r="AN858" i="1"/>
  <c r="AX858" i="1" s="1"/>
  <c r="AN859" i="1"/>
  <c r="AX859" i="1" s="1"/>
  <c r="AN421" i="1"/>
  <c r="AX421" i="1" s="1"/>
  <c r="AN860" i="1"/>
  <c r="AX860" i="1" s="1"/>
  <c r="AN422" i="1"/>
  <c r="AX422" i="1" s="1"/>
  <c r="AN423" i="1"/>
  <c r="AX423" i="1" s="1"/>
  <c r="AN424" i="1"/>
  <c r="AX424" i="1" s="1"/>
  <c r="AN861" i="1"/>
  <c r="AX861" i="1" s="1"/>
  <c r="AN862" i="1"/>
  <c r="AX862" i="1" s="1"/>
  <c r="AN425" i="1"/>
  <c r="AX425" i="1" s="1"/>
  <c r="AN426" i="1"/>
  <c r="AX426" i="1" s="1"/>
  <c r="AN863" i="1"/>
  <c r="AX863" i="1" s="1"/>
  <c r="AN864" i="1"/>
  <c r="AX864" i="1" s="1"/>
  <c r="AN427" i="1"/>
  <c r="AX427" i="1" s="1"/>
  <c r="AN865" i="1"/>
  <c r="AX865" i="1" s="1"/>
  <c r="AN428" i="1"/>
  <c r="AX428" i="1" s="1"/>
  <c r="AN429" i="1"/>
  <c r="AX429" i="1" s="1"/>
  <c r="AN430" i="1"/>
  <c r="AX430" i="1" s="1"/>
  <c r="AN866" i="1"/>
  <c r="AX866" i="1" s="1"/>
  <c r="AN431" i="1"/>
  <c r="AX431" i="1" s="1"/>
  <c r="AN867" i="1"/>
  <c r="AX867" i="1" s="1"/>
  <c r="AN868" i="1"/>
  <c r="AX868" i="1" s="1"/>
  <c r="AN869" i="1"/>
  <c r="AX869" i="1" s="1"/>
  <c r="AN432" i="1"/>
  <c r="AX432" i="1" s="1"/>
  <c r="AN433" i="1"/>
  <c r="AX433" i="1" s="1"/>
  <c r="AN870" i="1"/>
  <c r="AX870" i="1" s="1"/>
  <c r="AN434" i="1"/>
  <c r="AX434" i="1" s="1"/>
  <c r="AN435" i="1"/>
  <c r="AX435" i="1" s="1"/>
  <c r="AN436" i="1"/>
  <c r="AX436" i="1" s="1"/>
  <c r="AN871" i="1"/>
  <c r="AX871" i="1" s="1"/>
  <c r="AN872" i="1"/>
  <c r="AX872" i="1" s="1"/>
  <c r="AN873" i="1"/>
  <c r="AX873" i="1" s="1"/>
  <c r="AN437" i="1"/>
  <c r="AX437" i="1" s="1"/>
  <c r="AN874" i="1"/>
  <c r="AX874" i="1" s="1"/>
  <c r="AN438" i="1"/>
  <c r="AX438" i="1" s="1"/>
  <c r="AN439" i="1"/>
  <c r="AX439" i="1" s="1"/>
  <c r="AN440" i="1"/>
  <c r="AX440" i="1" s="1"/>
  <c r="AN441" i="1"/>
  <c r="AX441" i="1" s="1"/>
  <c r="AN442" i="1"/>
  <c r="AX442" i="1" s="1"/>
  <c r="AN875" i="1"/>
  <c r="AX875" i="1" s="1"/>
  <c r="AN443" i="1"/>
  <c r="AX443" i="1" s="1"/>
  <c r="AN876" i="1"/>
  <c r="AX876" i="1" s="1"/>
  <c r="AN444" i="1"/>
  <c r="AX444" i="1" s="1"/>
  <c r="AN877" i="1"/>
  <c r="AX877" i="1" s="1"/>
  <c r="AN445" i="1"/>
  <c r="AX445" i="1" s="1"/>
  <c r="AN446" i="1"/>
  <c r="AX446" i="1" s="1"/>
  <c r="AN878" i="1"/>
  <c r="AX878" i="1" s="1"/>
  <c r="AN447" i="1"/>
  <c r="AX447" i="1" s="1"/>
  <c r="AN448" i="1"/>
  <c r="AX448" i="1" s="1"/>
  <c r="AN879" i="1"/>
  <c r="AX879" i="1" s="1"/>
  <c r="AN449" i="1"/>
  <c r="AX449" i="1" s="1"/>
  <c r="AN880" i="1"/>
  <c r="AX880" i="1" s="1"/>
  <c r="AN450" i="1"/>
  <c r="AX450" i="1" s="1"/>
  <c r="AN451" i="1"/>
  <c r="AX451" i="1" s="1"/>
  <c r="AN452" i="1"/>
  <c r="AX452" i="1" s="1"/>
  <c r="AN881" i="1"/>
  <c r="AX881" i="1" s="1"/>
  <c r="AN453" i="1"/>
  <c r="AX453" i="1" s="1"/>
  <c r="AN454" i="1"/>
  <c r="AX454" i="1" s="1"/>
  <c r="AN882" i="1"/>
  <c r="AX882" i="1" s="1"/>
  <c r="AN883" i="1"/>
  <c r="AX883" i="1" s="1"/>
  <c r="AN455" i="1"/>
  <c r="AX455" i="1" s="1"/>
  <c r="AN884" i="1"/>
  <c r="AX884" i="1" s="1"/>
  <c r="AN885" i="1"/>
  <c r="AX885" i="1" s="1"/>
  <c r="AN456" i="1"/>
  <c r="AX456" i="1" s="1"/>
  <c r="AN886" i="1"/>
  <c r="AX886" i="1" s="1"/>
  <c r="AN887" i="1"/>
  <c r="AX887" i="1" s="1"/>
  <c r="AN888" i="1"/>
  <c r="AX888" i="1" s="1"/>
  <c r="AN457" i="1"/>
  <c r="AX457" i="1" s="1"/>
  <c r="AN458" i="1"/>
  <c r="AX458" i="1" s="1"/>
  <c r="AN459" i="1"/>
  <c r="AX459" i="1" s="1"/>
  <c r="AN889" i="1"/>
  <c r="AX889" i="1" s="1"/>
  <c r="AN890" i="1"/>
  <c r="AX890" i="1" s="1"/>
  <c r="AN460" i="1"/>
  <c r="AX460" i="1" s="1"/>
  <c r="AN461" i="1"/>
  <c r="AX461" i="1" s="1"/>
  <c r="AN891" i="1"/>
  <c r="AX891" i="1" s="1"/>
  <c r="AN462" i="1"/>
  <c r="AX462" i="1" s="1"/>
  <c r="AN463" i="1"/>
  <c r="AX463" i="1" s="1"/>
  <c r="AN892" i="1"/>
  <c r="AX892" i="1" s="1"/>
  <c r="AN464" i="1"/>
  <c r="AX464" i="1" s="1"/>
  <c r="AN465" i="1"/>
  <c r="AX465" i="1" s="1"/>
  <c r="AN893" i="1"/>
  <c r="AX893" i="1" s="1"/>
  <c r="AN894" i="1"/>
  <c r="AX894" i="1" s="1"/>
  <c r="AN895" i="1"/>
  <c r="AX895" i="1" s="1"/>
  <c r="AN896" i="1"/>
  <c r="AX896" i="1" s="1"/>
  <c r="AN466" i="1"/>
  <c r="AX466" i="1" s="1"/>
  <c r="AN897" i="1"/>
  <c r="AX897" i="1" s="1"/>
  <c r="AN467" i="1"/>
  <c r="AX467" i="1" s="1"/>
  <c r="AN898" i="1"/>
  <c r="AX898" i="1" s="1"/>
  <c r="AN899" i="1"/>
  <c r="AX899" i="1" s="1"/>
  <c r="AN900" i="1"/>
  <c r="AX900" i="1" s="1"/>
  <c r="AN468" i="1"/>
  <c r="AX468" i="1" s="1"/>
  <c r="AN469" i="1"/>
  <c r="AX469" i="1" s="1"/>
  <c r="AN901" i="1"/>
  <c r="AX901" i="1" s="1"/>
  <c r="AN470" i="1"/>
  <c r="AX470" i="1" s="1"/>
  <c r="AN902" i="1"/>
  <c r="AX902" i="1" s="1"/>
  <c r="AN903" i="1"/>
  <c r="AX903" i="1" s="1"/>
  <c r="AN471" i="1"/>
  <c r="AX471" i="1" s="1"/>
  <c r="AN904" i="1"/>
  <c r="AX904" i="1" s="1"/>
  <c r="AN905" i="1"/>
  <c r="AX905" i="1" s="1"/>
  <c r="AN472" i="1"/>
  <c r="AX472" i="1" s="1"/>
  <c r="AN906" i="1"/>
  <c r="AX906" i="1" s="1"/>
  <c r="AN907" i="1"/>
  <c r="AX907" i="1" s="1"/>
  <c r="AN473" i="1"/>
  <c r="AX473" i="1" s="1"/>
  <c r="AN474" i="1"/>
  <c r="AX474" i="1" s="1"/>
  <c r="AN908" i="1"/>
  <c r="AX908" i="1" s="1"/>
  <c r="AN909" i="1"/>
  <c r="AX909" i="1" s="1"/>
  <c r="AN475" i="1"/>
  <c r="AX475" i="1" s="1"/>
  <c r="AN477" i="1"/>
  <c r="AX477" i="1" s="1"/>
  <c r="AN478" i="1"/>
  <c r="AX478" i="1" s="1"/>
  <c r="AN479" i="1"/>
  <c r="AX479" i="1" s="1"/>
  <c r="AN910" i="1"/>
  <c r="AX910" i="1" s="1"/>
  <c r="AN911" i="1"/>
  <c r="AX911" i="1" s="1"/>
  <c r="AN480" i="1"/>
  <c r="AX480" i="1" s="1"/>
  <c r="AN481" i="1"/>
  <c r="AX481" i="1" s="1"/>
  <c r="AN482" i="1"/>
  <c r="AX482" i="1" s="1"/>
  <c r="AN483" i="1"/>
  <c r="AX483" i="1" s="1"/>
  <c r="AN484" i="1"/>
  <c r="AX484" i="1" s="1"/>
  <c r="AN485" i="1"/>
  <c r="AX485" i="1" s="1"/>
  <c r="AN912" i="1"/>
  <c r="AX912" i="1" s="1"/>
  <c r="AN913" i="1"/>
  <c r="AX913" i="1" s="1"/>
  <c r="AN914" i="1"/>
  <c r="AX914" i="1" s="1"/>
  <c r="AN915" i="1"/>
  <c r="AX915" i="1" s="1"/>
  <c r="AN916" i="1"/>
  <c r="AX916" i="1" s="1"/>
  <c r="AN917" i="1"/>
  <c r="AX917" i="1" s="1"/>
  <c r="AN486" i="1"/>
  <c r="AX486" i="1" s="1"/>
  <c r="AN918" i="1"/>
  <c r="AX918" i="1" s="1"/>
  <c r="AN919" i="1"/>
  <c r="AX919" i="1" s="1"/>
  <c r="AN920" i="1"/>
  <c r="AX920" i="1" s="1"/>
  <c r="AN487" i="1"/>
  <c r="AX487" i="1" s="1"/>
  <c r="AN488" i="1"/>
  <c r="AX488" i="1" s="1"/>
  <c r="AN921" i="1"/>
  <c r="AX921" i="1" s="1"/>
  <c r="AN922" i="1"/>
  <c r="AX922" i="1" s="1"/>
  <c r="AN489" i="1"/>
  <c r="AX489" i="1" s="1"/>
  <c r="AN490" i="1"/>
  <c r="AX490" i="1" s="1"/>
  <c r="AN923" i="1"/>
  <c r="AX923" i="1" s="1"/>
  <c r="AN491" i="1"/>
  <c r="AX491" i="1" s="1"/>
  <c r="AN924" i="1"/>
  <c r="AX924" i="1" s="1"/>
  <c r="AN492" i="1"/>
  <c r="AX492" i="1" s="1"/>
  <c r="AN493" i="1"/>
  <c r="AX493" i="1" s="1"/>
  <c r="AN925" i="1"/>
  <c r="AX925" i="1" s="1"/>
  <c r="AN926" i="1"/>
  <c r="AX926" i="1" s="1"/>
  <c r="AN927" i="1"/>
  <c r="AX927" i="1" s="1"/>
  <c r="AN494" i="1"/>
  <c r="AX494" i="1" s="1"/>
  <c r="AN928" i="1"/>
  <c r="AX928" i="1" s="1"/>
  <c r="AN495" i="1"/>
  <c r="AX495" i="1" s="1"/>
  <c r="AN929" i="1"/>
  <c r="AX929" i="1" s="1"/>
  <c r="AN930" i="1"/>
  <c r="AX930" i="1" s="1"/>
  <c r="AN496" i="1"/>
  <c r="AX496" i="1" s="1"/>
  <c r="AN497" i="1"/>
  <c r="AX497" i="1" s="1"/>
  <c r="AN931" i="1"/>
  <c r="AX931" i="1" s="1"/>
  <c r="AN498" i="1"/>
  <c r="AX498" i="1" s="1"/>
  <c r="AN499" i="1"/>
  <c r="AX499" i="1" s="1"/>
  <c r="AN500" i="1"/>
  <c r="AX500" i="1" s="1"/>
  <c r="AN501" i="1"/>
  <c r="AX501" i="1" s="1"/>
  <c r="AN932" i="1"/>
  <c r="AX932" i="1" s="1"/>
  <c r="AN502" i="1"/>
  <c r="AX502" i="1" s="1"/>
  <c r="AN933" i="1"/>
  <c r="AX933" i="1" s="1"/>
  <c r="AN288" i="1"/>
  <c r="AX288" i="1" s="1"/>
  <c r="AN341" i="1"/>
  <c r="AX341" i="1" s="1"/>
  <c r="AN835" i="1"/>
  <c r="AX835" i="1" s="1"/>
  <c r="AN398" i="1"/>
  <c r="AX398" i="1" s="1"/>
  <c r="AN163" i="1"/>
  <c r="AX163" i="1" s="1"/>
  <c r="AN801" i="1"/>
  <c r="AX801" i="1" s="1"/>
  <c r="AN854" i="1"/>
  <c r="AX854" i="1" s="1"/>
  <c r="AN86" i="1"/>
  <c r="AX86" i="1" s="1"/>
  <c r="AN849" i="1"/>
  <c r="AX849" i="1" s="1"/>
  <c r="AN695" i="1"/>
  <c r="AX695" i="1" s="1"/>
  <c r="AN78" i="1"/>
  <c r="AX78" i="1" s="1"/>
  <c r="AN149" i="1"/>
  <c r="AX149" i="1" s="1"/>
  <c r="AN683" i="1"/>
  <c r="AX683" i="1" s="1"/>
  <c r="AN166" i="1"/>
  <c r="AX166" i="1" s="1"/>
  <c r="AN403" i="1"/>
  <c r="AX403" i="1" s="1"/>
  <c r="AN762" i="1"/>
  <c r="AX762" i="1" s="1"/>
  <c r="AN476" i="1"/>
  <c r="AX476" i="1" s="1"/>
  <c r="AN556" i="1"/>
  <c r="AX556" i="1" s="1"/>
  <c r="AN824" i="1"/>
  <c r="AX824" i="1" s="1"/>
  <c r="AN505" i="1"/>
  <c r="AX505" i="1" s="1"/>
  <c r="AN195" i="1"/>
  <c r="AX195" i="1" s="1"/>
  <c r="AN539" i="1"/>
  <c r="AX539" i="1" s="1"/>
  <c r="AN680" i="1"/>
  <c r="AX680" i="1" s="1"/>
  <c r="AN608" i="1"/>
  <c r="AX608" i="1" s="1"/>
  <c r="AN649" i="1"/>
  <c r="AX649" i="1" s="1"/>
  <c r="AN579" i="1"/>
  <c r="AX579" i="1" s="1"/>
  <c r="AN239" i="1"/>
  <c r="AX239" i="1" s="1"/>
  <c r="AN773" i="1"/>
  <c r="AX773" i="1" s="1"/>
  <c r="AN91" i="1"/>
  <c r="AX91" i="1" s="1"/>
  <c r="AN159" i="1"/>
  <c r="AX159" i="1" s="1"/>
  <c r="AN79" i="1"/>
  <c r="AX79" i="1" s="1"/>
  <c r="AN659" i="1"/>
  <c r="AX659" i="1" s="1"/>
  <c r="AY6" i="1" l="1"/>
  <c r="AY9" i="1"/>
  <c r="AO84" i="1"/>
  <c r="AO85" i="1"/>
  <c r="AO558" i="1"/>
  <c r="AO559" i="1"/>
  <c r="AO560" i="1"/>
  <c r="AO561" i="1"/>
  <c r="AO87" i="1"/>
  <c r="AO562" i="1"/>
  <c r="AO88" i="1"/>
  <c r="AO89" i="1"/>
  <c r="AO90" i="1"/>
  <c r="AO92" i="1"/>
  <c r="AO93" i="1"/>
  <c r="AO563" i="1"/>
  <c r="AO564" i="1"/>
  <c r="AO94" i="1"/>
  <c r="AO565" i="1"/>
  <c r="AO95" i="1"/>
  <c r="AO96" i="1"/>
  <c r="AO97" i="1"/>
  <c r="AO98" i="1"/>
  <c r="AO566" i="1"/>
  <c r="AO99" i="1"/>
  <c r="AO567" i="1"/>
  <c r="AO568" i="1"/>
  <c r="AO100" i="1"/>
  <c r="AO101" i="1"/>
  <c r="AO569" i="1"/>
  <c r="AO570" i="1"/>
  <c r="AO571" i="1"/>
  <c r="AO102" i="1"/>
  <c r="AO572" i="1"/>
  <c r="AO573" i="1"/>
  <c r="AO103" i="1"/>
  <c r="AO574" i="1"/>
  <c r="AO575" i="1"/>
  <c r="AO576" i="1"/>
  <c r="AO577" i="1"/>
  <c r="AO578" i="1"/>
  <c r="AO580" i="1"/>
  <c r="AO581" i="1"/>
  <c r="AO104" i="1"/>
  <c r="AO582" i="1"/>
  <c r="AO105" i="1"/>
  <c r="AO583" i="1"/>
  <c r="AO106" i="1"/>
  <c r="AO107" i="1"/>
  <c r="AO108" i="1"/>
  <c r="AO109" i="1"/>
  <c r="AO584" i="1"/>
  <c r="AO110" i="1"/>
  <c r="AO585" i="1"/>
  <c r="AO111" i="1"/>
  <c r="AO112" i="1"/>
  <c r="AO113" i="1"/>
  <c r="AO586" i="1"/>
  <c r="AO587" i="1"/>
  <c r="AO588" i="1"/>
  <c r="AO589" i="1"/>
  <c r="AO114" i="1"/>
  <c r="AO115" i="1"/>
  <c r="AO116" i="1"/>
  <c r="AO590" i="1"/>
  <c r="AO591" i="1"/>
  <c r="AO117" i="1"/>
  <c r="AO592" i="1"/>
  <c r="AO118" i="1"/>
  <c r="AO119" i="1"/>
  <c r="AO593" i="1"/>
  <c r="AO594" i="1"/>
  <c r="AO595" i="1"/>
  <c r="AO120" i="1"/>
  <c r="AO596" i="1"/>
  <c r="AO597" i="1"/>
  <c r="AO598" i="1"/>
  <c r="AO121" i="1"/>
  <c r="AO599" i="1"/>
  <c r="AO600" i="1"/>
  <c r="AO122" i="1"/>
  <c r="AO123" i="1"/>
  <c r="AO124" i="1"/>
  <c r="AO125" i="1"/>
  <c r="AO126" i="1"/>
  <c r="AO127" i="1"/>
  <c r="AO601" i="1"/>
  <c r="AO602" i="1"/>
  <c r="AO603" i="1"/>
  <c r="AO2" i="1"/>
  <c r="AO3" i="1"/>
  <c r="AO4" i="1"/>
  <c r="AO5" i="1"/>
  <c r="AO503" i="1"/>
  <c r="AO6" i="1"/>
  <c r="AO504" i="1"/>
  <c r="AO506" i="1"/>
  <c r="AO7" i="1"/>
  <c r="AO507" i="1"/>
  <c r="AO508" i="1"/>
  <c r="AO8" i="1"/>
  <c r="AO9" i="1"/>
  <c r="AO509" i="1"/>
  <c r="AO10" i="1"/>
  <c r="AO11" i="1"/>
  <c r="AO12" i="1"/>
  <c r="AO13" i="1"/>
  <c r="AO510" i="1"/>
  <c r="AO14" i="1"/>
  <c r="AO511" i="1"/>
  <c r="AO512" i="1"/>
  <c r="AO513" i="1"/>
  <c r="AO514" i="1"/>
  <c r="AO15" i="1"/>
  <c r="AO16" i="1"/>
  <c r="AO17" i="1"/>
  <c r="AO515" i="1"/>
  <c r="AO18" i="1"/>
  <c r="AO516" i="1"/>
  <c r="AO19" i="1"/>
  <c r="AO517" i="1"/>
  <c r="AO20" i="1"/>
  <c r="AO21" i="1"/>
  <c r="AO518" i="1"/>
  <c r="AO22" i="1"/>
  <c r="AO23" i="1"/>
  <c r="AO519" i="1"/>
  <c r="AO24" i="1"/>
  <c r="AO25" i="1"/>
  <c r="AO26" i="1"/>
  <c r="AO27" i="1"/>
  <c r="AO520" i="1"/>
  <c r="AO28" i="1"/>
  <c r="AO29" i="1"/>
  <c r="AO30" i="1"/>
  <c r="AO31" i="1"/>
  <c r="AO32" i="1"/>
  <c r="AO521" i="1"/>
  <c r="AO33" i="1"/>
  <c r="AO522" i="1"/>
  <c r="AO34" i="1"/>
  <c r="AO35" i="1"/>
  <c r="AO523" i="1"/>
  <c r="AO524" i="1"/>
  <c r="AO525" i="1"/>
  <c r="AO526" i="1"/>
  <c r="AO36" i="1"/>
  <c r="AO37" i="1"/>
  <c r="AO38" i="1"/>
  <c r="AO39" i="1"/>
  <c r="AO40" i="1"/>
  <c r="AO41" i="1"/>
  <c r="AO42" i="1"/>
  <c r="AO43" i="1"/>
  <c r="AO44" i="1"/>
  <c r="AO527" i="1"/>
  <c r="AO528" i="1"/>
  <c r="AO45" i="1"/>
  <c r="AO46" i="1"/>
  <c r="AO529" i="1"/>
  <c r="AO530" i="1"/>
  <c r="AO47" i="1"/>
  <c r="AO531" i="1"/>
  <c r="AO532" i="1"/>
  <c r="AO533" i="1"/>
  <c r="AO48" i="1"/>
  <c r="AO534" i="1"/>
  <c r="AO535" i="1"/>
  <c r="AO536" i="1"/>
  <c r="AO49" i="1"/>
  <c r="AO537" i="1"/>
  <c r="AO50" i="1"/>
  <c r="AO51" i="1"/>
  <c r="AO52" i="1"/>
  <c r="AO53" i="1"/>
  <c r="AO54" i="1"/>
  <c r="AO55" i="1"/>
  <c r="AO56" i="1"/>
  <c r="AO57" i="1"/>
  <c r="AO538" i="1"/>
  <c r="AO540" i="1"/>
  <c r="AO541" i="1"/>
  <c r="AO58" i="1"/>
  <c r="AO59" i="1"/>
  <c r="AO542" i="1"/>
  <c r="AO60" i="1"/>
  <c r="AO543" i="1"/>
  <c r="AO61" i="1"/>
  <c r="AO544" i="1"/>
  <c r="AO545" i="1"/>
  <c r="AO62" i="1"/>
  <c r="AO546" i="1"/>
  <c r="AO547" i="1"/>
  <c r="AO548" i="1"/>
  <c r="AO63" i="1"/>
  <c r="AO64" i="1"/>
  <c r="AO65" i="1"/>
  <c r="AO66" i="1"/>
  <c r="AO549" i="1"/>
  <c r="AO67" i="1"/>
  <c r="AO550" i="1"/>
  <c r="AO68" i="1"/>
  <c r="AO69" i="1"/>
  <c r="AO70" i="1"/>
  <c r="AO71" i="1"/>
  <c r="AO551" i="1"/>
  <c r="AO72" i="1"/>
  <c r="AO73" i="1"/>
  <c r="AO74" i="1"/>
  <c r="AO75" i="1"/>
  <c r="AO552" i="1"/>
  <c r="AO76" i="1"/>
  <c r="AO77" i="1"/>
  <c r="AO80" i="1"/>
  <c r="AO553" i="1"/>
  <c r="AO554" i="1"/>
  <c r="AO555" i="1"/>
  <c r="AO81" i="1"/>
  <c r="AO82" i="1"/>
  <c r="AO83" i="1"/>
  <c r="AO557" i="1"/>
  <c r="AO128" i="1"/>
  <c r="AO129" i="1"/>
  <c r="AO604" i="1"/>
  <c r="AO605" i="1"/>
  <c r="AO606" i="1"/>
  <c r="AO607" i="1"/>
  <c r="AO130" i="1"/>
  <c r="AO609" i="1"/>
  <c r="AO131" i="1"/>
  <c r="AO132" i="1"/>
  <c r="AO610" i="1"/>
  <c r="AO133" i="1"/>
  <c r="AO134" i="1"/>
  <c r="AO611" i="1"/>
  <c r="AO135" i="1"/>
  <c r="AO136" i="1"/>
  <c r="AO137" i="1"/>
  <c r="AO138" i="1"/>
  <c r="AO139" i="1"/>
  <c r="AO140" i="1"/>
  <c r="AO141" i="1"/>
  <c r="AO142" i="1"/>
  <c r="AO612" i="1"/>
  <c r="AO613" i="1"/>
  <c r="AO614" i="1"/>
  <c r="AO143" i="1"/>
  <c r="AO144" i="1"/>
  <c r="AO145" i="1"/>
  <c r="AO146" i="1"/>
  <c r="AO147" i="1"/>
  <c r="AO615" i="1"/>
  <c r="AO148" i="1"/>
  <c r="AO616" i="1"/>
  <c r="AO617" i="1"/>
  <c r="AO150" i="1"/>
  <c r="AO618" i="1"/>
  <c r="AO619" i="1"/>
  <c r="AO151" i="1"/>
  <c r="AO620" i="1"/>
  <c r="AO152" i="1"/>
  <c r="AO153" i="1"/>
  <c r="AO621" i="1"/>
  <c r="AO622" i="1"/>
  <c r="AO623" i="1"/>
  <c r="AO624" i="1"/>
  <c r="AO154" i="1"/>
  <c r="AO155" i="1"/>
  <c r="AO625" i="1"/>
  <c r="AO626" i="1"/>
  <c r="AO627" i="1"/>
  <c r="AO628" i="1"/>
  <c r="AO156" i="1"/>
  <c r="AO157" i="1"/>
  <c r="AO158" i="1"/>
  <c r="AO629" i="1"/>
  <c r="AO160" i="1"/>
  <c r="AO161" i="1"/>
  <c r="AO162" i="1"/>
  <c r="AO630" i="1"/>
  <c r="AO631" i="1"/>
  <c r="AO164" i="1"/>
  <c r="AO165" i="1"/>
  <c r="AO632" i="1"/>
  <c r="AO167" i="1"/>
  <c r="AO633" i="1"/>
  <c r="AO168" i="1"/>
  <c r="AO634" i="1"/>
  <c r="AO169" i="1"/>
  <c r="AO170" i="1"/>
  <c r="AO171" i="1"/>
  <c r="AO635" i="1"/>
  <c r="AO636" i="1"/>
  <c r="AO172" i="1"/>
  <c r="AO637" i="1"/>
  <c r="AO173" i="1"/>
  <c r="AO638" i="1"/>
  <c r="AO639" i="1"/>
  <c r="AO640" i="1"/>
  <c r="AO174" i="1"/>
  <c r="AO641" i="1"/>
  <c r="AO175" i="1"/>
  <c r="AO176" i="1"/>
  <c r="AO642" i="1"/>
  <c r="AO643" i="1"/>
  <c r="AO177" i="1"/>
  <c r="AO178" i="1"/>
  <c r="AO179" i="1"/>
  <c r="AO644" i="1"/>
  <c r="AO645" i="1"/>
  <c r="AO646" i="1"/>
  <c r="AO180" i="1"/>
  <c r="AO181" i="1"/>
  <c r="AO182" i="1"/>
  <c r="AO183" i="1"/>
  <c r="AO647" i="1"/>
  <c r="AO648" i="1"/>
  <c r="AO184" i="1"/>
  <c r="AO185" i="1"/>
  <c r="AO650" i="1"/>
  <c r="AO186" i="1"/>
  <c r="AO187" i="1"/>
  <c r="AO188" i="1"/>
  <c r="AO189" i="1"/>
  <c r="AO190" i="1"/>
  <c r="AO191" i="1"/>
  <c r="AO651" i="1"/>
  <c r="AO652" i="1"/>
  <c r="AO653" i="1"/>
  <c r="AO192" i="1"/>
  <c r="AO654" i="1"/>
  <c r="AO655" i="1"/>
  <c r="AO193" i="1"/>
  <c r="AO194" i="1"/>
  <c r="AO656" i="1"/>
  <c r="AO657" i="1"/>
  <c r="AO196" i="1"/>
  <c r="AO658" i="1"/>
  <c r="AO197" i="1"/>
  <c r="AO198" i="1"/>
  <c r="AO199" i="1"/>
  <c r="AO660" i="1"/>
  <c r="AO200" i="1"/>
  <c r="AO661" i="1"/>
  <c r="AO662" i="1"/>
  <c r="AO663" i="1"/>
  <c r="AO201" i="1"/>
  <c r="AO202" i="1"/>
  <c r="AO664" i="1"/>
  <c r="AO203" i="1"/>
  <c r="AO204" i="1"/>
  <c r="AO665" i="1"/>
  <c r="AO205" i="1"/>
  <c r="AO666" i="1"/>
  <c r="AO667" i="1"/>
  <c r="AO668" i="1"/>
  <c r="AO206" i="1"/>
  <c r="AO207" i="1"/>
  <c r="AO669" i="1"/>
  <c r="AO670" i="1"/>
  <c r="AO671" i="1"/>
  <c r="AO208" i="1"/>
  <c r="AO209" i="1"/>
  <c r="AO672" i="1"/>
  <c r="AO210" i="1"/>
  <c r="AO673" i="1"/>
  <c r="AO674" i="1"/>
  <c r="AO211" i="1"/>
  <c r="AO675" i="1"/>
  <c r="AO212" i="1"/>
  <c r="AO676" i="1"/>
  <c r="AO677" i="1"/>
  <c r="AO213" i="1"/>
  <c r="AO214" i="1"/>
  <c r="AO678" i="1"/>
  <c r="AO679" i="1"/>
  <c r="AO681" i="1"/>
  <c r="AO215" i="1"/>
  <c r="AO216" i="1"/>
  <c r="AO682" i="1"/>
  <c r="AO684" i="1"/>
  <c r="AO217" i="1"/>
  <c r="AO218" i="1"/>
  <c r="AO685" i="1"/>
  <c r="AO686" i="1"/>
  <c r="AO687" i="1"/>
  <c r="AO219" i="1"/>
  <c r="AO688" i="1"/>
  <c r="AO689" i="1"/>
  <c r="AO690" i="1"/>
  <c r="AO220" i="1"/>
  <c r="AO221" i="1"/>
  <c r="AO222" i="1"/>
  <c r="AO691" i="1"/>
  <c r="AO223" i="1"/>
  <c r="AO224" i="1"/>
  <c r="AO225" i="1"/>
  <c r="AO226" i="1"/>
  <c r="AO692" i="1"/>
  <c r="AO693" i="1"/>
  <c r="AO227" i="1"/>
  <c r="AO694" i="1"/>
  <c r="AO696" i="1"/>
  <c r="AO697" i="1"/>
  <c r="AO228" i="1"/>
  <c r="AO229" i="1"/>
  <c r="AO230" i="1"/>
  <c r="AO231" i="1"/>
  <c r="AO698" i="1"/>
  <c r="AO232" i="1"/>
  <c r="AO699" i="1"/>
  <c r="AO700" i="1"/>
  <c r="AO233" i="1"/>
  <c r="AO701" i="1"/>
  <c r="AO234" i="1"/>
  <c r="AO702" i="1"/>
  <c r="AO235" i="1"/>
  <c r="AO236" i="1"/>
  <c r="AO703" i="1"/>
  <c r="AO704" i="1"/>
  <c r="AO237" i="1"/>
  <c r="AO705" i="1"/>
  <c r="AO706" i="1"/>
  <c r="AO707" i="1"/>
  <c r="AO708" i="1"/>
  <c r="AO238" i="1"/>
  <c r="AO240" i="1"/>
  <c r="AO241" i="1"/>
  <c r="AO242" i="1"/>
  <c r="AO709" i="1"/>
  <c r="AO710" i="1"/>
  <c r="AO711" i="1"/>
  <c r="AO243" i="1"/>
  <c r="AO244" i="1"/>
  <c r="AO245" i="1"/>
  <c r="AO246" i="1"/>
  <c r="AO712" i="1"/>
  <c r="AO713" i="1"/>
  <c r="AO247" i="1"/>
  <c r="AO248" i="1"/>
  <c r="AO714" i="1"/>
  <c r="AO715" i="1"/>
  <c r="AO249" i="1"/>
  <c r="AO250" i="1"/>
  <c r="AO716" i="1"/>
  <c r="AO251" i="1"/>
  <c r="AO717" i="1"/>
  <c r="AO252" i="1"/>
  <c r="AO718" i="1"/>
  <c r="AO719" i="1"/>
  <c r="AO253" i="1"/>
  <c r="AO254" i="1"/>
  <c r="AO720" i="1"/>
  <c r="AO255" i="1"/>
  <c r="AO256" i="1"/>
  <c r="AO721" i="1"/>
  <c r="AO722" i="1"/>
  <c r="AO257" i="1"/>
  <c r="AO258" i="1"/>
  <c r="AO259" i="1"/>
  <c r="AO260" i="1"/>
  <c r="AO261" i="1"/>
  <c r="AO723" i="1"/>
  <c r="AO724" i="1"/>
  <c r="AO262" i="1"/>
  <c r="AO725" i="1"/>
  <c r="AO726" i="1"/>
  <c r="AO263" i="1"/>
  <c r="AO264" i="1"/>
  <c r="AO265" i="1"/>
  <c r="AO727" i="1"/>
  <c r="AO266" i="1"/>
  <c r="AO267" i="1"/>
  <c r="AO268" i="1"/>
  <c r="AO269" i="1"/>
  <c r="AO270" i="1"/>
  <c r="AO271" i="1"/>
  <c r="AO728" i="1"/>
  <c r="AO272" i="1"/>
  <c r="AO729" i="1"/>
  <c r="AO273" i="1"/>
  <c r="AO274" i="1"/>
  <c r="AO730" i="1"/>
  <c r="AO731" i="1"/>
  <c r="AO275" i="1"/>
  <c r="AO276" i="1"/>
  <c r="AO277" i="1"/>
  <c r="AO732" i="1"/>
  <c r="AO733" i="1"/>
  <c r="AO734" i="1"/>
  <c r="AO278" i="1"/>
  <c r="AO279" i="1"/>
  <c r="AO280" i="1"/>
  <c r="AO735" i="1"/>
  <c r="AO736" i="1"/>
  <c r="AO737" i="1"/>
  <c r="AO281" i="1"/>
  <c r="AO282" i="1"/>
  <c r="AO738" i="1"/>
  <c r="AO283" i="1"/>
  <c r="AO739" i="1"/>
  <c r="AO284" i="1"/>
  <c r="AO285" i="1"/>
  <c r="AO286" i="1"/>
  <c r="AO287" i="1"/>
  <c r="AO289" i="1"/>
  <c r="AO740" i="1"/>
  <c r="AO290" i="1"/>
  <c r="AO291" i="1"/>
  <c r="AO741" i="1"/>
  <c r="AO292" i="1"/>
  <c r="AO742" i="1"/>
  <c r="AO293" i="1"/>
  <c r="AO294" i="1"/>
  <c r="AO743" i="1"/>
  <c r="AO744" i="1"/>
  <c r="AO295" i="1"/>
  <c r="AO745" i="1"/>
  <c r="AO296" i="1"/>
  <c r="AO746" i="1"/>
  <c r="AO747" i="1"/>
  <c r="AO748" i="1"/>
  <c r="AO297" i="1"/>
  <c r="AO749" i="1"/>
  <c r="AO750" i="1"/>
  <c r="AO298" i="1"/>
  <c r="AO299" i="1"/>
  <c r="AO300" i="1"/>
  <c r="AO751" i="1"/>
  <c r="AO752" i="1"/>
  <c r="AO301" i="1"/>
  <c r="AO302" i="1"/>
  <c r="AO753" i="1"/>
  <c r="AO303" i="1"/>
  <c r="AO754" i="1"/>
  <c r="AO304" i="1"/>
  <c r="AO755" i="1"/>
  <c r="AO305" i="1"/>
  <c r="AO756" i="1"/>
  <c r="AO306" i="1"/>
  <c r="AO307" i="1"/>
  <c r="AO757" i="1"/>
  <c r="AO308" i="1"/>
  <c r="AO758" i="1"/>
  <c r="AO309" i="1"/>
  <c r="AO310" i="1"/>
  <c r="AO759" i="1"/>
  <c r="AO311" i="1"/>
  <c r="AO760" i="1"/>
  <c r="AO312" i="1"/>
  <c r="AO313" i="1"/>
  <c r="AO761" i="1"/>
  <c r="AO314" i="1"/>
  <c r="AO315" i="1"/>
  <c r="AO763" i="1"/>
  <c r="AO764" i="1"/>
  <c r="AO316" i="1"/>
  <c r="AO765" i="1"/>
  <c r="AO317" i="1"/>
  <c r="AO318" i="1"/>
  <c r="AO766" i="1"/>
  <c r="AO767" i="1"/>
  <c r="AO319" i="1"/>
  <c r="AO768" i="1"/>
  <c r="AO320" i="1"/>
  <c r="AO321" i="1"/>
  <c r="AO322" i="1"/>
  <c r="AO769" i="1"/>
  <c r="AO323" i="1"/>
  <c r="AO324" i="1"/>
  <c r="AO325" i="1"/>
  <c r="AO770" i="1"/>
  <c r="AO771" i="1"/>
  <c r="AO772" i="1"/>
  <c r="AO326" i="1"/>
  <c r="AO774" i="1"/>
  <c r="AO327" i="1"/>
  <c r="AO775" i="1"/>
  <c r="AO328" i="1"/>
  <c r="AO776" i="1"/>
  <c r="AO329" i="1"/>
  <c r="AO330" i="1"/>
  <c r="AO777" i="1"/>
  <c r="AO778" i="1"/>
  <c r="AO331" i="1"/>
  <c r="AO332" i="1"/>
  <c r="AO333" i="1"/>
  <c r="AO779" i="1"/>
  <c r="AO780" i="1"/>
  <c r="AO781" i="1"/>
  <c r="AO782" i="1"/>
  <c r="AO334" i="1"/>
  <c r="AO335" i="1"/>
  <c r="AO336" i="1"/>
  <c r="AO337" i="1"/>
  <c r="AO783" i="1"/>
  <c r="AO338" i="1"/>
  <c r="AO784" i="1"/>
  <c r="AO339" i="1"/>
  <c r="AO785" i="1"/>
  <c r="AO340" i="1"/>
  <c r="AO342" i="1"/>
  <c r="AO786" i="1"/>
  <c r="AO343" i="1"/>
  <c r="AO344" i="1"/>
  <c r="AO787" i="1"/>
  <c r="AO788" i="1"/>
  <c r="AO789" i="1"/>
  <c r="AO790" i="1"/>
  <c r="AO791" i="1"/>
  <c r="AO345" i="1"/>
  <c r="AO792" i="1"/>
  <c r="AO346" i="1"/>
  <c r="AO793" i="1"/>
  <c r="AO794" i="1"/>
  <c r="AO347" i="1"/>
  <c r="AO348" i="1"/>
  <c r="AO349" i="1"/>
  <c r="AO350" i="1"/>
  <c r="AO351" i="1"/>
  <c r="AO352" i="1"/>
  <c r="AO353" i="1"/>
  <c r="AO354" i="1"/>
  <c r="AO355" i="1"/>
  <c r="AO795" i="1"/>
  <c r="AO356" i="1"/>
  <c r="AO357" i="1"/>
  <c r="AO358" i="1"/>
  <c r="AO796" i="1"/>
  <c r="AO797" i="1"/>
  <c r="AO798" i="1"/>
  <c r="AO799" i="1"/>
  <c r="AO359" i="1"/>
  <c r="AO360" i="1"/>
  <c r="AO800" i="1"/>
  <c r="AO802" i="1"/>
  <c r="AO803" i="1"/>
  <c r="AO361" i="1"/>
  <c r="AO362" i="1"/>
  <c r="AO363" i="1"/>
  <c r="AO364" i="1"/>
  <c r="AO365" i="1"/>
  <c r="AO804" i="1"/>
  <c r="AO805" i="1"/>
  <c r="AO366" i="1"/>
  <c r="AO367" i="1"/>
  <c r="AO806" i="1"/>
  <c r="AO368" i="1"/>
  <c r="AO369" i="1"/>
  <c r="AO807" i="1"/>
  <c r="AO370" i="1"/>
  <c r="AO808" i="1"/>
  <c r="AO371" i="1"/>
  <c r="AO809" i="1"/>
  <c r="AO810" i="1"/>
  <c r="AO811" i="1"/>
  <c r="AO812" i="1"/>
  <c r="AO813" i="1"/>
  <c r="AO372" i="1"/>
  <c r="AO814" i="1"/>
  <c r="AO815" i="1"/>
  <c r="AO816" i="1"/>
  <c r="AO817" i="1"/>
  <c r="AO373" i="1"/>
  <c r="AO374" i="1"/>
  <c r="AO375" i="1"/>
  <c r="AO376" i="1"/>
  <c r="AO818" i="1"/>
  <c r="AO377" i="1"/>
  <c r="AO819" i="1"/>
  <c r="AO378" i="1"/>
  <c r="AO379" i="1"/>
  <c r="AO820" i="1"/>
  <c r="AO380" i="1"/>
  <c r="AO381" i="1"/>
  <c r="AO821" i="1"/>
  <c r="AO382" i="1"/>
  <c r="AO822" i="1"/>
  <c r="AO823" i="1"/>
  <c r="AO383" i="1"/>
  <c r="AO384" i="1"/>
  <c r="AO825" i="1"/>
  <c r="AO385" i="1"/>
  <c r="AO386" i="1"/>
  <c r="AO826" i="1"/>
  <c r="AO827" i="1"/>
  <c r="AO828" i="1"/>
  <c r="AO829" i="1"/>
  <c r="AO387" i="1"/>
  <c r="AO830" i="1"/>
  <c r="AO831" i="1"/>
  <c r="AO388" i="1"/>
  <c r="AO389" i="1"/>
  <c r="AO390" i="1"/>
  <c r="AO832" i="1"/>
  <c r="AO833" i="1"/>
  <c r="AO834" i="1"/>
  <c r="AO391" i="1"/>
  <c r="AO836" i="1"/>
  <c r="AO837" i="1"/>
  <c r="AO392" i="1"/>
  <c r="AO393" i="1"/>
  <c r="AO394" i="1"/>
  <c r="AO395" i="1"/>
  <c r="AO838" i="1"/>
  <c r="AO396" i="1"/>
  <c r="AO397" i="1"/>
  <c r="AO399" i="1"/>
  <c r="AO400" i="1"/>
  <c r="AO839" i="1"/>
  <c r="AO840" i="1"/>
  <c r="AO841" i="1"/>
  <c r="AO401" i="1"/>
  <c r="AO842" i="1"/>
  <c r="AO402" i="1"/>
  <c r="AO843" i="1"/>
  <c r="AO844" i="1"/>
  <c r="AO845" i="1"/>
  <c r="AO846" i="1"/>
  <c r="AO847" i="1"/>
  <c r="AO404" i="1"/>
  <c r="AO848" i="1"/>
  <c r="AO405" i="1"/>
  <c r="AO850" i="1"/>
  <c r="AO406" i="1"/>
  <c r="AO851" i="1"/>
  <c r="AO407" i="1"/>
  <c r="AO852" i="1"/>
  <c r="AO408" i="1"/>
  <c r="AO409" i="1"/>
  <c r="AO410" i="1"/>
  <c r="AO853" i="1"/>
  <c r="AO855" i="1"/>
  <c r="AO411" i="1"/>
  <c r="AO412" i="1"/>
  <c r="AO413" i="1"/>
  <c r="AO414" i="1"/>
  <c r="AO415" i="1"/>
  <c r="AO416" i="1"/>
  <c r="AO417" i="1"/>
  <c r="AO856" i="1"/>
  <c r="AO418" i="1"/>
  <c r="AO419" i="1"/>
  <c r="AO857" i="1"/>
  <c r="AO420" i="1"/>
  <c r="AO858" i="1"/>
  <c r="AO859" i="1"/>
  <c r="AO421" i="1"/>
  <c r="AO860" i="1"/>
  <c r="AO422" i="1"/>
  <c r="AO423" i="1"/>
  <c r="AO424" i="1"/>
  <c r="AO861" i="1"/>
  <c r="AO862" i="1"/>
  <c r="AO425" i="1"/>
  <c r="AO426" i="1"/>
  <c r="AO863" i="1"/>
  <c r="AO864" i="1"/>
  <c r="AO427" i="1"/>
  <c r="AO865" i="1"/>
  <c r="AO428" i="1"/>
  <c r="AO429" i="1"/>
  <c r="AO430" i="1"/>
  <c r="AO866" i="1"/>
  <c r="AO431" i="1"/>
  <c r="AO867" i="1"/>
  <c r="AO868" i="1"/>
  <c r="AO869" i="1"/>
  <c r="AO432" i="1"/>
  <c r="AO433" i="1"/>
  <c r="AO870" i="1"/>
  <c r="AO434" i="1"/>
  <c r="AO435" i="1"/>
  <c r="AO436" i="1"/>
  <c r="AO871" i="1"/>
  <c r="AO872" i="1"/>
  <c r="AO873" i="1"/>
  <c r="AO437" i="1"/>
  <c r="AO874" i="1"/>
  <c r="AO438" i="1"/>
  <c r="AO439" i="1"/>
  <c r="AO440" i="1"/>
  <c r="AO441" i="1"/>
  <c r="AO442" i="1"/>
  <c r="AO875" i="1"/>
  <c r="AO443" i="1"/>
  <c r="AO876" i="1"/>
  <c r="AO444" i="1"/>
  <c r="AO877" i="1"/>
  <c r="AO445" i="1"/>
  <c r="AO446" i="1"/>
  <c r="AO878" i="1"/>
  <c r="AO447" i="1"/>
  <c r="AO448" i="1"/>
  <c r="AO879" i="1"/>
  <c r="AO449" i="1"/>
  <c r="AO880" i="1"/>
  <c r="AO450" i="1"/>
  <c r="AO451" i="1"/>
  <c r="AO452" i="1"/>
  <c r="AO881" i="1"/>
  <c r="AO453" i="1"/>
  <c r="AO454" i="1"/>
  <c r="AO882" i="1"/>
  <c r="AO883" i="1"/>
  <c r="AO455" i="1"/>
  <c r="AO884" i="1"/>
  <c r="AO885" i="1"/>
  <c r="AO456" i="1"/>
  <c r="AO886" i="1"/>
  <c r="AO887" i="1"/>
  <c r="AO888" i="1"/>
  <c r="AO457" i="1"/>
  <c r="AO458" i="1"/>
  <c r="AO459" i="1"/>
  <c r="AO889" i="1"/>
  <c r="AO890" i="1"/>
  <c r="AO460" i="1"/>
  <c r="AO461" i="1"/>
  <c r="AO891" i="1"/>
  <c r="AO462" i="1"/>
  <c r="AO463" i="1"/>
  <c r="AO892" i="1"/>
  <c r="AO464" i="1"/>
  <c r="AO465" i="1"/>
  <c r="AO893" i="1"/>
  <c r="AO894" i="1"/>
  <c r="AO895" i="1"/>
  <c r="AO896" i="1"/>
  <c r="AO466" i="1"/>
  <c r="AO897" i="1"/>
  <c r="AO467" i="1"/>
  <c r="AO898" i="1"/>
  <c r="AO899" i="1"/>
  <c r="AO900" i="1"/>
  <c r="AO468" i="1"/>
  <c r="AO469" i="1"/>
  <c r="AO901" i="1"/>
  <c r="AO470" i="1"/>
  <c r="AO902" i="1"/>
  <c r="AO903" i="1"/>
  <c r="AO471" i="1"/>
  <c r="AO904" i="1"/>
  <c r="AO905" i="1"/>
  <c r="AO472" i="1"/>
  <c r="AO906" i="1"/>
  <c r="AO907" i="1"/>
  <c r="AO473" i="1"/>
  <c r="AO474" i="1"/>
  <c r="AO908" i="1"/>
  <c r="AO909" i="1"/>
  <c r="AO475" i="1"/>
  <c r="AO477" i="1"/>
  <c r="AO478" i="1"/>
  <c r="AO479" i="1"/>
  <c r="AO910" i="1"/>
  <c r="AO911" i="1"/>
  <c r="AO480" i="1"/>
  <c r="AO481" i="1"/>
  <c r="AO482" i="1"/>
  <c r="AO483" i="1"/>
  <c r="AO484" i="1"/>
  <c r="AO485" i="1"/>
  <c r="AO912" i="1"/>
  <c r="AO913" i="1"/>
  <c r="AO914" i="1"/>
  <c r="AO915" i="1"/>
  <c r="AO916" i="1"/>
  <c r="AO917" i="1"/>
  <c r="AO486" i="1"/>
  <c r="AO918" i="1"/>
  <c r="AO919" i="1"/>
  <c r="AO920" i="1"/>
  <c r="AO487" i="1"/>
  <c r="AO488" i="1"/>
  <c r="AO921" i="1"/>
  <c r="AO922" i="1"/>
  <c r="AO489" i="1"/>
  <c r="AO490" i="1"/>
  <c r="AO923" i="1"/>
  <c r="AO491" i="1"/>
  <c r="AO924" i="1"/>
  <c r="AO492" i="1"/>
  <c r="AO493" i="1"/>
  <c r="AO925" i="1"/>
  <c r="AO926" i="1"/>
  <c r="AO927" i="1"/>
  <c r="AO494" i="1"/>
  <c r="AO928" i="1"/>
  <c r="AO495" i="1"/>
  <c r="AO929" i="1"/>
  <c r="AO930" i="1"/>
  <c r="AO496" i="1"/>
  <c r="AO497" i="1"/>
  <c r="AO931" i="1"/>
  <c r="AO498" i="1"/>
  <c r="AO499" i="1"/>
  <c r="AO500" i="1"/>
  <c r="AO501" i="1"/>
  <c r="AO932" i="1"/>
  <c r="AO502" i="1"/>
  <c r="AO933" i="1"/>
  <c r="AO288" i="1"/>
  <c r="AO341" i="1"/>
  <c r="AO835" i="1"/>
  <c r="AO398" i="1"/>
  <c r="AO163" i="1"/>
  <c r="AO801" i="1"/>
  <c r="AO854" i="1"/>
  <c r="AO86" i="1"/>
  <c r="AO849" i="1"/>
  <c r="AO695" i="1"/>
  <c r="AO78" i="1"/>
  <c r="AO149" i="1"/>
  <c r="AO683" i="1"/>
  <c r="AO166" i="1"/>
  <c r="AO403" i="1"/>
  <c r="AO762" i="1"/>
  <c r="AO476" i="1"/>
  <c r="AO556" i="1"/>
  <c r="AO824" i="1"/>
  <c r="AO505" i="1"/>
  <c r="AO195" i="1"/>
  <c r="AO539" i="1"/>
  <c r="AO680" i="1"/>
  <c r="AO608" i="1"/>
  <c r="AO649" i="1"/>
  <c r="AO579" i="1"/>
  <c r="AO239" i="1"/>
  <c r="AO773" i="1"/>
  <c r="AO91" i="1"/>
  <c r="AO159" i="1"/>
  <c r="AO79" i="1"/>
  <c r="AO659" i="1"/>
</calcChain>
</file>

<file path=xl/sharedStrings.xml><?xml version="1.0" encoding="utf-8"?>
<sst xmlns="http://schemas.openxmlformats.org/spreadsheetml/2006/main" count="13137" uniqueCount="3619">
  <si>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</si>
  <si>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</si>
  <si>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</si>
  <si>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</si>
  <si>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</si>
  <si>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</si>
  <si>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</si>
  <si>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</si>
  <si>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</si>
  <si>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</si>
  <si>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</si>
  <si>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</si>
  <si>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</si>
  <si>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</si>
  <si>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</si>
  <si>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</si>
  <si>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</si>
  <si>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</si>
  <si>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</si>
  <si>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</si>
  <si>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</si>
  <si>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</si>
  <si>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</si>
  <si>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</si>
  <si>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</si>
  <si>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</si>
  <si>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</si>
  <si>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</si>
  <si>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</si>
  <si>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</si>
  <si>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</si>
  <si>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</si>
  <si>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</si>
  <si>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</si>
  <si>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</si>
  <si>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</si>
  <si>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</si>
  <si>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</si>
  <si>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</si>
  <si>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</si>
  <si>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</si>
  <si>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</si>
  <si>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</si>
  <si>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</si>
  <si>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</si>
  <si>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</si>
  <si>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</si>
  <si>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</si>
  <si>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</si>
  <si>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</si>
  <si>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</si>
  <si>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</si>
  <si>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</si>
  <si>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</si>
  <si>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</si>
  <si>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</si>
  <si>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</si>
  <si>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</si>
  <si>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</si>
  <si>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</si>
  <si>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</si>
  <si>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</si>
  <si>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</si>
  <si>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</si>
  <si>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</si>
  <si>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</si>
  <si>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</si>
  <si>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</si>
  <si>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</si>
  <si>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</si>
  <si>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</si>
  <si>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</si>
  <si>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</si>
  <si>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</si>
  <si>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</si>
  <si>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</si>
  <si>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</si>
  <si>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</si>
  <si>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</si>
  <si>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</si>
  <si>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</si>
  <si>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</si>
  <si>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</si>
  <si>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</si>
  <si>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</si>
  <si>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</si>
  <si>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</si>
  <si>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</si>
  <si>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</si>
  <si>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</si>
  <si>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</si>
  <si>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</si>
  <si>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</si>
  <si>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</si>
  <si>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</si>
  <si>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</si>
  <si>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</si>
  <si>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</si>
  <si>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</si>
  <si>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</si>
  <si>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</si>
  <si>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</si>
  <si>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</si>
  <si>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</si>
  <si>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</si>
  <si>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</si>
  <si>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</si>
  <si>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</si>
  <si>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</si>
  <si>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</si>
  <si>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</si>
  <si>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</si>
  <si>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</si>
  <si>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</si>
  <si>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</si>
  <si>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</si>
  <si>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</si>
  <si>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</si>
  <si>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</si>
  <si>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</si>
  <si>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</si>
  <si>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</si>
  <si>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</si>
  <si>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</si>
  <si>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</si>
  <si>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</si>
  <si>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</si>
  <si>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</si>
  <si>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</si>
  <si>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</si>
  <si>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</si>
  <si>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</si>
  <si>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</si>
  <si>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</si>
  <si>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</si>
  <si>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</si>
  <si>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</si>
  <si>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</si>
  <si>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</si>
  <si>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12/28/2024</t>
  </si>
  <si>
    <t>CUST-4912</t>
  </si>
  <si>
    <t>Rahul Verma</t>
  </si>
  <si>
    <t>Max Copiers 983</t>
  </si>
  <si>
    <t>ORD-2024-10016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</si>
  <si>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</si>
  <si>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</si>
  <si>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</si>
  <si>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</si>
  <si>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</si>
  <si>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</si>
  <si>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</si>
  <si>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15-05-2024</t>
  </si>
  <si>
    <t>CUST-6214</t>
  </si>
  <si>
    <t>Aarav Sharma</t>
  </si>
  <si>
    <t>Basic Art 204</t>
  </si>
  <si>
    <t>ORD-2024-10018</t>
  </si>
  <si>
    <t>2024-01-08</t>
  </si>
  <si>
    <t>CUST-1626</t>
  </si>
  <si>
    <t>Sneha Kapoor</t>
  </si>
  <si>
    <t>Basic Furnishings 434</t>
  </si>
  <si>
    <t>ORD-2025-10019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</si>
  <si>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</si>
  <si>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</si>
  <si>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</si>
  <si>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</si>
  <si>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</si>
  <si>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</si>
  <si>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</si>
  <si>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</si>
  <si>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</si>
  <si>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</si>
  <si>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</si>
  <si>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23 Jan 2025</t>
  </si>
  <si>
    <t>CUST-3190</t>
  </si>
  <si>
    <t>Bihar</t>
  </si>
  <si>
    <t>Patna</t>
  </si>
  <si>
    <t>Elite Copiers 233</t>
  </si>
  <si>
    <t>ORD-2025-10022</t>
  </si>
  <si>
    <t>01/30/2025</t>
  </si>
  <si>
    <t>CUST-3036</t>
  </si>
  <si>
    <t>Eco Furnishings 897</t>
  </si>
  <si>
    <t>ORD-2025-10023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</si>
  <si>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</si>
  <si>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</si>
  <si>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</si>
  <si>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</si>
  <si>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</si>
  <si>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</si>
  <si>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</si>
  <si>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</si>
  <si>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</si>
  <si>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</si>
  <si>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</si>
  <si>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</si>
  <si>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</si>
  <si>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</si>
  <si>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</si>
  <si>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</si>
  <si>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</si>
  <si>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2024-10-19</t>
  </si>
  <si>
    <t>CUST-1731</t>
  </si>
  <si>
    <t>Assam</t>
  </si>
  <si>
    <t>Guwahati</t>
  </si>
  <si>
    <t>Classic Accessories 478</t>
  </si>
  <si>
    <t>ORD-2024-10027</t>
  </si>
  <si>
    <t>23 Nov 2024</t>
  </si>
  <si>
    <t>CUST-4401</t>
  </si>
  <si>
    <t>Phones</t>
  </si>
  <si>
    <t>Pro Phones 243</t>
  </si>
  <si>
    <t>ORD-2025-10028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</si>
  <si>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</si>
  <si>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</si>
  <si>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</si>
  <si>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</si>
  <si>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</si>
  <si>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</si>
  <si>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</si>
  <si>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</si>
  <si>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</si>
  <si>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</si>
  <si>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</si>
  <si>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</si>
  <si>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13-08-2025</t>
  </si>
  <si>
    <t>CUST-5936</t>
  </si>
  <si>
    <t>Kerala</t>
  </si>
  <si>
    <t>Kochi</t>
  </si>
  <si>
    <t>Pro Phones 442</t>
  </si>
  <si>
    <t>ORD-2024-10031</t>
  </si>
  <si>
    <t>02/12/2024</t>
  </si>
  <si>
    <t>CUST-8759</t>
  </si>
  <si>
    <t>Goa</t>
  </si>
  <si>
    <t>Panaji</t>
  </si>
  <si>
    <t>Pro Labels 355</t>
  </si>
  <si>
    <t>ORD-2025-10032</t>
  </si>
  <si>
    <t>19-06-2025</t>
  </si>
  <si>
    <t>CUST-7867</t>
  </si>
  <si>
    <t>Pro Paper 959</t>
  </si>
  <si>
    <t>ORD-2024-10033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</si>
  <si>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</si>
  <si>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</si>
  <si>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</si>
  <si>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</si>
  <si>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</si>
  <si>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</si>
  <si>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</si>
  <si>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</si>
  <si>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</si>
  <si>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</si>
  <si>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</si>
  <si>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</si>
  <si>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</si>
  <si>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</si>
  <si>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</si>
  <si>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</si>
  <si>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</si>
  <si>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</si>
  <si>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</si>
  <si>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</si>
  <si>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</si>
  <si>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</si>
  <si>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</si>
  <si>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</si>
  <si>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</si>
  <si>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</si>
  <si>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</si>
  <si>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22-06-2024</t>
  </si>
  <si>
    <t>CUST-8235</t>
  </si>
  <si>
    <t>Prime Phones 507</t>
  </si>
  <si>
    <t>ORD-2024-10040</t>
  </si>
  <si>
    <t>2024-12-11</t>
  </si>
  <si>
    <t>CUST-5830</t>
  </si>
  <si>
    <t>Classic Copiers 590</t>
  </si>
  <si>
    <t>ORD-2024-10041</t>
  </si>
  <si>
    <t>16 Oct 2024</t>
  </si>
  <si>
    <t>CUST-7178</t>
  </si>
  <si>
    <t>Eco Copiers 865</t>
  </si>
  <si>
    <t>ORD-2024-10042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</si>
  <si>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</si>
  <si>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</si>
  <si>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</si>
  <si>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</si>
  <si>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</si>
  <si>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</si>
  <si>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</si>
  <si>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</si>
  <si>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</si>
  <si>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</si>
  <si>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</si>
  <si>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07/14/2024</t>
  </si>
  <si>
    <t>CUST-7119</t>
  </si>
  <si>
    <t>Smart Furnishings 956</t>
  </si>
  <si>
    <t>ORD-2024-10045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</si>
  <si>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</si>
  <si>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</si>
  <si>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</si>
  <si>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</si>
  <si>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</si>
  <si>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</si>
  <si>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</si>
  <si>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</si>
  <si>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</si>
  <si>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</si>
  <si>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</si>
  <si>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</si>
  <si>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</si>
  <si>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</si>
  <si>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</si>
  <si>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</si>
  <si>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</si>
  <si>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</si>
  <si>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</si>
  <si>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</si>
  <si>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</si>
  <si>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</si>
  <si>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</si>
  <si>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</si>
  <si>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</si>
  <si>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</si>
  <si>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</si>
  <si>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</si>
  <si>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</si>
  <si>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</si>
  <si>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</si>
  <si>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</si>
  <si>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</si>
  <si>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</si>
  <si>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</si>
  <si>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</si>
  <si>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</si>
  <si>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</si>
  <si>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</si>
  <si>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</si>
  <si>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2024-10-28</t>
  </si>
  <si>
    <t>CUST-2778</t>
  </si>
  <si>
    <t>Kabir Singh</t>
  </si>
  <si>
    <t>Pro Chairs 526</t>
  </si>
  <si>
    <t>ORD-2025-10054</t>
  </si>
  <si>
    <t>2025-03-31</t>
  </si>
  <si>
    <t>CUST-7195</t>
  </si>
  <si>
    <t>Elite Storage 924</t>
  </si>
  <si>
    <t>ORD-2025-10055</t>
  </si>
  <si>
    <t>2025-06-02</t>
  </si>
  <si>
    <t>CUST-9039</t>
  </si>
  <si>
    <t>Pro Labels 957</t>
  </si>
  <si>
    <t>ORD-2025-10056</t>
  </si>
  <si>
    <t>03-07-2025</t>
  </si>
  <si>
    <t>CUST-9821</t>
  </si>
  <si>
    <t>Machines</t>
  </si>
  <si>
    <t>Classic Machines 310</t>
  </si>
  <si>
    <t>ORD-2025-10057</t>
  </si>
  <si>
    <t>06-01-2025</t>
  </si>
  <si>
    <t>CUST-8701</t>
  </si>
  <si>
    <t>Smart Binders 393</t>
  </si>
  <si>
    <t>ORD-2024-10058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</si>
  <si>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</si>
  <si>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</si>
  <si>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</si>
  <si>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</si>
  <si>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</si>
  <si>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</si>
  <si>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</si>
  <si>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</si>
  <si>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</si>
  <si>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</si>
  <si>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</si>
  <si>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</si>
  <si>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</si>
  <si>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</si>
  <si>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2024-07-19</t>
  </si>
  <si>
    <t>CUST-2892</t>
  </si>
  <si>
    <t>Eco Labels 210</t>
  </si>
  <si>
    <t>ORD-2024-10062</t>
  </si>
  <si>
    <t>04/16/2024</t>
  </si>
  <si>
    <t>CUST-7008</t>
  </si>
  <si>
    <t>Classic Bookcases 296</t>
  </si>
  <si>
    <t>ORD-2024-10063</t>
  </si>
  <si>
    <t>02-11-2024</t>
  </si>
  <si>
    <t>CUST-4900</t>
  </si>
  <si>
    <t>Basic Phones 230</t>
  </si>
  <si>
    <t>ORD-2024-10064</t>
  </si>
  <si>
    <t>01-02-2024</t>
  </si>
  <si>
    <t>CUST-5382</t>
  </si>
  <si>
    <t>Pro Binders 690</t>
  </si>
  <si>
    <t>ORD-2024-10065</t>
  </si>
  <si>
    <t>12/29/2024</t>
  </si>
  <si>
    <t>CUST-2749</t>
  </si>
  <si>
    <t>Classic Paper 458</t>
  </si>
  <si>
    <t>ORD-2024-10066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</si>
  <si>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</si>
  <si>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</si>
  <si>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</si>
  <si>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</si>
  <si>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</si>
  <si>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</si>
  <si>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</si>
  <si>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</si>
  <si>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</si>
  <si>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</si>
  <si>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</si>
  <si>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</si>
  <si>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</si>
  <si>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</si>
  <si>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</si>
  <si>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</si>
  <si>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</si>
  <si>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</si>
  <si>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04/14/2024</t>
  </si>
  <si>
    <t>CUST-5979</t>
  </si>
  <si>
    <t>Prime Machines 782</t>
  </si>
  <si>
    <t>ORD-2025-10071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</si>
  <si>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</si>
  <si>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</si>
  <si>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</si>
  <si>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</si>
  <si>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</si>
  <si>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</si>
  <si>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</si>
  <si>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</si>
  <si>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07 Feb 2024</t>
  </si>
  <si>
    <t>CUST-5018</t>
  </si>
  <si>
    <t>Prime Tables 902</t>
  </si>
  <si>
    <t>ORD-2025-10074</t>
  </si>
  <si>
    <t>04/03/2025</t>
  </si>
  <si>
    <t>CUST-2342</t>
  </si>
  <si>
    <t>Smart Bookcases 167</t>
  </si>
  <si>
    <t>ORD-2025-10075</t>
  </si>
  <si>
    <t>2025-03-01</t>
  </si>
  <si>
    <t>CUST-6201</t>
  </si>
  <si>
    <t>Max Chairs 244</t>
  </si>
  <si>
    <t>ORD-2025-10076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</si>
  <si>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</si>
  <si>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</si>
  <si>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</si>
  <si>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</si>
  <si>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</si>
  <si>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</si>
  <si>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</si>
  <si>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</si>
  <si>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</si>
  <si>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</si>
  <si>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</si>
  <si>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</si>
  <si>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</si>
  <si>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</si>
  <si>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21-07-2025</t>
  </si>
  <si>
    <t>CUST-8043</t>
  </si>
  <si>
    <t>Smart Tables 561</t>
  </si>
  <si>
    <t>ORD-2025-10080</t>
  </si>
  <si>
    <t>2025-10-03</t>
  </si>
  <si>
    <t>CUST-9978</t>
  </si>
  <si>
    <t>Prime Chairs 838</t>
  </si>
  <si>
    <t>ORD-2024-10081</t>
  </si>
  <si>
    <t>2024-08-14</t>
  </si>
  <si>
    <t>CUST-2094</t>
  </si>
  <si>
    <t>Delhi</t>
  </si>
  <si>
    <t>New Delhi</t>
  </si>
  <si>
    <t>Elite Storage 371</t>
  </si>
  <si>
    <t>ORD-2025-10082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</si>
  <si>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</si>
  <si>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</si>
  <si>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</si>
  <si>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</si>
  <si>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</si>
  <si>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</si>
  <si>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</si>
  <si>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</si>
  <si>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</si>
  <si>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</si>
  <si>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</si>
  <si>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</si>
  <si>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</si>
  <si>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</si>
  <si>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</si>
  <si>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</si>
  <si>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</si>
  <si>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</si>
  <si>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</si>
  <si>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</si>
  <si>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</si>
  <si>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</si>
  <si>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</si>
  <si>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</si>
  <si>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</si>
  <si>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</si>
  <si>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</si>
  <si>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</si>
  <si>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</si>
  <si>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</si>
  <si>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</si>
  <si>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</si>
  <si>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</si>
  <si>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</si>
  <si>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</si>
  <si>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</si>
  <si>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</si>
  <si>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</si>
  <si>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</si>
  <si>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</si>
  <si>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</si>
  <si>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</si>
  <si>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</si>
  <si>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</si>
  <si>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</si>
  <si>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</si>
  <si>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</si>
  <si>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</si>
  <si>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</si>
  <si>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</si>
  <si>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</si>
  <si>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</si>
  <si>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</si>
  <si>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</si>
  <si>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</si>
  <si>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</si>
  <si>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</si>
  <si>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</si>
  <si>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</si>
  <si>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</si>
  <si>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</si>
  <si>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</si>
  <si>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</si>
  <si>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</si>
  <si>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</si>
  <si>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</si>
  <si>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2025-08-11</t>
  </si>
  <si>
    <t>CUST-8111</t>
  </si>
  <si>
    <t>Basic Storage 656</t>
  </si>
  <si>
    <t>ORD-2024-10099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</si>
  <si>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</si>
  <si>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</si>
  <si>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</si>
  <si>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</si>
  <si>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</si>
  <si>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</si>
  <si>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</si>
  <si>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</si>
  <si>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</si>
  <si>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</si>
  <si>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</si>
  <si>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</si>
  <si>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</si>
  <si>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</si>
  <si>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</si>
  <si>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</si>
  <si>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2025-07-16</t>
  </si>
  <si>
    <t>CUST-9603</t>
  </si>
  <si>
    <t>Classic Chairs 604</t>
  </si>
  <si>
    <t>ORD-2025-10104</t>
  </si>
  <si>
    <t>05/10/2025</t>
  </si>
  <si>
    <t>CUST-6263</t>
  </si>
  <si>
    <t>Prime Tables 377</t>
  </si>
  <si>
    <t>ORD-2025-10105</t>
  </si>
  <si>
    <t>02/08/2025</t>
  </si>
  <si>
    <t>CUST-1576</t>
  </si>
  <si>
    <t>Prime Labels 807</t>
  </si>
  <si>
    <t>ORD-2024-10106</t>
  </si>
  <si>
    <t>29-06-2024</t>
  </si>
  <si>
    <t>CUST-6540</t>
  </si>
  <si>
    <t>Eco Tables 575</t>
  </si>
  <si>
    <t>ORD-2024-10107</t>
  </si>
  <si>
    <t>28 Feb 2024</t>
  </si>
  <si>
    <t>CUST-4008</t>
  </si>
  <si>
    <t>Eco Paper 918</t>
  </si>
  <si>
    <t>ORD-2024-10108</t>
  </si>
  <si>
    <t>2024-11-04</t>
  </si>
  <si>
    <t>CUST-6604</t>
  </si>
  <si>
    <t>Prime Furnishings 952</t>
  </si>
  <si>
    <t>ORD-2024-10109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</si>
  <si>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</si>
  <si>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</si>
  <si>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</si>
  <si>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</si>
  <si>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</si>
  <si>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</si>
  <si>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</si>
  <si>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</si>
  <si>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</si>
  <si>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</si>
  <si>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</si>
  <si>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</si>
  <si>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</si>
  <si>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</si>
  <si>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</si>
  <si>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</si>
  <si>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</si>
  <si>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</si>
  <si>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</si>
  <si>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</si>
  <si>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</si>
  <si>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</si>
  <si>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</si>
  <si>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</si>
  <si>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30 Sep 2024</t>
  </si>
  <si>
    <t>CUST-2927</t>
  </si>
  <si>
    <t>Eco Accessories 452</t>
  </si>
  <si>
    <t>ORD-2024-10116</t>
  </si>
  <si>
    <t>01-01-2025</t>
  </si>
  <si>
    <t>CUST-7764</t>
  </si>
  <si>
    <t>Classic Binders 203</t>
  </si>
  <si>
    <t>ORD-2025-10117</t>
  </si>
  <si>
    <t>19 Feb 2025</t>
  </si>
  <si>
    <t>CUST-3632</t>
  </si>
  <si>
    <t>Basic Binders 859</t>
  </si>
  <si>
    <t>ORD-2024-10118</t>
  </si>
  <si>
    <t>17 Feb 2024</t>
  </si>
  <si>
    <t>CUST-9608</t>
  </si>
  <si>
    <t>Elite Machines 705</t>
  </si>
  <si>
    <t>70%</t>
  </si>
  <si>
    <t>ORD-2024-10119</t>
  </si>
  <si>
    <t>2024-06-18</t>
  </si>
  <si>
    <t>CUST-9135</t>
  </si>
  <si>
    <t>Vikram  Iyer</t>
  </si>
  <si>
    <t>Pro Copiers 208</t>
  </si>
  <si>
    <t>ORD-2024-10120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</si>
  <si>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</si>
  <si>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</si>
  <si>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</si>
  <si>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</si>
  <si>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</si>
  <si>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</si>
  <si>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</si>
  <si>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</si>
  <si>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</si>
  <si>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</si>
  <si>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</si>
  <si>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</si>
  <si>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</si>
  <si>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</si>
  <si>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</si>
  <si>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</si>
  <si>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</si>
  <si>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</si>
  <si>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</si>
  <si>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</si>
  <si>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</si>
  <si>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</si>
  <si>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</si>
  <si>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</si>
  <si>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</si>
  <si>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</si>
  <si>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</si>
  <si>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</si>
  <si>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18-07-2025</t>
  </si>
  <si>
    <t>CUST-7924</t>
  </si>
  <si>
    <t>Basic Tables 753</t>
  </si>
  <si>
    <t>ORD-2025-10127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</si>
  <si>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</si>
  <si>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</si>
  <si>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</si>
  <si>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</si>
  <si>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</si>
  <si>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</si>
  <si>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</si>
  <si>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</si>
  <si>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</si>
  <si>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</si>
  <si>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</si>
  <si>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</si>
  <si>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</si>
  <si>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</si>
  <si>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</si>
  <si>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</si>
  <si>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</si>
  <si>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</si>
  <si>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</si>
  <si>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</si>
  <si>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</si>
  <si>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</si>
  <si>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</si>
  <si>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</si>
  <si>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</si>
  <si>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</si>
  <si>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</si>
  <si>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</si>
  <si>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</si>
  <si>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</si>
  <si>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12/18/2024</t>
  </si>
  <si>
    <t>CUST-9441</t>
  </si>
  <si>
    <t>Prime Phones 419</t>
  </si>
  <si>
    <t>ORD-2025-10135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</si>
  <si>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</si>
  <si>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</si>
  <si>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</si>
  <si>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</si>
  <si>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</si>
  <si>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</si>
  <si>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</si>
  <si>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</si>
  <si>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15-02-2025</t>
  </si>
  <si>
    <t>CUST-3350</t>
  </si>
  <si>
    <t>Max Binders 362</t>
  </si>
  <si>
    <t>Standard  Class</t>
  </si>
  <si>
    <t>ORD-2025-10138</t>
  </si>
  <si>
    <t>2025-01-09</t>
  </si>
  <si>
    <t>CUST-7932</t>
  </si>
  <si>
    <t>Prime Chairs 261</t>
  </si>
  <si>
    <t>ORD-2024-10139</t>
  </si>
  <si>
    <t>26-01-2024</t>
  </si>
  <si>
    <t>CUST-7173</t>
  </si>
  <si>
    <t>Basic Machines 185</t>
  </si>
  <si>
    <t>ORD-2025-10140</t>
  </si>
  <si>
    <t>07-03-2025</t>
  </si>
  <si>
    <t>CUST-4225</t>
  </si>
  <si>
    <t>Basic Labels 509</t>
  </si>
  <si>
    <t>ORD-2024-10141</t>
  </si>
  <si>
    <t>01 Jun 2024</t>
  </si>
  <si>
    <t>CUST-2149</t>
  </si>
  <si>
    <t>Elite Bookcases 696</t>
  </si>
  <si>
    <t>ORD-2024-10142</t>
  </si>
  <si>
    <t>2024-03-29</t>
  </si>
  <si>
    <t>CUST-3314</t>
  </si>
  <si>
    <t>Elite Bookcases 772</t>
  </si>
  <si>
    <t>ORD-2024-10143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</si>
  <si>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</si>
  <si>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</si>
  <si>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</si>
  <si>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</si>
  <si>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</si>
  <si>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</si>
  <si>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</si>
  <si>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</si>
  <si>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</si>
  <si>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</si>
  <si>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</si>
  <si>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</si>
  <si>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04/13/2025</t>
  </si>
  <si>
    <t>CUST-6161</t>
  </si>
  <si>
    <t>Smart Paper 899</t>
  </si>
  <si>
    <t>ORD-2025-10147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</si>
  <si>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</si>
  <si>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</si>
  <si>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</si>
  <si>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</si>
  <si>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</si>
  <si>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</si>
  <si>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</si>
  <si>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</si>
  <si>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</si>
  <si>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</si>
  <si>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</si>
  <si>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</si>
  <si>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</si>
  <si>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</si>
  <si>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</si>
  <si>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</si>
  <si>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</si>
  <si>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</si>
  <si>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2024-03-12</t>
  </si>
  <si>
    <t>CUST-4661</t>
  </si>
  <si>
    <t>Max Bookcases 595</t>
  </si>
  <si>
    <t>ORD-2024-10152</t>
  </si>
  <si>
    <t>06/27/2024</t>
  </si>
  <si>
    <t>CUST-6011</t>
  </si>
  <si>
    <t>Max Copiers 992</t>
  </si>
  <si>
    <t>ORD-2024-10153</t>
  </si>
  <si>
    <t>06/17/2024</t>
  </si>
  <si>
    <t>CUST-6160</t>
  </si>
  <si>
    <t>Pro Tables 407</t>
  </si>
  <si>
    <t>ORD-2025-10154</t>
  </si>
  <si>
    <t>2025-09-25</t>
  </si>
  <si>
    <t>CUST-6971</t>
  </si>
  <si>
    <t>Prime Labels 559</t>
  </si>
  <si>
    <t>ORD-2024-10155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</si>
  <si>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</si>
  <si>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</si>
  <si>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</si>
  <si>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</si>
  <si>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</si>
  <si>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</si>
  <si>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 Mar 2025</t>
  </si>
  <si>
    <t>CUST-4058</t>
  </si>
  <si>
    <t>Eco Machines 657</t>
  </si>
  <si>
    <t>ORD-2024-10158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</si>
  <si>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</si>
  <si>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</si>
  <si>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</si>
  <si>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</si>
  <si>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</si>
  <si>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</si>
  <si>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</si>
  <si>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</si>
  <si>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</si>
  <si>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04-02-2025</t>
  </si>
  <si>
    <t>CUST-7717</t>
  </si>
  <si>
    <t>Elite Chairs 998</t>
  </si>
  <si>
    <t>ORD-2025-10161</t>
  </si>
  <si>
    <t>10/06/2025</t>
  </si>
  <si>
    <t>CUST-4932</t>
  </si>
  <si>
    <t>Max Paper 113</t>
  </si>
  <si>
    <t>ORD-2025-10162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</si>
  <si>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</si>
  <si>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</si>
  <si>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</si>
  <si>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</si>
  <si>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</si>
  <si>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</si>
  <si>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</si>
  <si>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</si>
  <si>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</si>
  <si>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</si>
  <si>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CUST-2548</t>
  </si>
  <si>
    <t>Elite Tables 389</t>
  </si>
  <si>
    <t>ORD-2025-10165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</si>
  <si>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</si>
  <si>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</si>
  <si>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</si>
  <si>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</si>
  <si>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</si>
  <si>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</si>
  <si>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</si>
  <si>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</si>
  <si>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</si>
  <si>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</si>
  <si>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</si>
  <si>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</si>
  <si>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</si>
  <si>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</si>
  <si>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</si>
  <si>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</si>
  <si>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</si>
  <si>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</si>
  <si>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CUST-9756</t>
  </si>
  <si>
    <t>Eco Accessories 590</t>
  </si>
  <si>
    <t>ORD-2025-10170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</si>
  <si>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</si>
  <si>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</si>
  <si>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</si>
  <si>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</si>
  <si>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</si>
  <si>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</si>
  <si>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</si>
  <si>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</si>
  <si>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</si>
  <si>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</si>
  <si>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</si>
  <si>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</si>
  <si>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</si>
  <si>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</si>
  <si>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</si>
  <si>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</si>
  <si>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</si>
  <si>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</si>
  <si>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</si>
  <si>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</si>
  <si>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</si>
  <si>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</si>
  <si>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</si>
  <si>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</si>
  <si>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</si>
  <si>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</si>
  <si>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</si>
  <si>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</si>
  <si>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</si>
  <si>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</si>
  <si>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</si>
  <si>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03/26/2025</t>
  </si>
  <si>
    <t>CUST-3027</t>
  </si>
  <si>
    <t>Pro Bookcases 612</t>
  </si>
  <si>
    <t>ORD-2024-10178</t>
  </si>
  <si>
    <t>06/03/2024</t>
  </si>
  <si>
    <t>CUST-4399</t>
  </si>
  <si>
    <t>Classic Art 573</t>
  </si>
  <si>
    <t>ORD-2024-10179</t>
  </si>
  <si>
    <t>2024-09-30</t>
  </si>
  <si>
    <t>CUST-3092</t>
  </si>
  <si>
    <t>Eco Art 854</t>
  </si>
  <si>
    <t>ORD-2024-10180</t>
  </si>
  <si>
    <t>03/19/2024</t>
  </si>
  <si>
    <t>CUST-1778</t>
  </si>
  <si>
    <t>Classic Furnishings 996</t>
  </si>
  <si>
    <t>ORD-2024-10181</t>
  </si>
  <si>
    <t>26-08-2024</t>
  </si>
  <si>
    <t>CUST-3787</t>
  </si>
  <si>
    <t>Prime Binders 735</t>
  </si>
  <si>
    <t>ORD-2025-10182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</si>
  <si>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</si>
  <si>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</si>
  <si>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</si>
  <si>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</si>
  <si>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</si>
  <si>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</si>
  <si>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</si>
  <si>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</si>
  <si>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</si>
  <si>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</si>
  <si>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</si>
  <si>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</si>
  <si>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</si>
  <si>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</si>
  <si>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</si>
  <si>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</si>
  <si>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</si>
  <si>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</si>
  <si>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</si>
  <si>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</si>
  <si>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</si>
  <si>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</si>
  <si>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02 May 2025</t>
  </si>
  <si>
    <t>CUST-3109</t>
  </si>
  <si>
    <t>Pro Chairs 844</t>
  </si>
  <si>
    <t>ORD-2025-10189</t>
  </si>
  <si>
    <t>28 May 2025</t>
  </si>
  <si>
    <t>CUST-3422</t>
  </si>
  <si>
    <t>Elite Bookcases 883</t>
  </si>
  <si>
    <t>ORD-2025-10190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</si>
  <si>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</si>
  <si>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</si>
  <si>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</si>
  <si>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</si>
  <si>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</si>
  <si>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</si>
  <si>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</si>
  <si>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</si>
  <si>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</si>
  <si>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</si>
  <si>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CUST-7410</t>
  </si>
  <si>
    <t>Prime Bookcases 602</t>
  </si>
  <si>
    <t>ORD-2024-10193</t>
  </si>
  <si>
    <t>12/16/2024</t>
  </si>
  <si>
    <t>CUST-7115</t>
  </si>
  <si>
    <t>Eco Chairs 438</t>
  </si>
  <si>
    <t>ORD-2024-10194</t>
  </si>
  <si>
    <t>28-06-2024</t>
  </si>
  <si>
    <t>CUST-9853</t>
  </si>
  <si>
    <t>Prime Copiers 142</t>
  </si>
  <si>
    <t>ORD-2025-10195</t>
  </si>
  <si>
    <t>01/31/2025</t>
  </si>
  <si>
    <t>CUST-3637</t>
  </si>
  <si>
    <t>WEST</t>
  </si>
  <si>
    <t>Prime Furnishings 433</t>
  </si>
  <si>
    <t>ORD-2025-10196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</si>
  <si>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</si>
  <si>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</si>
  <si>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</si>
  <si>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</si>
  <si>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</si>
  <si>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</si>
  <si>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</si>
  <si>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</si>
  <si>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</si>
  <si>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</si>
  <si>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</si>
  <si>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</si>
  <si>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</si>
  <si>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</si>
  <si>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</si>
  <si>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</si>
  <si>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</si>
  <si>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</si>
  <si>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</si>
  <si>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</si>
  <si>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</si>
  <si>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</si>
  <si>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</si>
  <si>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</si>
  <si>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08/03/2025</t>
  </si>
  <si>
    <t>CUST-8005</t>
  </si>
  <si>
    <t>Basic Labels 511</t>
  </si>
  <si>
    <t>ORD-2025-10203</t>
  </si>
  <si>
    <t>28 Mar 2025</t>
  </si>
  <si>
    <t>CUST-9378</t>
  </si>
  <si>
    <t>Prime Accessories 733</t>
  </si>
  <si>
    <t>ORD-2024-10204</t>
  </si>
  <si>
    <t>2024-03-30</t>
  </si>
  <si>
    <t>CUST-3384</t>
  </si>
  <si>
    <t>Max Accessories 186</t>
  </si>
  <si>
    <t>ORD-2025-10205</t>
  </si>
  <si>
    <t>2025-07-23</t>
  </si>
  <si>
    <t>CUST-1986</t>
  </si>
  <si>
    <t>Elite Tables 318</t>
  </si>
  <si>
    <t>ORD-2025-10206</t>
  </si>
  <si>
    <t>04/26/2025</t>
  </si>
  <si>
    <t>CUST-3338</t>
  </si>
  <si>
    <t>Smart Labels 354</t>
  </si>
  <si>
    <t>ORD-2025-10207</t>
  </si>
  <si>
    <t>CUST-2343</t>
  </si>
  <si>
    <t>Pro Furnishings 981</t>
  </si>
  <si>
    <t>ORD-2024-10208</t>
  </si>
  <si>
    <t>2024-07-16</t>
  </si>
  <si>
    <t>CUST-3362</t>
  </si>
  <si>
    <t>Eco Bookcases 671</t>
  </si>
  <si>
    <t>ORD-2025-10209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</si>
  <si>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</si>
  <si>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</si>
  <si>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</si>
  <si>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</si>
  <si>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</si>
  <si>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</si>
  <si>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</si>
  <si>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</si>
  <si>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</si>
  <si>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</si>
  <si>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</si>
  <si>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</si>
  <si>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</si>
  <si>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</si>
  <si>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</si>
  <si>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</si>
  <si>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</si>
  <si>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</si>
  <si>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</si>
  <si>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</si>
  <si>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</si>
  <si>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</si>
  <si>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</si>
  <si>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</si>
  <si>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21-05-2024</t>
  </si>
  <si>
    <t>CUST-9136</t>
  </si>
  <si>
    <t>Classic Accessories 840</t>
  </si>
  <si>
    <t>ORD-2024-10215</t>
  </si>
  <si>
    <t>23-03-2024</t>
  </si>
  <si>
    <t>CUST-1301</t>
  </si>
  <si>
    <t>Classic Accessories 757</t>
  </si>
  <si>
    <t>ORD-2024-10216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</si>
  <si>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</si>
  <si>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</si>
  <si>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</si>
  <si>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</si>
  <si>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</si>
  <si>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</si>
  <si>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</si>
  <si>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04/08/2025</t>
  </si>
  <si>
    <t>CUST-4533</t>
  </si>
  <si>
    <t>Basic Bookcases 405</t>
  </si>
  <si>
    <t>ORD-2025-10219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</si>
  <si>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</si>
  <si>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</si>
  <si>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</si>
  <si>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</si>
  <si>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</si>
  <si>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</si>
  <si>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</si>
  <si>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</si>
  <si>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</si>
  <si>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</si>
  <si>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</si>
  <si>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</si>
  <si>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</si>
  <si>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</si>
  <si>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</si>
  <si>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</si>
  <si>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</si>
  <si>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</si>
  <si>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CUST-4583</t>
  </si>
  <si>
    <t>Prime Storage 818</t>
  </si>
  <si>
    <t>ORD-2025-10224</t>
  </si>
  <si>
    <t>02/26/2025</t>
  </si>
  <si>
    <t>CUST-5319</t>
  </si>
  <si>
    <t>Elite Furnishings 449</t>
  </si>
  <si>
    <t>ORD-2025-10225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</si>
  <si>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</si>
  <si>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</si>
  <si>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</si>
  <si>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</si>
  <si>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</si>
  <si>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</si>
  <si>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</si>
  <si>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</si>
  <si>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</si>
  <si>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CUST-2545</t>
  </si>
  <si>
    <t>Max Copiers 363</t>
  </si>
  <si>
    <t>ORD-2024-10228</t>
  </si>
  <si>
    <t>12 Jul 2024</t>
  </si>
  <si>
    <t>CUST-2819</t>
  </si>
  <si>
    <t>SMALL BUSINESS</t>
  </si>
  <si>
    <t>Prime Binders 507</t>
  </si>
  <si>
    <t>ORD-2024-10229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</si>
  <si>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</si>
  <si>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</si>
  <si>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</si>
  <si>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</si>
  <si>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</si>
  <si>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</si>
  <si>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</si>
  <si>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</si>
  <si>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</si>
  <si>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</si>
  <si>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</si>
  <si>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</si>
  <si>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</si>
  <si>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05/02/2024</t>
  </si>
  <si>
    <t>CUST-9139</t>
  </si>
  <si>
    <t>Office  Supplies</t>
  </si>
  <si>
    <t>Max Labels 370</t>
  </si>
  <si>
    <t>ORD-2025-10233</t>
  </si>
  <si>
    <t>2025-06-10</t>
  </si>
  <si>
    <t>CUST-5341</t>
  </si>
  <si>
    <t>Classic Phones 530</t>
  </si>
  <si>
    <t>ORD-2024-10234</t>
  </si>
  <si>
    <t>10/14/2024</t>
  </si>
  <si>
    <t>CUST-3710</t>
  </si>
  <si>
    <t>Smart Bookcases 328</t>
  </si>
  <si>
    <t>ORD-2024-10235</t>
  </si>
  <si>
    <t>03 Sep 2024</t>
  </si>
  <si>
    <t>CUST-9754</t>
  </si>
  <si>
    <t>Eco Furnishings 981</t>
  </si>
  <si>
    <t>ORD-2024-10236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</si>
  <si>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</si>
  <si>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</si>
  <si>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</si>
  <si>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</si>
  <si>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</si>
  <si>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</si>
  <si>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</si>
  <si>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</si>
  <si>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</si>
  <si>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</si>
  <si>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</si>
  <si>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</si>
  <si>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01/17/2024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</si>
  <si>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</si>
  <si>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</si>
  <si>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</si>
  <si>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</si>
  <si>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</si>
  <si>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</si>
  <si>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</si>
  <si>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</si>
  <si>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</si>
  <si>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06-07-2025</t>
  </si>
  <si>
    <t>CUST-6949</t>
  </si>
  <si>
    <t>Basic Storage 737</t>
  </si>
  <si>
    <t>ORD-2025-10243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</si>
  <si>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</si>
  <si>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</si>
  <si>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</si>
  <si>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</si>
  <si>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</si>
  <si>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</si>
  <si>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</si>
  <si>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</si>
  <si>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</si>
  <si>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</si>
  <si>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</si>
  <si>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</si>
  <si>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</si>
  <si>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</si>
  <si>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</si>
  <si>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</si>
  <si>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</si>
  <si>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</si>
  <si>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</si>
  <si>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</si>
  <si>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</si>
  <si>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01 Aug 2024</t>
  </si>
  <si>
    <t>CUST-6663</t>
  </si>
  <si>
    <t>Smart Accessories 572</t>
  </si>
  <si>
    <t>ORD-2024-10249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</si>
  <si>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</si>
  <si>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</si>
  <si>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</si>
  <si>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</si>
  <si>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</si>
  <si>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</si>
  <si>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</si>
  <si>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02/27/2024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</si>
  <si>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</si>
  <si>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</si>
  <si>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</si>
  <si>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</si>
  <si>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</si>
  <si>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</si>
  <si>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</si>
  <si>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</si>
  <si>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</si>
  <si>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09/13/2024</t>
  </si>
  <si>
    <t>CUST-5394</t>
  </si>
  <si>
    <t>Classic Phones 442</t>
  </si>
  <si>
    <t>ORD-2025-10255</t>
  </si>
  <si>
    <t>03-01-2025</t>
  </si>
  <si>
    <t>CUST-6853</t>
  </si>
  <si>
    <t>Elite Accessories 978</t>
  </si>
  <si>
    <t>ORD-2025-10256</t>
  </si>
  <si>
    <t>02/10/2025</t>
  </si>
  <si>
    <t>CUST-1549</t>
  </si>
  <si>
    <t>Eco Phones 132</t>
  </si>
  <si>
    <t>ORD-2024-10257</t>
  </si>
  <si>
    <t>CUST-8411</t>
  </si>
  <si>
    <t>Prime Tables 481</t>
  </si>
  <si>
    <t>ORD-2025-10258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</si>
  <si>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</si>
  <si>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</si>
  <si>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</si>
  <si>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</si>
  <si>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</si>
  <si>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</si>
  <si>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</si>
  <si>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</si>
  <si>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29 Jun 2024</t>
  </si>
  <si>
    <t>CUST-5174</t>
  </si>
  <si>
    <t>Prime Machines 793</t>
  </si>
  <si>
    <t>ORD-2025-10261</t>
  </si>
  <si>
    <t>09/27/2025</t>
  </si>
  <si>
    <t>CUST-3543</t>
  </si>
  <si>
    <t>Elite Binders 827</t>
  </si>
  <si>
    <t>ORD-2025-10262</t>
  </si>
  <si>
    <t>06/24/2025</t>
  </si>
  <si>
    <t>CUST-7623</t>
  </si>
  <si>
    <t>Prime Labels 326</t>
  </si>
  <si>
    <t>ORD-2025-10263</t>
  </si>
  <si>
    <t>01 Jun 2025</t>
  </si>
  <si>
    <t>Eco Phones 245</t>
  </si>
  <si>
    <t>ORD-2025-10264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</si>
  <si>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</si>
  <si>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</si>
  <si>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</si>
  <si>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</si>
  <si>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</si>
  <si>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</si>
  <si>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</si>
  <si>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</si>
  <si>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</si>
  <si>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</si>
  <si>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</si>
  <si>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</si>
  <si>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</si>
  <si>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</si>
  <si>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</si>
  <si>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</si>
  <si>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</si>
  <si>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</si>
  <si>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</si>
  <si>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</si>
  <si>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</si>
  <si>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</si>
  <si>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</si>
  <si>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</si>
  <si>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</si>
  <si>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</si>
  <si>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</si>
  <si>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</si>
  <si>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</si>
  <si>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</si>
  <si>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</si>
  <si>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</si>
  <si>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</si>
  <si>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</si>
  <si>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</si>
  <si>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</si>
  <si>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24 Aug 2024</t>
  </si>
  <si>
    <t>CUST-7389</t>
  </si>
  <si>
    <t>Eco Chairs 314</t>
  </si>
  <si>
    <t>ORD-2025-10274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</si>
  <si>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</si>
  <si>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</si>
  <si>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</si>
  <si>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</si>
  <si>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</si>
  <si>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</si>
  <si>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</si>
  <si>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</si>
  <si>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</si>
  <si>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</si>
  <si>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</si>
  <si>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</si>
  <si>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</si>
  <si>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</si>
  <si>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</si>
  <si>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</si>
  <si>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</si>
  <si>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</si>
  <si>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</si>
  <si>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</si>
  <si>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</si>
  <si>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</si>
  <si>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</si>
  <si>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</si>
  <si>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10 Apr 2024</t>
  </si>
  <si>
    <t>CUST-4571</t>
  </si>
  <si>
    <t>Max Storage 564</t>
  </si>
  <si>
    <t>ORD-2024-10281</t>
  </si>
  <si>
    <t>26-12-2024</t>
  </si>
  <si>
    <t>CUST-4098</t>
  </si>
  <si>
    <t>Prime Copiers 961</t>
  </si>
  <si>
    <t>ORD-2025-10282</t>
  </si>
  <si>
    <t>07/27/2025</t>
  </si>
  <si>
    <t>CUST-2052</t>
  </si>
  <si>
    <t>Basic Binders 637</t>
  </si>
  <si>
    <t>ORD-2024-10283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</si>
  <si>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</si>
  <si>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</si>
  <si>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</si>
  <si>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</si>
  <si>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</si>
  <si>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</si>
  <si>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</si>
  <si>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</si>
  <si>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</si>
  <si>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</si>
  <si>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</si>
  <si>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</si>
  <si>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</si>
  <si>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</si>
  <si>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</si>
  <si>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</si>
  <si>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</si>
  <si>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</si>
  <si>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</si>
  <si>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</si>
  <si>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</si>
  <si>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</si>
  <si>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</si>
  <si>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</si>
  <si>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</si>
  <si>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</si>
  <si>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</si>
  <si>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</si>
  <si>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</si>
  <si>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</si>
  <si>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</si>
  <si>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</si>
  <si>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</si>
  <si>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</si>
  <si>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</si>
  <si>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</si>
  <si>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</si>
  <si>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</si>
  <si>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</si>
  <si>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2024-04-10</t>
  </si>
  <si>
    <t>CUST-2860</t>
  </si>
  <si>
    <t>Eco Binders 153</t>
  </si>
  <si>
    <t>ORD-2025-10293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</si>
  <si>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</si>
  <si>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</si>
  <si>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</si>
  <si>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</si>
  <si>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</si>
  <si>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</si>
  <si>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</si>
  <si>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</si>
  <si>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</si>
  <si>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</si>
  <si>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</si>
  <si>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</si>
  <si>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</si>
  <si>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</si>
  <si>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</si>
  <si>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</si>
  <si>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</si>
  <si>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</si>
  <si>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</si>
  <si>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05/26/2025</t>
  </si>
  <si>
    <t>CUST-7629</t>
  </si>
  <si>
    <t>Basic Furnishings 617</t>
  </si>
  <si>
    <t>ORD-2024-10298</t>
  </si>
  <si>
    <t>06-11-2024</t>
  </si>
  <si>
    <t>CUST-6724</t>
  </si>
  <si>
    <t>Prime Copiers 669</t>
  </si>
  <si>
    <t>ORD-2025-10299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</si>
  <si>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</si>
  <si>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</si>
  <si>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</si>
  <si>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</si>
  <si>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</si>
  <si>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</si>
  <si>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</si>
  <si>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</si>
  <si>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</si>
  <si>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</si>
  <si>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</si>
  <si>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</si>
  <si>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</si>
  <si>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</si>
  <si>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</si>
  <si>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</si>
  <si>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</si>
  <si>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</si>
  <si>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</si>
  <si>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</si>
  <si>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</si>
  <si>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</si>
  <si>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</si>
  <si>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</si>
  <si>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</si>
  <si>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2024-03-13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</si>
  <si>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</si>
  <si>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</si>
  <si>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</si>
  <si>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</si>
  <si>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</si>
  <si>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</si>
  <si>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</si>
  <si>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</si>
  <si>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</si>
  <si>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19 Jul 2025</t>
  </si>
  <si>
    <t>CUST-4153</t>
  </si>
  <si>
    <t>Basic Tables 911</t>
  </si>
  <si>
    <t>PENDING</t>
  </si>
  <si>
    <t>ORD-2025-10309</t>
  </si>
  <si>
    <t>2025-06-19</t>
  </si>
  <si>
    <t>CUST-6727</t>
  </si>
  <si>
    <t>Classic Tables 224</t>
  </si>
  <si>
    <t>ORD-2024-10310</t>
  </si>
  <si>
    <t>CUST-8860</t>
  </si>
  <si>
    <t>Prime Tables 214</t>
  </si>
  <si>
    <t>ORD-2024-10311</t>
  </si>
  <si>
    <t>08-07-2024</t>
  </si>
  <si>
    <t>CUST-3784</t>
  </si>
  <si>
    <t>Max Machines 988</t>
  </si>
  <si>
    <t>ORD-2024-10312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</si>
  <si>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</si>
  <si>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</si>
  <si>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</si>
  <si>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</si>
  <si>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</si>
  <si>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</si>
  <si>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</si>
  <si>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</si>
  <si>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</si>
  <si>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</si>
  <si>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</si>
  <si>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</si>
  <si>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</si>
  <si>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</si>
  <si>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</si>
  <si>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</si>
  <si>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</si>
  <si>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</si>
  <si>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</si>
  <si>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</si>
  <si>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</si>
  <si>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</si>
  <si>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</si>
  <si>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04 Sep 2025</t>
  </si>
  <si>
    <t>CUST-7992</t>
  </si>
  <si>
    <t>Pro Tables 778</t>
  </si>
  <si>
    <t>ORD-2024-10319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</si>
  <si>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</si>
  <si>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</si>
  <si>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</si>
  <si>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</si>
  <si>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</si>
  <si>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</si>
  <si>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</si>
  <si>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</si>
  <si>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</si>
  <si>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12/06/2024</t>
  </si>
  <si>
    <t>CUST-4667</t>
  </si>
  <si>
    <t>Classic Art 299</t>
  </si>
  <si>
    <t>ORD-2024-10322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</si>
  <si>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</si>
  <si>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</si>
  <si>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</si>
  <si>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</si>
  <si>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</si>
  <si>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</si>
  <si>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</si>
  <si>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</si>
  <si>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</si>
  <si>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</si>
  <si>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</si>
  <si>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</si>
  <si>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CUST-7212</t>
  </si>
  <si>
    <t>Basic Labels 102</t>
  </si>
  <si>
    <t>ORD-2025-10326</t>
  </si>
  <si>
    <t>2025-09-22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</si>
  <si>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</si>
  <si>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</si>
  <si>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</si>
  <si>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</si>
  <si>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</si>
  <si>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</si>
  <si>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</si>
  <si>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</si>
  <si>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</si>
  <si>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</si>
  <si>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</si>
  <si>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</si>
  <si>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</si>
  <si>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</si>
  <si>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</si>
  <si>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</si>
  <si>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</si>
  <si>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</si>
  <si>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</si>
  <si>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</si>
  <si>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</si>
  <si>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</si>
  <si>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</si>
  <si>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</si>
  <si>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</si>
  <si>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</si>
  <si>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</si>
  <si>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</si>
  <si>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</si>
  <si>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2025-06-27</t>
  </si>
  <si>
    <t>CUST-8081</t>
  </si>
  <si>
    <t>Pro Phones 968</t>
  </si>
  <si>
    <t>ORD-2024-10335</t>
  </si>
  <si>
    <t>17-09-2024</t>
  </si>
  <si>
    <t>CUST-3062</t>
  </si>
  <si>
    <t>Pro Storage 563</t>
  </si>
  <si>
    <t>ORD-2025-10336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</si>
  <si>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</si>
  <si>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</si>
  <si>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</si>
  <si>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</si>
  <si>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</si>
  <si>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</si>
  <si>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</si>
  <si>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18 Aug 2024</t>
  </si>
  <si>
    <t>CUST-4599</t>
  </si>
  <si>
    <t>Classic Labels 206</t>
  </si>
  <si>
    <t>ORD-2024-10339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</si>
  <si>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</si>
  <si>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</si>
  <si>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</si>
  <si>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</si>
  <si>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</si>
  <si>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</si>
  <si>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</si>
  <si>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01/29/2024</t>
  </si>
  <si>
    <t>CUST-6291</t>
  </si>
  <si>
    <t>Smart Binders 414</t>
  </si>
  <si>
    <t>ORD-2025-10342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</si>
  <si>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</si>
  <si>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</si>
  <si>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</si>
  <si>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</si>
  <si>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</si>
  <si>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</si>
  <si>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</si>
  <si>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</si>
  <si>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</si>
  <si>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</si>
  <si>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</si>
  <si>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</si>
  <si>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</si>
  <si>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</si>
  <si>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</si>
  <si>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</si>
  <si>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</si>
  <si>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</si>
  <si>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</si>
  <si>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</si>
  <si>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</si>
  <si>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</si>
  <si>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</si>
  <si>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</si>
  <si>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</si>
  <si>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</si>
  <si>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</si>
  <si>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</si>
  <si>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</si>
  <si>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</si>
  <si>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</si>
  <si>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</si>
  <si>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</si>
  <si>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</si>
  <si>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</si>
  <si>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</si>
  <si>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</si>
  <si>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</si>
  <si>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</si>
  <si>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</si>
  <si>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</si>
  <si>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</si>
  <si>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</si>
  <si>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</si>
  <si>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</si>
  <si>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</si>
  <si>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</si>
  <si>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</si>
  <si>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</si>
  <si>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</si>
  <si>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</si>
  <si>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</si>
  <si>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</si>
  <si>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</si>
  <si>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</si>
  <si>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</si>
  <si>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</si>
  <si>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</si>
  <si>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</si>
  <si>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</si>
  <si>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</si>
  <si>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</si>
  <si>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</si>
  <si>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</si>
  <si>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</si>
  <si>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</si>
  <si>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</si>
  <si>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</si>
  <si>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</si>
  <si>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</si>
  <si>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</si>
  <si>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</si>
  <si>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</si>
  <si>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</si>
  <si>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</si>
  <si>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</si>
  <si>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</si>
  <si>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</si>
  <si>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</si>
  <si>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</si>
  <si>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</si>
  <si>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</si>
  <si>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</si>
  <si>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</si>
  <si>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25-08-2024</t>
  </si>
  <si>
    <t>CUST-6755</t>
  </si>
  <si>
    <t>Elite Machines 216</t>
  </si>
  <si>
    <t>ORD-2025-10364</t>
  </si>
  <si>
    <t>07/12/2025</t>
  </si>
  <si>
    <t>CUST-1832</t>
  </si>
  <si>
    <t>Smart Tables 943</t>
  </si>
  <si>
    <t>ORD-2025-10365</t>
  </si>
  <si>
    <t>2025-03-24</t>
  </si>
  <si>
    <t>CUST-4452</t>
  </si>
  <si>
    <t>Prime Chairs 101</t>
  </si>
  <si>
    <t>ORD-2024-10366</t>
  </si>
  <si>
    <t>21-06-2024</t>
  </si>
  <si>
    <t>CUST-2203</t>
  </si>
  <si>
    <t>Basic Accessories 774</t>
  </si>
  <si>
    <t>ORD-2025-10367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</si>
  <si>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</si>
  <si>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</si>
  <si>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</si>
  <si>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</si>
  <si>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</si>
  <si>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</si>
  <si>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</si>
  <si>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</si>
  <si>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</si>
  <si>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</si>
  <si>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</si>
  <si>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</si>
  <si>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</si>
  <si>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</si>
  <si>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</si>
  <si>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</si>
  <si>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</si>
  <si>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</si>
  <si>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</si>
  <si>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</si>
  <si>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</si>
  <si>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</si>
  <si>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</si>
  <si>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</si>
  <si>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</si>
  <si>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</si>
  <si>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</si>
  <si>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</si>
  <si>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</si>
  <si>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</si>
  <si>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</si>
  <si>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</si>
  <si>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</si>
  <si>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</si>
  <si>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</si>
  <si>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</si>
  <si>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</si>
  <si>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</si>
  <si>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</si>
  <si>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</si>
  <si>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</si>
  <si>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</si>
  <si>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</si>
  <si>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</si>
  <si>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</si>
  <si>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</si>
  <si>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</si>
  <si>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</si>
  <si>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</si>
  <si>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</si>
  <si>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</si>
  <si>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</si>
  <si>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</si>
  <si>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</si>
  <si>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</si>
  <si>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</si>
  <si>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</si>
  <si>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</si>
  <si>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23-09-2025</t>
  </si>
  <si>
    <t>CUST-9943</t>
  </si>
  <si>
    <t>HOME OFFICE</t>
  </si>
  <si>
    <t>Prime Binders 523</t>
  </si>
  <si>
    <t>ORD-2025-10383</t>
  </si>
  <si>
    <t>TECHNOLOGY</t>
  </si>
  <si>
    <t>Pro Phones 538</t>
  </si>
  <si>
    <t>ORD-2025-10384</t>
  </si>
  <si>
    <t>CUST-7438</t>
  </si>
  <si>
    <t>Basic Art 608</t>
  </si>
  <si>
    <t>ORD-2024-10385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</si>
  <si>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</si>
  <si>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</si>
  <si>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</si>
  <si>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</si>
  <si>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</si>
  <si>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</si>
  <si>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</si>
  <si>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</si>
  <si>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</si>
  <si>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</si>
  <si>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</si>
  <si>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</si>
  <si>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</si>
  <si>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</si>
  <si>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</si>
  <si>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18 May 2024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</si>
  <si>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</si>
  <si>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</si>
  <si>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</si>
  <si>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</si>
  <si>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</si>
  <si>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</si>
  <si>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</si>
  <si>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</si>
  <si>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</si>
  <si>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</si>
  <si>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</si>
  <si>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</si>
  <si>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</si>
  <si>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22 Feb 2024</t>
  </si>
  <si>
    <t>CUST-6866</t>
  </si>
  <si>
    <t>Classic Furnishings 746</t>
  </si>
  <si>
    <t>ORD-2024-10394</t>
  </si>
  <si>
    <t>08/29/2024</t>
  </si>
  <si>
    <t>CUST-3160</t>
  </si>
  <si>
    <t>Eco Labels 815</t>
  </si>
  <si>
    <t>ORD-2024-10395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</si>
  <si>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</si>
  <si>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</si>
  <si>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</si>
  <si>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</si>
  <si>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</si>
  <si>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</si>
  <si>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</si>
  <si>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</si>
  <si>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</si>
  <si>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</si>
  <si>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</si>
  <si>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</si>
  <si>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10 Jun 2025</t>
  </si>
  <si>
    <t>CUST-3177</t>
  </si>
  <si>
    <t>Eco Tables 378</t>
  </si>
  <si>
    <t>ORD-2024-10399</t>
  </si>
  <si>
    <t>2024-07-26</t>
  </si>
  <si>
    <t>CUST-4718</t>
  </si>
  <si>
    <t>Elite Machines 523</t>
  </si>
  <si>
    <t>ORD-2025-10400</t>
  </si>
  <si>
    <t>2025-04-29</t>
  </si>
  <si>
    <t>CUST-5647</t>
  </si>
  <si>
    <t>Elite Paper 308</t>
  </si>
  <si>
    <t>ORD-2025-10401</t>
  </si>
  <si>
    <t>2025-06-11</t>
  </si>
  <si>
    <t>CUST-7150</t>
  </si>
  <si>
    <t>Prime Paper 851</t>
  </si>
  <si>
    <t>ORD-2025-10402</t>
  </si>
  <si>
    <t>16-03-2025</t>
  </si>
  <si>
    <t>CUST-6694</t>
  </si>
  <si>
    <t>Classic Tables 151</t>
  </si>
  <si>
    <t>ORD-2024-10403</t>
  </si>
  <si>
    <t>03/22/2024</t>
  </si>
  <si>
    <t>CUST-7680</t>
  </si>
  <si>
    <t>Smart Tables 829</t>
  </si>
  <si>
    <t>ORD-2024-10404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</si>
  <si>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</si>
  <si>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</si>
  <si>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</si>
  <si>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</si>
  <si>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</si>
  <si>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</si>
  <si>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</si>
  <si>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</si>
  <si>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</si>
  <si>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</si>
  <si>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</si>
  <si>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</si>
  <si>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</si>
  <si>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</si>
  <si>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</si>
  <si>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</si>
  <si>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</si>
  <si>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</si>
  <si>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</si>
  <si>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</si>
  <si>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</si>
  <si>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</si>
  <si>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</si>
  <si>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</si>
  <si>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</si>
  <si>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</si>
  <si>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</si>
  <si>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</si>
  <si>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 Apr 2024</t>
  </si>
  <si>
    <t>CUST-9495</t>
  </si>
  <si>
    <t>Smart Tables 100</t>
  </si>
  <si>
    <t>ORD-2025-10412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</si>
  <si>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</si>
  <si>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</si>
  <si>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</si>
  <si>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</si>
  <si>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</si>
  <si>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</si>
  <si>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</si>
  <si>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</si>
  <si>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</si>
  <si>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</si>
  <si>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</si>
  <si>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</si>
  <si>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</si>
  <si>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</si>
  <si>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</si>
  <si>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</si>
  <si>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</si>
  <si>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</si>
  <si>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</si>
  <si>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</si>
  <si>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</si>
  <si>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</si>
  <si>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</si>
  <si>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</si>
  <si>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</si>
  <si>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</si>
  <si>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</si>
  <si>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</si>
  <si>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11/17/2024</t>
  </si>
  <si>
    <t>CUST-7925</t>
  </si>
  <si>
    <t>Elite Copiers 971</t>
  </si>
  <si>
    <t>ORD-2025-10420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</si>
  <si>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</si>
  <si>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</si>
  <si>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</si>
  <si>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</si>
  <si>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</si>
  <si>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</si>
  <si>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</si>
  <si>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</si>
  <si>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19 Jun 2025</t>
  </si>
  <si>
    <t>CUST-2779</t>
  </si>
  <si>
    <t>Elite Binders 943</t>
  </si>
  <si>
    <t>ORD-2025-10423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</si>
  <si>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</si>
  <si>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</si>
  <si>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</si>
  <si>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</si>
  <si>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</si>
  <si>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</si>
  <si>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</si>
  <si>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</si>
  <si>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</si>
  <si>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</si>
  <si>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</si>
  <si>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</si>
  <si>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</si>
  <si>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</si>
  <si>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</si>
  <si>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09/27/2024</t>
  </si>
  <si>
    <t>CUST-9586</t>
  </si>
  <si>
    <t>Pro Labels 903</t>
  </si>
  <si>
    <t>ORD-2024-10427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</si>
  <si>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</si>
  <si>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</si>
  <si>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</si>
  <si>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</si>
  <si>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</si>
  <si>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</si>
  <si>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</si>
  <si>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</si>
  <si>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</si>
  <si>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22 Mar 2025</t>
  </si>
  <si>
    <t>CUST-7626</t>
  </si>
  <si>
    <t>Elite Phones 488</t>
  </si>
  <si>
    <t>ORD-2025-10430</t>
  </si>
  <si>
    <t>08-03-2025</t>
  </si>
  <si>
    <t>CUST-8562</t>
  </si>
  <si>
    <t>Prime Copiers 109</t>
  </si>
  <si>
    <t>ORD-2024-10431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</si>
  <si>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</si>
  <si>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</si>
  <si>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</si>
  <si>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</si>
  <si>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</si>
  <si>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</si>
  <si>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</si>
  <si>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</si>
  <si>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</si>
  <si>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</si>
  <si>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</si>
  <si>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</si>
  <si>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20-04-2024</t>
  </si>
  <si>
    <t>CUST-7066</t>
  </si>
  <si>
    <t>Elite Art 946</t>
  </si>
  <si>
    <t>ORD-2025-10435</t>
  </si>
  <si>
    <t>2025-04-15</t>
  </si>
  <si>
    <t>CUST-2351</t>
  </si>
  <si>
    <t>Eco Accessories 705</t>
  </si>
  <si>
    <t>ORD-2025-10436</t>
  </si>
  <si>
    <t>CUST-7291</t>
  </si>
  <si>
    <t>Max Machines 151</t>
  </si>
  <si>
    <t>ORD-2024-10437</t>
  </si>
  <si>
    <t>21 Jun 2024</t>
  </si>
  <si>
    <t>CUST-4492</t>
  </si>
  <si>
    <t>Max Furnishings 803</t>
  </si>
  <si>
    <t>ORD-2024-10438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</si>
  <si>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</si>
  <si>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</si>
  <si>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</si>
  <si>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</si>
  <si>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</si>
  <si>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</si>
  <si>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</si>
  <si>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</si>
  <si>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</si>
  <si>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</si>
  <si>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</si>
  <si>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</si>
  <si>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</si>
  <si>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</si>
  <si>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</si>
  <si>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</si>
  <si>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</si>
  <si>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</si>
  <si>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</si>
  <si>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</si>
  <si>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</si>
  <si>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</si>
  <si>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</si>
  <si>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</si>
  <si>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</si>
  <si>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</si>
  <si>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</si>
  <si>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</si>
  <si>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CUST-4475</t>
  </si>
  <si>
    <t>Prime Accessories 482</t>
  </si>
  <si>
    <t>ORD-2024-10446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</si>
  <si>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</si>
  <si>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</si>
  <si>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</si>
  <si>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</si>
  <si>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</si>
  <si>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</si>
  <si>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</si>
  <si>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</si>
  <si>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</si>
  <si>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</si>
  <si>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</si>
  <si>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</si>
  <si>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</si>
  <si>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CUST-1932</t>
  </si>
  <si>
    <t>Prime Chairs 631</t>
  </si>
  <si>
    <t>ORD-2024-10450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</si>
  <si>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</si>
  <si>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</si>
  <si>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</si>
  <si>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</si>
  <si>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</si>
  <si>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</si>
  <si>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</si>
  <si>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26-03-2024</t>
  </si>
  <si>
    <t>CUST-3907</t>
  </si>
  <si>
    <t>Classic Paper 272</t>
  </si>
  <si>
    <t>ORD-2024-10453</t>
  </si>
  <si>
    <t>CUST-8796</t>
  </si>
  <si>
    <t>Smart Accessories 149</t>
  </si>
  <si>
    <t>ORD-2025-10454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</si>
  <si>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</si>
  <si>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</si>
  <si>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</si>
  <si>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</si>
  <si>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</si>
  <si>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</si>
  <si>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</si>
  <si>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</si>
  <si>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</si>
  <si>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</si>
  <si>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</si>
  <si>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</si>
  <si>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</si>
  <si>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</si>
  <si>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</si>
  <si>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</si>
  <si>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2024-05-04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</si>
  <si>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</si>
  <si>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</si>
  <si>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</si>
  <si>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</si>
  <si>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</si>
  <si>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</si>
  <si>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</si>
  <si>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</si>
  <si>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</si>
  <si>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06 Oct 2025</t>
  </si>
  <si>
    <t>CUST-5551</t>
  </si>
  <si>
    <t>Eco Copiers 603</t>
  </si>
  <si>
    <t>ORD-2025-10462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</si>
  <si>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</si>
  <si>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</si>
  <si>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</si>
  <si>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</si>
  <si>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</si>
  <si>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</si>
  <si>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</si>
  <si>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</si>
  <si>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</si>
  <si>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</si>
  <si>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</si>
  <si>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03/15/2025</t>
  </si>
  <si>
    <t>CUST-7362</t>
  </si>
  <si>
    <t>Elite Paper 106</t>
  </si>
  <si>
    <t>ORD-2024-10466</t>
  </si>
  <si>
    <t>2024-02-06</t>
  </si>
  <si>
    <t>CUST-1748</t>
  </si>
  <si>
    <t>Eco Labels 914</t>
  </si>
  <si>
    <t>ORD-2024-10467</t>
  </si>
  <si>
    <t>01/08/2024</t>
  </si>
  <si>
    <t>CUST-2725</t>
  </si>
  <si>
    <t>Max Accessories 486</t>
  </si>
  <si>
    <t>ORD-2024-10468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</si>
  <si>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</si>
  <si>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</si>
  <si>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</si>
  <si>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</si>
  <si>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</si>
  <si>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</si>
  <si>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</si>
  <si>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</si>
  <si>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</si>
  <si>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</si>
  <si>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</si>
  <si>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</si>
  <si>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</si>
  <si>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</si>
  <si>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02/15/2024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</si>
  <si>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</si>
  <si>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</si>
  <si>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</si>
  <si>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</si>
  <si>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</si>
  <si>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</si>
  <si>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</si>
  <si>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</si>
  <si>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</si>
  <si>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</si>
  <si>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</si>
  <si>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</si>
  <si>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</si>
  <si>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08 Mar 2025</t>
  </si>
  <si>
    <t>CUST-5712</t>
  </si>
  <si>
    <t>Eco Chairs 365</t>
  </si>
  <si>
    <t>ORD-2024-10477</t>
  </si>
  <si>
    <t>05/14/2024</t>
  </si>
  <si>
    <t>CUST-3004</t>
  </si>
  <si>
    <t>Classic Storage 545</t>
  </si>
  <si>
    <t>ORD-2025-10478</t>
  </si>
  <si>
    <t>28-08-2025</t>
  </si>
  <si>
    <t>CUST-6920</t>
  </si>
  <si>
    <t>Pro Chairs 186</t>
  </si>
  <si>
    <t>ORD-2024-10479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</si>
  <si>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</si>
  <si>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</si>
  <si>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</si>
  <si>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</si>
  <si>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</si>
  <si>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</si>
  <si>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</si>
  <si>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</si>
  <si>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</si>
  <si>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</si>
  <si>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</si>
  <si>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</si>
  <si>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</si>
  <si>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</si>
  <si>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</si>
  <si>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</si>
  <si>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</si>
  <si>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</si>
  <si>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</si>
  <si>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</si>
  <si>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</si>
  <si>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</si>
  <si>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</si>
  <si>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</si>
  <si>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</si>
  <si>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</si>
  <si>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</si>
  <si>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</si>
  <si>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</si>
  <si>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</si>
  <si>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</si>
  <si>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</si>
  <si>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</si>
  <si>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</si>
  <si>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</si>
  <si>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</si>
  <si>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</si>
  <si>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</si>
  <si>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</si>
  <si>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</si>
  <si>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</si>
  <si>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</si>
  <si>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</si>
  <si>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</si>
  <si>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</si>
  <si>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</si>
  <si>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</si>
  <si>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</si>
  <si>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</si>
  <si>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</si>
  <si>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</si>
  <si>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</si>
  <si>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</si>
  <si>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</si>
  <si>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</si>
  <si>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</si>
  <si>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</si>
  <si>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</si>
  <si>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</si>
  <si>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</si>
  <si>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</si>
  <si>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</si>
  <si>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</si>
  <si>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</si>
  <si>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</si>
  <si>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</si>
  <si>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</si>
  <si>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</si>
  <si>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</si>
  <si>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</si>
  <si>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</si>
  <si>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</si>
  <si>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</si>
  <si>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</si>
  <si>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</si>
  <si>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</si>
  <si>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</si>
  <si>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</si>
  <si>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10 Sep 2025</t>
  </si>
  <si>
    <t>CUST-1190</t>
  </si>
  <si>
    <t>Basic Chairs 255</t>
  </si>
  <si>
    <t>cancelled</t>
  </si>
  <si>
    <t>ORD-2024-10500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</si>
  <si>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</si>
  <si>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</si>
  <si>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</si>
  <si>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</si>
  <si>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</si>
  <si>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</si>
  <si>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</si>
  <si>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08/17/2024</t>
  </si>
  <si>
    <t>Elite Art 325</t>
  </si>
  <si>
    <t>ORD-2024-10503</t>
  </si>
  <si>
    <t>2024-04-09</t>
  </si>
  <si>
    <t>CUST-1534</t>
  </si>
  <si>
    <t>Prime Copiers 557</t>
  </si>
  <si>
    <t>ORD-2024-10504</t>
  </si>
  <si>
    <t>2024-10-05</t>
  </si>
  <si>
    <t>CUST-7422</t>
  </si>
  <si>
    <t>Smart Phones 674</t>
  </si>
  <si>
    <t>ORD-2025-10505</t>
  </si>
  <si>
    <t>2025-02-17</t>
  </si>
  <si>
    <t>CUST-9693</t>
  </si>
  <si>
    <t>Elite Art 553</t>
  </si>
  <si>
    <t>ORD-2024-10506</t>
  </si>
  <si>
    <t>CUST-5458</t>
  </si>
  <si>
    <t>Classic Art 339</t>
  </si>
  <si>
    <t>ORD-2024-10507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</si>
  <si>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</si>
  <si>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</si>
  <si>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</si>
  <si>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</si>
  <si>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</si>
  <si>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</si>
  <si>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</si>
  <si>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</si>
  <si>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</si>
  <si>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</si>
  <si>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</si>
  <si>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</si>
  <si>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</si>
  <si>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</si>
  <si>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</si>
  <si>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</si>
  <si>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</si>
  <si>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</si>
  <si>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</si>
  <si>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</si>
  <si>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</si>
  <si>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</si>
  <si>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</si>
  <si>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</si>
  <si>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</si>
  <si>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</si>
  <si>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</si>
  <si>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</si>
  <si>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</si>
  <si>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</si>
  <si>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</si>
  <si>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</si>
  <si>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</si>
  <si>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</si>
  <si>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</si>
  <si>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</si>
  <si>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04 Oct 2024</t>
  </si>
  <si>
    <t>CUST-2731</t>
  </si>
  <si>
    <t>Classic Copiers 143</t>
  </si>
  <si>
    <t>ORD-2025-10518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</si>
  <si>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</si>
  <si>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</si>
  <si>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</si>
  <si>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</si>
  <si>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</si>
  <si>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</si>
  <si>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</si>
  <si>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</si>
  <si>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</si>
  <si>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</si>
  <si>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</si>
  <si>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</si>
  <si>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</si>
  <si>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</si>
  <si>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</si>
  <si>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</si>
  <si>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</si>
  <si>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</si>
  <si>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</si>
  <si>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</si>
  <si>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</si>
  <si>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</si>
  <si>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</si>
  <si>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2024-04-03</t>
  </si>
  <si>
    <t>CUST-4653</t>
  </si>
  <si>
    <t>Basic Paper 315</t>
  </si>
  <si>
    <t>ORD-2024-10525</t>
  </si>
  <si>
    <t>01 Dec 2024</t>
  </si>
  <si>
    <t>CUST-3311</t>
  </si>
  <si>
    <t>Basic Chairs 333</t>
  </si>
  <si>
    <t>ORD-2024-10526</t>
  </si>
  <si>
    <t>2024-10-17</t>
  </si>
  <si>
    <t>CUST-2924</t>
  </si>
  <si>
    <t>Prime Chairs 215</t>
  </si>
  <si>
    <t>ORD-2025-10527</t>
  </si>
  <si>
    <t>21 Jul 2025</t>
  </si>
  <si>
    <t>CUST-7198</t>
  </si>
  <si>
    <t>Elite Tables 815</t>
  </si>
  <si>
    <t>ORD-2025-10528</t>
  </si>
  <si>
    <t>2025-10-05</t>
  </si>
  <si>
    <t>CUST-3419</t>
  </si>
  <si>
    <t>Basic Paper 388</t>
  </si>
  <si>
    <t>ORD-2024-10529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</si>
  <si>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</si>
  <si>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</si>
  <si>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</si>
  <si>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</si>
  <si>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</si>
  <si>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</si>
  <si>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</si>
  <si>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</si>
  <si>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</si>
  <si>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</si>
  <si>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</si>
  <si>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</si>
  <si>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</si>
  <si>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</si>
  <si>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</si>
  <si>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</si>
  <si>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</si>
  <si>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</si>
  <si>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</si>
  <si>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</si>
  <si>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</si>
  <si>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2025-05-05</t>
  </si>
  <si>
    <t>CUST-8204</t>
  </si>
  <si>
    <t>Classic Accessories 325</t>
  </si>
  <si>
    <t>ORD-2024-10536</t>
  </si>
  <si>
    <t>21 May 2024</t>
  </si>
  <si>
    <t>CUST-1729</t>
  </si>
  <si>
    <t>Eco Copiers 243</t>
  </si>
  <si>
    <t>ORD-2025-10537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</si>
  <si>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</si>
  <si>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</si>
  <si>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</si>
  <si>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</si>
  <si>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</si>
  <si>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</si>
  <si>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</si>
  <si>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</si>
  <si>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</si>
  <si>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</si>
  <si>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</si>
  <si>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</si>
  <si>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</si>
  <si>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</si>
  <si>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</si>
  <si>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</si>
  <si>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CUST-7563</t>
  </si>
  <si>
    <t>Basic Furnishings 350</t>
  </si>
  <si>
    <t>ORD-2025-10542</t>
  </si>
  <si>
    <t>2025-07-09</t>
  </si>
  <si>
    <t>CUST-4188</t>
  </si>
  <si>
    <t>Elite Copiers 831</t>
  </si>
  <si>
    <t>ORD-2024-10543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</si>
  <si>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</si>
  <si>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</si>
  <si>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</si>
  <si>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</si>
  <si>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</si>
  <si>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</si>
  <si>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</si>
  <si>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</si>
  <si>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</si>
  <si>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CUST-2366</t>
  </si>
  <si>
    <t>Smart Art 201</t>
  </si>
  <si>
    <t>ORD-2024-10546</t>
  </si>
  <si>
    <t>30 May 2024</t>
  </si>
  <si>
    <t>CUST-7168</t>
  </si>
  <si>
    <t>Classic Storage 755</t>
  </si>
  <si>
    <t>ORD-2025-10547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</si>
  <si>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</si>
  <si>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</si>
  <si>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</si>
  <si>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</si>
  <si>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</si>
  <si>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</si>
  <si>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</si>
  <si>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</si>
  <si>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</si>
  <si>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</si>
  <si>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</si>
  <si>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</si>
  <si>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</si>
  <si>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</si>
  <si>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</si>
  <si>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</si>
  <si>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</si>
  <si>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</si>
  <si>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</si>
  <si>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</si>
  <si>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</si>
  <si>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</si>
  <si>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</si>
  <si>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</si>
  <si>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</si>
  <si>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</si>
  <si>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</si>
  <si>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2025-04-28</t>
  </si>
  <si>
    <t>CUST-9241</t>
  </si>
  <si>
    <t>Pro Storage 128</t>
  </si>
  <si>
    <t>ORD-2024-10555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</si>
  <si>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</si>
  <si>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</si>
  <si>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</si>
  <si>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</si>
  <si>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</si>
  <si>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</si>
  <si>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</si>
  <si>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</si>
  <si>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</si>
  <si>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</si>
  <si>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</si>
  <si>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</si>
  <si>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</si>
  <si>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</si>
  <si>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</si>
  <si>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</si>
  <si>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</si>
  <si>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</si>
  <si>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</si>
  <si>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</si>
  <si>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</si>
  <si>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</si>
  <si>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</si>
  <si>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</si>
  <si>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</si>
  <si>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</si>
  <si>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</si>
  <si>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</si>
  <si>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</si>
  <si>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</si>
  <si>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</si>
  <si>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</si>
  <si>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</si>
  <si>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</si>
  <si>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</si>
  <si>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</si>
  <si>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</si>
  <si>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</si>
  <si>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</si>
  <si>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</si>
  <si>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</si>
  <si>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</si>
  <si>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</si>
  <si>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</si>
  <si>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</si>
  <si>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</si>
  <si>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</si>
  <si>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</si>
  <si>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</si>
  <si>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</si>
  <si>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</si>
  <si>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</si>
  <si>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</si>
  <si>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</si>
  <si>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</si>
  <si>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</si>
  <si>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</si>
  <si>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</si>
  <si>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</si>
  <si>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</si>
  <si>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</si>
  <si>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</si>
  <si>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</si>
  <si>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</si>
  <si>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</si>
  <si>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</si>
  <si>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</si>
  <si>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</si>
  <si>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</si>
  <si>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09-01-2024</t>
  </si>
  <si>
    <t>CUST-8633</t>
  </si>
  <si>
    <t>Eco Phones 368</t>
  </si>
  <si>
    <t>ORD-2025-10574</t>
  </si>
  <si>
    <t>09/26/2025</t>
  </si>
  <si>
    <t>CUST-8243</t>
  </si>
  <si>
    <t>Pro Phones 644</t>
  </si>
  <si>
    <t>ORD-2024-10575</t>
  </si>
  <si>
    <t>Smart Machines 566</t>
  </si>
  <si>
    <t>ORD-2025-10576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</si>
  <si>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</si>
  <si>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</si>
  <si>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</si>
  <si>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</si>
  <si>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</si>
  <si>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</si>
  <si>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</si>
  <si>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</si>
  <si>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</si>
  <si>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</si>
  <si>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</si>
  <si>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</si>
  <si>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</si>
  <si>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23-02-2024</t>
  </si>
  <si>
    <t>Elite Copiers 682</t>
  </si>
  <si>
    <t>ORD-2024-10580</t>
  </si>
  <si>
    <t>24 Jun 2024</t>
  </si>
  <si>
    <t>CUST-9617</t>
  </si>
  <si>
    <t>Pro Storage 482</t>
  </si>
  <si>
    <t>ORD-2025-10581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</si>
  <si>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</si>
  <si>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</si>
  <si>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</si>
  <si>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</si>
  <si>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</si>
  <si>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</si>
  <si>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</si>
  <si>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</si>
  <si>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</si>
  <si>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</si>
  <si>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</si>
  <si>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</si>
  <si>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</si>
  <si>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</si>
  <si>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</si>
  <si>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</si>
  <si>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</si>
  <si>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</si>
  <si>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</si>
  <si>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</si>
  <si>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</si>
  <si>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</si>
  <si>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</si>
  <si>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 Apr 2025</t>
  </si>
  <si>
    <t>CUST-8626</t>
  </si>
  <si>
    <t>Prime Binders 249</t>
  </si>
  <si>
    <t>ORD-2025-10588</t>
  </si>
  <si>
    <t>2025-07-31</t>
  </si>
  <si>
    <t>CUST-1013</t>
  </si>
  <si>
    <t>Eco Accessories 948</t>
  </si>
  <si>
    <t>ORD-2025-10589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</si>
  <si>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</si>
  <si>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</si>
  <si>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</si>
  <si>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</si>
  <si>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</si>
  <si>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</si>
  <si>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</si>
  <si>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</si>
  <si>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</si>
  <si>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</si>
  <si>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</si>
  <si>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</si>
  <si>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</si>
  <si>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</si>
  <si>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</si>
  <si>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</si>
  <si>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</si>
  <si>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</si>
  <si>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</si>
  <si>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</si>
  <si>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</si>
  <si>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</si>
  <si>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</si>
  <si>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</si>
  <si>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CUST-6850</t>
  </si>
  <si>
    <t>Basic Chairs 932</t>
  </si>
  <si>
    <t>ORD-2025-10596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</si>
  <si>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</si>
  <si>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</si>
  <si>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</si>
  <si>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</si>
  <si>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</si>
  <si>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</si>
  <si>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</si>
  <si>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</si>
  <si>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</si>
  <si>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</si>
  <si>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</si>
  <si>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</si>
  <si>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</si>
  <si>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</si>
  <si>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</si>
  <si>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</si>
  <si>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</si>
  <si>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</si>
  <si>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</si>
  <si>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2025-03-12</t>
  </si>
  <si>
    <t>CUST-6013</t>
  </si>
  <si>
    <t>Prime Storage 432</t>
  </si>
  <si>
    <t>ORD-2024-10602</t>
  </si>
  <si>
    <t>01/31/2024</t>
  </si>
  <si>
    <t>CUST-8289</t>
  </si>
  <si>
    <t>Basic Paper 452</t>
  </si>
  <si>
    <t>ORD-2024-10603</t>
  </si>
  <si>
    <t>2024-10-30</t>
  </si>
  <si>
    <t>CUST-5668</t>
  </si>
  <si>
    <t>Max Copiers 477</t>
  </si>
  <si>
    <t>ORD-2025-10604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</si>
  <si>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</si>
  <si>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</si>
  <si>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</si>
  <si>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</si>
  <si>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</si>
  <si>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</si>
  <si>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</si>
  <si>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</si>
  <si>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</si>
  <si>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</si>
  <si>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</si>
  <si>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</si>
  <si>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</si>
  <si>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</si>
  <si>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</si>
  <si>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</si>
  <si>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</si>
  <si>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</si>
  <si>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</si>
  <si>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</si>
  <si>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</si>
  <si>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</si>
  <si>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</si>
  <si>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</si>
  <si>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</si>
  <si>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</si>
  <si>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</si>
  <si>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</si>
  <si>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</si>
  <si>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</si>
  <si>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</si>
  <si>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</si>
  <si>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</si>
  <si>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</si>
  <si>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</si>
  <si>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</si>
  <si>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</si>
  <si>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</si>
  <si>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</si>
  <si>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</si>
  <si>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</si>
  <si>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</si>
  <si>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10/07/2024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</si>
  <si>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</si>
  <si>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</si>
  <si>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</si>
  <si>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</si>
  <si>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</si>
  <si>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</si>
  <si>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</si>
  <si>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</si>
  <si>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</si>
  <si>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</si>
  <si>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</si>
  <si>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</si>
  <si>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</si>
  <si>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</si>
  <si>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</si>
  <si>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</si>
  <si>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</si>
  <si>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</si>
  <si>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</si>
  <si>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</si>
  <si>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</si>
  <si>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</si>
  <si>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</si>
  <si>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</si>
  <si>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06 Feb 2025</t>
  </si>
  <si>
    <t>CUST-1127</t>
  </si>
  <si>
    <t>Basic Storage 934</t>
  </si>
  <si>
    <t>ORD-2024-10624</t>
  </si>
  <si>
    <t>14 Aug 2024</t>
  </si>
  <si>
    <t>CUST-6262</t>
  </si>
  <si>
    <t>Pro Storage 509</t>
  </si>
  <si>
    <t>ORD-2024-10625</t>
  </si>
  <si>
    <t>2024-02-01</t>
  </si>
  <si>
    <t>CUST-5070</t>
  </si>
  <si>
    <t>Prime Chairs 765</t>
  </si>
  <si>
    <t>ORD-2024-10626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</si>
  <si>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</si>
  <si>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</si>
  <si>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</si>
  <si>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</si>
  <si>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</si>
  <si>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</si>
  <si>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</si>
  <si>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</si>
  <si>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</si>
  <si>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</si>
  <si>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</si>
  <si>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</si>
  <si>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</si>
  <si>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</si>
  <si>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</si>
  <si>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</si>
  <si>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</si>
  <si>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</si>
  <si>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</si>
  <si>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</si>
  <si>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</si>
  <si>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</si>
  <si>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</si>
  <si>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</si>
  <si>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</si>
  <si>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</si>
  <si>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</si>
  <si>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</si>
  <si>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</si>
  <si>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</si>
  <si>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</si>
  <si>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</si>
  <si>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</si>
  <si>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</si>
  <si>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</si>
  <si>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</si>
  <si>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</si>
  <si>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</si>
  <si>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</si>
  <si>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</si>
  <si>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09 Oct 2024</t>
  </si>
  <si>
    <t>CUST-7221</t>
  </si>
  <si>
    <t>Smart Paper 872</t>
  </si>
  <si>
    <t>ORD-2024-10638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</si>
  <si>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</si>
  <si>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</si>
  <si>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</si>
  <si>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</si>
  <si>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</si>
  <si>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</si>
  <si>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</si>
  <si>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</si>
  <si>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CUST-6829</t>
  </si>
  <si>
    <t>Elite Chairs 744</t>
  </si>
  <si>
    <t>ORD-2025-10641</t>
  </si>
  <si>
    <t>17 Jan 2025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</si>
  <si>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</si>
  <si>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</si>
  <si>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</si>
  <si>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</si>
  <si>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</si>
  <si>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</si>
  <si>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</si>
  <si>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</si>
  <si>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</si>
  <si>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</si>
  <si>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</si>
  <si>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</si>
  <si>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</si>
  <si>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</si>
  <si>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</si>
  <si>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</si>
  <si>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</si>
  <si>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CUST-2314</t>
  </si>
  <si>
    <t>Basic Chairs 480</t>
  </si>
  <si>
    <t>ORD-2024-10647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</si>
  <si>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</si>
  <si>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</si>
  <si>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</si>
  <si>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</si>
  <si>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</si>
  <si>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</si>
  <si>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</si>
  <si>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</si>
  <si>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</si>
  <si>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CUST-1808</t>
  </si>
  <si>
    <t>Prime Art 301</t>
  </si>
  <si>
    <t>ORD-2025-10650</t>
  </si>
  <si>
    <t>19-08-2025</t>
  </si>
  <si>
    <t>CUST-7277</t>
  </si>
  <si>
    <t>Classic Accessories 354</t>
  </si>
  <si>
    <t>ORD-2024-10651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</si>
  <si>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</si>
  <si>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</si>
  <si>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</si>
  <si>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</si>
  <si>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</si>
  <si>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</si>
  <si>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</si>
  <si>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2025-03-21</t>
  </si>
  <si>
    <t>Smart Binders 999</t>
  </si>
  <si>
    <t>ORD-2025-10654</t>
  </si>
  <si>
    <t>04/07/2025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</si>
  <si>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</si>
  <si>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</si>
  <si>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</si>
  <si>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</si>
  <si>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</si>
  <si>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</si>
  <si>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</si>
  <si>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</si>
  <si>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</si>
  <si>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</si>
  <si>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</si>
  <si>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2025-08-10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</si>
  <si>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</si>
  <si>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</si>
  <si>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</si>
  <si>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</si>
  <si>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</si>
  <si>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</si>
  <si>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</si>
  <si>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</si>
  <si>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</si>
  <si>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</si>
  <si>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</si>
  <si>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</si>
  <si>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</si>
  <si>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2024-05-22</t>
  </si>
  <si>
    <t>CUST-4537</t>
  </si>
  <si>
    <t>Max Machines 595</t>
  </si>
  <si>
    <t>ORD-2024-10663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</si>
  <si>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</si>
  <si>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</si>
  <si>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</si>
  <si>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</si>
  <si>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</si>
  <si>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</si>
  <si>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</si>
  <si>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10 Dec 2024</t>
  </si>
  <si>
    <t>CUST-2709</t>
  </si>
  <si>
    <t>Max Accessories 903</t>
  </si>
  <si>
    <t>ORD-2025-10666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</si>
  <si>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</si>
  <si>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</si>
  <si>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</si>
  <si>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</si>
  <si>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</si>
  <si>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</si>
  <si>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</si>
  <si>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27-05-2025</t>
  </si>
  <si>
    <t>CUST-3912</t>
  </si>
  <si>
    <t>Pro Machines 706</t>
  </si>
  <si>
    <t>ORD-2024-10669</t>
  </si>
  <si>
    <t>CUST-4190</t>
  </si>
  <si>
    <t>Pro Paper 187</t>
  </si>
  <si>
    <t>ORD-2024-10670</t>
  </si>
  <si>
    <t>01 Apr 2024</t>
  </si>
  <si>
    <t>CUST-7568</t>
  </si>
  <si>
    <t>Classic Tables 606</t>
  </si>
  <si>
    <t>ORD-2025-10671</t>
  </si>
  <si>
    <t>Smart Tables 835</t>
  </si>
  <si>
    <t>ORD-2024-10672</t>
  </si>
  <si>
    <t>27-03-2024</t>
  </si>
  <si>
    <t>CUST-3293</t>
  </si>
  <si>
    <t>COPIERS</t>
  </si>
  <si>
    <t>Classic Copiers 583</t>
  </si>
  <si>
    <t>ORD-2024-10673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</si>
  <si>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</si>
  <si>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</si>
  <si>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</si>
  <si>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</si>
  <si>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</si>
  <si>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</si>
  <si>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</si>
  <si>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</si>
  <si>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2024-05-21</t>
  </si>
  <si>
    <t>CUST-4081</t>
  </si>
  <si>
    <t>Basic Accessories 944</t>
  </si>
  <si>
    <t>ORD-2025-10676</t>
  </si>
  <si>
    <t>06/10/2025</t>
  </si>
  <si>
    <t>Eco Furnishings 217</t>
  </si>
  <si>
    <t>ORD-2025-10677</t>
  </si>
  <si>
    <t>09/18/2025</t>
  </si>
  <si>
    <t>CUST-9212</t>
  </si>
  <si>
    <t>Smart Phones 967</t>
  </si>
  <si>
    <t>ORD-2024-10678</t>
  </si>
  <si>
    <t>27-06-2024</t>
  </si>
  <si>
    <t>Smart Chairs 610</t>
  </si>
  <si>
    <t>ORD-2024-10679</t>
  </si>
  <si>
    <t>12/01/2024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</si>
  <si>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</si>
  <si>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</si>
  <si>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</si>
  <si>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</si>
  <si>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</si>
  <si>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</si>
  <si>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</si>
  <si>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</si>
  <si>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</si>
  <si>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</si>
  <si>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</si>
  <si>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</si>
  <si>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</si>
  <si>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</si>
  <si>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</si>
  <si>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</si>
  <si>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</si>
  <si>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</si>
  <si>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</si>
  <si>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</si>
  <si>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</si>
  <si>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</si>
  <si>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</si>
  <si>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</si>
  <si>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</si>
  <si>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</si>
  <si>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</si>
  <si>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</si>
  <si>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</si>
  <si>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</si>
  <si>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</si>
  <si>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</si>
  <si>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</si>
  <si>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</si>
  <si>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</si>
  <si>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</si>
  <si>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</si>
  <si>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</si>
  <si>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</si>
  <si>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</si>
  <si>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</si>
  <si>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</si>
  <si>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</si>
  <si>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</si>
  <si>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</si>
  <si>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</si>
  <si>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</si>
  <si>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</si>
  <si>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</si>
  <si>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</si>
  <si>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</si>
  <si>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</si>
  <si>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</si>
  <si>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</si>
  <si>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</si>
  <si>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</si>
  <si>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</si>
  <si>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</si>
  <si>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</si>
  <si>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</si>
  <si>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</si>
  <si>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</si>
  <si>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</si>
  <si>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</si>
  <si>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</si>
  <si>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</si>
  <si>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</si>
  <si>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</si>
  <si>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</si>
  <si>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</si>
  <si>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</si>
  <si>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</si>
  <si>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11 Jun 2024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</si>
  <si>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</si>
  <si>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</si>
  <si>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</si>
  <si>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</si>
  <si>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</si>
  <si>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</si>
  <si>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</si>
  <si>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</si>
  <si>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</si>
  <si>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</si>
  <si>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</si>
  <si>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</si>
  <si>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</si>
  <si>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</si>
  <si>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</si>
  <si>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</si>
  <si>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</si>
  <si>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</si>
  <si>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</si>
  <si>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</si>
  <si>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09/14/2024</t>
  </si>
  <si>
    <t>CUST-3289</t>
  </si>
  <si>
    <t>Max Binders 411</t>
  </si>
  <si>
    <t>ORD-2024-10707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</si>
  <si>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</si>
  <si>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</si>
  <si>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</si>
  <si>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</si>
  <si>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</si>
  <si>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</si>
  <si>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</si>
  <si>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</si>
  <si>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</si>
  <si>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</si>
  <si>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</si>
  <si>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</si>
  <si>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</si>
  <si>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</si>
  <si>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07/19/2024</t>
  </si>
  <si>
    <t>CUST-7199</t>
  </si>
  <si>
    <t>Smart Art 279</t>
  </si>
  <si>
    <t>ORD-2025-10712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</si>
  <si>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</si>
  <si>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</si>
  <si>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</si>
  <si>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</si>
  <si>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</si>
  <si>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</si>
  <si>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</si>
  <si>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</si>
  <si>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</si>
  <si>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</si>
  <si>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</si>
  <si>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</si>
  <si>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</si>
  <si>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</si>
  <si>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</si>
  <si>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</si>
  <si>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</si>
  <si>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</si>
  <si>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</si>
  <si>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</si>
  <si>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</si>
  <si>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</si>
  <si>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</si>
  <si>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</si>
  <si>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</si>
  <si>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</si>
  <si>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</si>
  <si>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</si>
  <si>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</si>
  <si>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</si>
  <si>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</si>
  <si>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</si>
  <si>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</si>
  <si>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</si>
  <si>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</si>
  <si>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</si>
  <si>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</si>
  <si>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</si>
  <si>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</si>
  <si>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</si>
  <si>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</si>
  <si>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</si>
  <si>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</si>
  <si>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</si>
  <si>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</si>
  <si>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</si>
  <si>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</si>
  <si>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</si>
  <si>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</si>
  <si>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</si>
  <si>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</si>
  <si>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</si>
  <si>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</si>
  <si>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</si>
  <si>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</si>
  <si>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</si>
  <si>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</si>
  <si>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</si>
  <si>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</si>
  <si>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25 May 2025</t>
  </si>
  <si>
    <t>CUST-8713</t>
  </si>
  <si>
    <t>Pro Machines 563</t>
  </si>
  <si>
    <t>ORD-2025-10731</t>
  </si>
  <si>
    <t>CUST-6765</t>
  </si>
  <si>
    <t>Elite Art 696</t>
  </si>
  <si>
    <t>ORD-2024-10732</t>
  </si>
  <si>
    <t>19 Mar 2024</t>
  </si>
  <si>
    <t>CUST-6849</t>
  </si>
  <si>
    <t>Eco Binders 178</t>
  </si>
  <si>
    <t>ORD-2024-10733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</si>
  <si>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</si>
  <si>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</si>
  <si>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</si>
  <si>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</si>
  <si>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</si>
  <si>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</si>
  <si>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</si>
  <si>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</si>
  <si>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</si>
  <si>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</si>
  <si>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</si>
  <si>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</si>
  <si>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</si>
  <si>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</si>
  <si>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</si>
  <si>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</si>
  <si>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</si>
  <si>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</si>
  <si>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</si>
  <si>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</si>
  <si>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</si>
  <si>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</si>
  <si>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</si>
  <si>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</si>
  <si>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</si>
  <si>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12/10/2024</t>
  </si>
  <si>
    <t>CUST-5846</t>
  </si>
  <si>
    <t>Basic Phones 859</t>
  </si>
  <si>
    <t>ORD-2024-10741</t>
  </si>
  <si>
    <t>Eco Chairs 883</t>
  </si>
  <si>
    <t>ORD-2025-10742</t>
  </si>
  <si>
    <t>2025-04-25</t>
  </si>
  <si>
    <t>CUST-3285</t>
  </si>
  <si>
    <t>Max Chairs 706</t>
  </si>
  <si>
    <t>ORD-2024-10743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</si>
  <si>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</si>
  <si>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</si>
  <si>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</si>
  <si>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</si>
  <si>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</si>
  <si>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</si>
  <si>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</si>
  <si>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</si>
  <si>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</si>
  <si>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</si>
  <si>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</si>
  <si>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</si>
  <si>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</si>
  <si>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</si>
  <si>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</si>
  <si>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</si>
  <si>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</si>
  <si>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</si>
  <si>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07 May 2024</t>
  </si>
  <si>
    <t>CUST-8416</t>
  </si>
  <si>
    <t>Classic Paper 388</t>
  </si>
  <si>
    <t>ORD-2024-10749</t>
  </si>
  <si>
    <t>05/30/2024</t>
  </si>
  <si>
    <t>CUST-3103</t>
  </si>
  <si>
    <t>Pro Phones 765</t>
  </si>
  <si>
    <t>ORD-2024-10750</t>
  </si>
  <si>
    <t>2024-03-25</t>
  </si>
  <si>
    <t>CUST-4457</t>
  </si>
  <si>
    <t>Classic Machines 543</t>
  </si>
  <si>
    <t>ORD-2025-10751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</si>
  <si>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</si>
  <si>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</si>
  <si>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</si>
  <si>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</si>
  <si>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</si>
  <si>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</si>
  <si>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</si>
  <si>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</si>
  <si>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</si>
  <si>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</si>
  <si>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</si>
  <si>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</si>
  <si>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</si>
  <si>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</si>
  <si>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</si>
  <si>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</si>
  <si>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</si>
  <si>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</si>
  <si>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</si>
  <si>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</si>
  <si>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11/01/2024</t>
  </si>
  <si>
    <t>CUST-1557</t>
  </si>
  <si>
    <t>Smart Accessories 362</t>
  </si>
  <si>
    <t>ORD-2025-10758</t>
  </si>
  <si>
    <t>2025-08-03</t>
  </si>
  <si>
    <t>CUST-3058</t>
  </si>
  <si>
    <t>Classic Bookcases 310</t>
  </si>
  <si>
    <t>ORD-2024-10759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</si>
  <si>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</si>
  <si>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</si>
  <si>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</si>
  <si>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</si>
  <si>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</si>
  <si>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</si>
  <si>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</si>
  <si>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</si>
  <si>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</si>
  <si>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</si>
  <si>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</si>
  <si>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</si>
  <si>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</si>
  <si>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</si>
  <si>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05 Jan 2024</t>
  </si>
  <si>
    <t>CUST-6921</t>
  </si>
  <si>
    <t>Classic Machines 122</t>
  </si>
  <si>
    <t>ORD-2025-10764</t>
  </si>
  <si>
    <t>2025-08-25</t>
  </si>
  <si>
    <t>CUST-4086</t>
  </si>
  <si>
    <t>Elite Furnishings 169</t>
  </si>
  <si>
    <t>ORD-2025-10765</t>
  </si>
  <si>
    <t>Pro Bookcases 615</t>
  </si>
  <si>
    <t>ORD-2025-10766</t>
  </si>
  <si>
    <t>2025-07-03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</si>
  <si>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</si>
  <si>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</si>
  <si>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</si>
  <si>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</si>
  <si>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</si>
  <si>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</si>
  <si>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</si>
  <si>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</si>
  <si>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</si>
  <si>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</si>
  <si>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</si>
  <si>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</si>
  <si>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</si>
  <si>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</si>
  <si>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</si>
  <si>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</si>
  <si>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</si>
  <si>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</si>
  <si>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</si>
  <si>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</si>
  <si>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</si>
  <si>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</si>
  <si>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</si>
  <si>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</si>
  <si>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</si>
  <si>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</si>
  <si>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</si>
  <si>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</si>
  <si>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</si>
  <si>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</si>
  <si>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</si>
  <si>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</si>
  <si>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22-04-2024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</si>
  <si>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</si>
  <si>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</si>
  <si>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</si>
  <si>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</si>
  <si>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</si>
  <si>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</si>
  <si>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</si>
  <si>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</si>
  <si>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</si>
  <si>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</si>
  <si>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</si>
  <si>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</si>
  <si>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</si>
  <si>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</si>
  <si>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</si>
  <si>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</si>
  <si>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</si>
  <si>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</si>
  <si>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</si>
  <si>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</si>
  <si>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</si>
  <si>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</si>
  <si>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</si>
  <si>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</si>
  <si>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</si>
  <si>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</si>
  <si>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</si>
  <si>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2024-06-07</t>
  </si>
  <si>
    <t>CUST-7746</t>
  </si>
  <si>
    <t>Basic Art 709</t>
  </si>
  <si>
    <t>ORD-2025-10785</t>
  </si>
  <si>
    <t>CUST-3119</t>
  </si>
  <si>
    <t>north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</si>
  <si>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</si>
  <si>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</si>
  <si>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</si>
  <si>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</si>
  <si>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</si>
  <si>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</si>
  <si>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</si>
  <si>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</si>
  <si>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</si>
  <si>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</si>
  <si>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</si>
  <si>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</si>
  <si>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</si>
  <si>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</si>
  <si>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</si>
  <si>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</si>
  <si>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</si>
  <si>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</si>
  <si>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</si>
  <si>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</si>
  <si>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</si>
  <si>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</si>
  <si>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</si>
  <si>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</si>
  <si>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</si>
  <si>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</si>
  <si>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</si>
  <si>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</si>
  <si>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</si>
  <si>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</si>
  <si>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</si>
  <si>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</si>
  <si>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</si>
  <si>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</si>
  <si>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</si>
  <si>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</si>
  <si>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</si>
  <si>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</si>
  <si>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</si>
  <si>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</si>
  <si>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</si>
  <si>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</si>
  <si>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</si>
  <si>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</si>
  <si>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CUST-3991</t>
  </si>
  <si>
    <t>Elite Binders 764</t>
  </si>
  <si>
    <t>ORD-2025-10799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</si>
  <si>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</si>
  <si>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</si>
  <si>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</si>
  <si>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</si>
  <si>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</si>
  <si>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</si>
  <si>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</si>
  <si>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2024-03-07</t>
  </si>
  <si>
    <t>CUST-5015</t>
  </si>
  <si>
    <t>Elite Storage 825</t>
  </si>
  <si>
    <t>ORD-2025-10802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</si>
  <si>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</si>
  <si>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</si>
  <si>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</si>
  <si>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</si>
  <si>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</si>
  <si>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</si>
  <si>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</si>
  <si>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</si>
  <si>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</si>
  <si>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</si>
  <si>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</si>
  <si>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</si>
  <si>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</si>
  <si>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</si>
  <si>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</si>
  <si>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</si>
  <si>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</si>
  <si>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</si>
  <si>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</si>
  <si>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</si>
  <si>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</si>
  <si>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</si>
  <si>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</si>
  <si>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</si>
  <si>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</si>
  <si>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</si>
  <si>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</si>
  <si>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</si>
  <si>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</si>
  <si>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</si>
  <si>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08-04-2024</t>
  </si>
  <si>
    <t>Pro Copiers 867</t>
  </si>
  <si>
    <t>ORD-2024-10812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</si>
  <si>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</si>
  <si>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</si>
  <si>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</si>
  <si>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</si>
  <si>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</si>
  <si>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</si>
  <si>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</si>
  <si>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</si>
  <si>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</si>
  <si>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</si>
  <si>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</si>
  <si>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</si>
  <si>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</si>
  <si>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</si>
  <si>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</si>
  <si>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</si>
  <si>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</si>
  <si>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</si>
  <si>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2024-11-30</t>
  </si>
  <si>
    <t>CUST-3072</t>
  </si>
  <si>
    <t>Basic Furnishings 306</t>
  </si>
  <si>
    <t>ORD-2025-10818</t>
  </si>
  <si>
    <t>04/05/2025</t>
  </si>
  <si>
    <t>CUST-2221</t>
  </si>
  <si>
    <t>Classic Binders 873</t>
  </si>
  <si>
    <t>ORD-2024-10819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</si>
  <si>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</si>
  <si>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</si>
  <si>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</si>
  <si>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</si>
  <si>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</si>
  <si>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</si>
  <si>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</si>
  <si>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</si>
  <si>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</si>
  <si>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</si>
  <si>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</si>
  <si>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</si>
  <si>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</si>
  <si>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</si>
  <si>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</si>
  <si>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</si>
  <si>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</si>
  <si>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08 Oct 2024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</si>
  <si>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</si>
  <si>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</si>
  <si>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</si>
  <si>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</si>
  <si>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</si>
  <si>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</si>
  <si>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</si>
  <si>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</si>
  <si>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</si>
  <si>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</si>
  <si>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</si>
  <si>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</si>
  <si>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</si>
  <si>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</si>
  <si>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</si>
  <si>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</si>
  <si>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</si>
  <si>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CUST-5125</t>
  </si>
  <si>
    <t>Basic Paper 707</t>
  </si>
  <si>
    <t>ORD-2025-10829</t>
  </si>
  <si>
    <t>11-10-2025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</si>
  <si>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</si>
  <si>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</si>
  <si>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</si>
  <si>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</si>
  <si>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</si>
  <si>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</si>
  <si>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</si>
  <si>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</si>
  <si>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</si>
  <si>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</si>
  <si>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</si>
  <si>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</si>
  <si>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28-05-2025</t>
  </si>
  <si>
    <t>CUST-9557</t>
  </si>
  <si>
    <t>Max Phones 919</t>
  </si>
  <si>
    <t>ORD-2024-10834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</si>
  <si>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</si>
  <si>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</si>
  <si>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</si>
  <si>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</si>
  <si>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</si>
  <si>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</si>
  <si>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</si>
  <si>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</si>
  <si>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</si>
  <si>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</si>
  <si>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</si>
  <si>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</si>
  <si>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</si>
  <si>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</si>
  <si>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</si>
  <si>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</si>
  <si>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</si>
  <si>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</si>
  <si>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</si>
  <si>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</si>
  <si>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</si>
  <si>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</si>
  <si>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</si>
  <si>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</si>
  <si>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</si>
  <si>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</si>
  <si>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</si>
  <si>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</si>
  <si>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</si>
  <si>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</si>
  <si>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12 Feb 2025</t>
  </si>
  <si>
    <t>CUST-7558</t>
  </si>
  <si>
    <t>Max Art 339</t>
  </si>
  <si>
    <t>ORD-2024-10843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</si>
  <si>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</si>
  <si>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</si>
  <si>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</si>
  <si>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</si>
  <si>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</si>
  <si>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</si>
  <si>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</si>
  <si>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</si>
  <si>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</si>
  <si>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</si>
  <si>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</si>
  <si>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</si>
  <si>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</si>
  <si>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</si>
  <si>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</si>
  <si>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</si>
  <si>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2024-04-22</t>
  </si>
  <si>
    <t>CUST-6522</t>
  </si>
  <si>
    <t>Prime Bookcases 177</t>
  </si>
  <si>
    <t>ORD-2025-10848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</si>
  <si>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</si>
  <si>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</si>
  <si>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</si>
  <si>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</si>
  <si>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</si>
  <si>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</si>
  <si>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</si>
  <si>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</si>
  <si>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</si>
  <si>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</si>
  <si>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</si>
  <si>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</si>
  <si>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</si>
  <si>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</si>
  <si>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</si>
  <si>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</si>
  <si>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</si>
  <si>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</si>
  <si>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</si>
  <si>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</si>
  <si>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</si>
  <si>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</si>
  <si>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</si>
  <si>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</si>
  <si>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</si>
  <si>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</si>
  <si>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</si>
  <si>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</si>
  <si>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</si>
  <si>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</si>
  <si>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</si>
  <si>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Classic Storage 918</t>
  </si>
  <si>
    <t>ORD-2024-10858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</si>
  <si>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</si>
  <si>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</si>
  <si>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</si>
  <si>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</si>
  <si>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</si>
  <si>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</si>
  <si>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</si>
  <si>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</si>
  <si>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</si>
  <si>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</si>
  <si>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</si>
  <si>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</si>
  <si>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</si>
  <si>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</si>
  <si>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</si>
  <si>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</si>
  <si>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</si>
  <si>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</si>
  <si>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</si>
  <si>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</si>
  <si>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</si>
  <si>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</si>
  <si>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</si>
  <si>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</si>
  <si>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</si>
  <si>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</si>
  <si>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</si>
  <si>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</si>
  <si>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</si>
  <si>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</si>
  <si>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</si>
  <si>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</si>
  <si>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</si>
  <si>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</si>
  <si>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</si>
  <si>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</si>
  <si>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</si>
  <si>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</si>
  <si>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</si>
  <si>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</si>
  <si>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</si>
  <si>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</si>
  <si>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</si>
  <si>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</si>
  <si>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07 Jun 2025</t>
  </si>
  <si>
    <t>CUST-7054</t>
  </si>
  <si>
    <t>Max Tables 281</t>
  </si>
  <si>
    <t>ORD-2024-10872</t>
  </si>
  <si>
    <t>Pro Accessories 325</t>
  </si>
  <si>
    <t>ORD-2024-10873</t>
  </si>
  <si>
    <t>02 Nov 2024</t>
  </si>
  <si>
    <t>Prime Furnishings 178</t>
  </si>
  <si>
    <t>ORD-2025-10874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</si>
  <si>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</si>
  <si>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</si>
  <si>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</si>
  <si>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</si>
  <si>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</si>
  <si>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</si>
  <si>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</si>
  <si>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08/11/2024</t>
  </si>
  <si>
    <t>CUST-6928</t>
  </si>
  <si>
    <t>Elite Copiers 752</t>
  </si>
  <si>
    <t>ORD-2024-10877</t>
  </si>
  <si>
    <t>20-11-2024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</si>
  <si>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</si>
  <si>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</si>
  <si>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</si>
  <si>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</si>
  <si>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</si>
  <si>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</si>
  <si>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</si>
  <si>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</si>
  <si>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</si>
  <si>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</si>
  <si>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</si>
  <si>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</si>
  <si>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</si>
  <si>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</si>
  <si>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</si>
  <si>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</si>
  <si>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</si>
  <si>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</si>
  <si>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CUST-4983</t>
  </si>
  <si>
    <t>Basic Accessories 607</t>
  </si>
  <si>
    <t>ORD-2025-10884</t>
  </si>
  <si>
    <t>05/01/2025</t>
  </si>
  <si>
    <t>CUST-2597</t>
  </si>
  <si>
    <t>Classic Storage 211</t>
  </si>
  <si>
    <t>ORD-2025-10885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</si>
  <si>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</si>
  <si>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</si>
  <si>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</si>
  <si>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</si>
  <si>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</si>
  <si>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</si>
  <si>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</si>
  <si>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</si>
  <si>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</si>
  <si>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</si>
  <si>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</si>
  <si>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</si>
  <si>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</si>
  <si>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</si>
  <si>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</si>
  <si>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</si>
  <si>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</si>
  <si>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</si>
  <si>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</si>
  <si>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</si>
  <si>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</si>
  <si>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</si>
  <si>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</si>
  <si>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</si>
  <si>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</si>
  <si>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</si>
  <si>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</si>
  <si>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</si>
  <si>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</si>
  <si>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</si>
  <si>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</si>
  <si>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</si>
  <si>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</si>
  <si>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</si>
  <si>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</si>
  <si>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</si>
  <si>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</si>
  <si>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</si>
  <si>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</si>
  <si>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</si>
  <si>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</si>
  <si>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</si>
  <si>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</si>
  <si>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</si>
  <si>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</si>
  <si>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</si>
  <si>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</si>
  <si>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</si>
  <si>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</si>
  <si>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</si>
  <si>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</si>
  <si>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</si>
  <si>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</si>
  <si>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customer_name_clean</t>
  </si>
  <si>
    <t>region_clean</t>
  </si>
  <si>
    <t>city_clean</t>
  </si>
  <si>
    <t>category_clean</t>
  </si>
  <si>
    <t>segment_clean</t>
  </si>
  <si>
    <t>state_clean</t>
  </si>
  <si>
    <t>Office    Supplies</t>
  </si>
  <si>
    <t>sub_category_clean</t>
  </si>
  <si>
    <t>payment_status_clean</t>
  </si>
  <si>
    <t>order_status_clean</t>
  </si>
  <si>
    <t>order_date_clean</t>
  </si>
  <si>
    <t>ship_date_clean</t>
  </si>
  <si>
    <t>shipping_delay_days</t>
  </si>
  <si>
    <t>cleaned_discount</t>
  </si>
  <si>
    <t>discount_flag</t>
  </si>
  <si>
    <t>st</t>
  </si>
  <si>
    <t>region_flag</t>
  </si>
  <si>
    <t>shipmode_flag</t>
  </si>
  <si>
    <t>order_status_flag</t>
  </si>
  <si>
    <t>payment_status_flag</t>
  </si>
  <si>
    <t>calculated_sales</t>
  </si>
  <si>
    <t>calculated_profit</t>
  </si>
  <si>
    <t>profit_margin</t>
  </si>
  <si>
    <t>order_year</t>
  </si>
  <si>
    <t>order_month</t>
  </si>
  <si>
    <t>data_quality_flag</t>
  </si>
  <si>
    <t>ship_mode_clean</t>
  </si>
  <si>
    <t>shipping_validation</t>
  </si>
  <si>
    <t>sales_mismatch</t>
  </si>
  <si>
    <t>profit_mismatch</t>
  </si>
  <si>
    <t>Row Labels</t>
  </si>
  <si>
    <t>Unknown</t>
  </si>
  <si>
    <t>Grand Total</t>
  </si>
  <si>
    <t>Sum of sales</t>
  </si>
  <si>
    <t>Sum of profit</t>
  </si>
  <si>
    <t>Count of order_id</t>
  </si>
  <si>
    <t>Average of profit_margin</t>
  </si>
  <si>
    <t>Column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</si>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</sst>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;[Red]0"/>
    <numFmt numFmtId="165" formatCode="0.00;[Red]0.00"/>
    <numFmt numFmtId="166" formatCode="yyyy/mm/dd"/>
    <numFmt numFmtId="167" formatCode="[$₹-4009]\ #,##0.00;[$₹-4009]\ \-#,##0.00"/>
  </numFmts>
  <fonts count="5">
    <font>
      <sz val="11"/>
      <color theme="1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  <font>
      <sz val="11"/>
      <color theme="1"/>
      <name val="Carlito"/>
    </font>
    <font>
      <sz val="12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1" fillId="0" borderId="0" xfId="1"/>
    <xf numFmtId="0" fontId="2" fillId="2" borderId="0" xfId="1" applyFont="1" applyFill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2" fillId="2" borderId="0" xfId="1" applyNumberFormat="1" applyFont="1" applyFill="1" applyAlignment="1">
      <alignment horizontal="center" vertical="center" wrapText="1"/>
    </xf>
    <xf numFmtId="164" fontId="1" fillId="0" borderId="0" xfId="1" applyNumberFormat="1"/>
    <xf numFmtId="164" fontId="0" fillId="0" borderId="0" xfId="0" applyNumberFormat="1"/>
    <xf numFmtId="2" fontId="2" fillId="2" borderId="0" xfId="1" applyNumberFormat="1" applyFont="1" applyFill="1" applyAlignment="1">
      <alignment horizontal="center" vertical="center" wrapText="1"/>
    </xf>
    <xf numFmtId="2" fontId="1" fillId="0" borderId="0" xfId="1" applyNumberFormat="1"/>
    <xf numFmtId="2" fontId="0" fillId="0" borderId="0" xfId="0" applyNumberFormat="1"/>
    <xf numFmtId="9" fontId="1" fillId="0" borderId="0" xfId="1" applyNumberFormat="1"/>
    <xf numFmtId="165" fontId="2" fillId="2" borderId="0" xfId="1" applyNumberFormat="1" applyFont="1" applyFill="1" applyAlignment="1">
      <alignment horizontal="center" vertical="center" wrapText="1"/>
    </xf>
    <xf numFmtId="165" fontId="1" fillId="0" borderId="0" xfId="1" applyNumberFormat="1"/>
    <xf numFmtId="165" fontId="0" fillId="0" borderId="0" xfId="0" applyNumberFormat="1"/>
    <xf numFmtId="166" fontId="2" fillId="2" borderId="0" xfId="1" applyNumberFormat="1" applyFont="1" applyFill="1" applyAlignment="1">
      <alignment horizontal="center" vertical="center" wrapText="1"/>
    </xf>
    <xf numFmtId="166" fontId="1" fillId="0" borderId="0" xfId="1" applyNumberFormat="1"/>
    <xf numFmtId="166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 wrapText="1"/>
    </xf>
    <xf numFmtId="1" fontId="2" fillId="2" borderId="0" xfId="1" applyNumberFormat="1" applyFont="1" applyFill="1" applyAlignment="1">
      <alignment horizontal="center" vertical="center" wrapText="1"/>
    </xf>
    <xf numFmtId="1" fontId="1" fillId="0" borderId="0" xfId="1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</cellXfs>
  <cellStyles count="2">
    <cellStyle name="Normal" xfId="0" builtinId="0"/>
    <cellStyle name="Normal 2" xfId="1" xr:uid="{B061489C-4930-4CD2-8170-47F41CD4E9B6}"/>
  </cellStyles>
  <dxfs count="8"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numFmt numFmtId="14" formatCode="0.00%"/>
    </dxf>
    <dxf>
      <numFmt numFmtId="14" formatCode="0.00%"/>
    </dxf>
    <dxf>
      <numFmt numFmtId="167" formatCode="[$₹-4009]\ #,##0.00;[$₹-4009]\ \-#,##0.00"/>
    </dxf>
    <dxf>
      <numFmt numFmtId="167" formatCode="[$₹-4009]\ #,##0.00;[$₹-4009]\ \-#,##0.00"/>
    </dxf>
    <dxf>
      <numFmt numFmtId="167" formatCode="[$₹-4009]\ #,##0.00;[$₹-4009]\ \-#,##0.00"/>
    </dxf>
    <dxf>
      <numFmt numFmtId="167" formatCode="[$₹-4009]\ #,##0.00;[$₹-4009]\ \-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VYA GATTANI" refreshedDate="46193.082878472225" createdVersion="8" refreshedVersion="8" minRefreshableVersion="3" recordCount="932" xr:uid="{F7080B0E-4F19-4552-BB12-3EE9CA4AA9EB}">
  <cacheSource type="worksheet">
    <worksheetSource ref="A1:AX933" sheet="Data"/>
  </cacheSource>
  <cacheFields count="50">
    <cacheField name="order_id" numFmtId="0">
      <sharedItems count="900">
        <s v="ORD-2024-10001"/>
        <s v="ORD-2024-10002"/>
        <s v="ORD-2024-10003"/>
        <s v="ORD-2024-10004"/>
        <s v="ORD-2024-10006"/>
        <s v="ORD-2024-10009"/>
        <s v="ORD-2024-10012"/>
        <s v="ORD-2024-10013"/>
        <s v="ORD-2024-10015"/>
        <s v="ORD-2024-10016"/>
        <s v="ORD-2024-10017"/>
        <s v="ORD-2024-10018"/>
        <s v="ORD-2024-10020"/>
        <s v="ORD-2024-10025"/>
        <s v="ORD-2024-10026"/>
        <s v="ORD-2024-10027"/>
        <s v="ORD-2024-10029"/>
        <s v="ORD-2024-10031"/>
        <s v="ORD-2024-10033"/>
        <s v="ORD-2024-10034"/>
        <s v="ORD-2024-10036"/>
        <s v="ORD-2024-10037"/>
        <s v="ORD-2024-10039"/>
        <s v="ORD-2024-10040"/>
        <s v="ORD-2024-10041"/>
        <s v="ORD-2024-10042"/>
        <s v="ORD-2024-10044"/>
        <s v="ORD-2024-10045"/>
        <s v="ORD-2024-10046"/>
        <s v="ORD-2024-10047"/>
        <s v="ORD-2024-10048"/>
        <s v="ORD-2024-10050"/>
        <s v="ORD-2024-10052"/>
        <s v="ORD-2024-10053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4-10069"/>
        <s v="ORD-2024-10070"/>
        <s v="ORD-2024-10073"/>
        <s v="ORD-2024-10077"/>
        <s v="ORD-2024-10081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4-10094"/>
        <s v="ORD-2024-10095"/>
        <s v="ORD-2024-10097"/>
        <s v="ORD-2024-10099"/>
        <s v="ORD-2024-10102"/>
        <s v="ORD-2024-10106"/>
        <s v="ORD-2024-10107"/>
        <s v="ORD-2024-10108"/>
        <s v="ORD-2024-10109"/>
        <s v="ORD-2024-10111"/>
        <s v="ORD-2024-10113"/>
        <s v="ORD-2024-10114"/>
        <s v="ORD-2024-10115"/>
        <s v="ORD-2024-10116"/>
        <s v="ORD-2024-10118"/>
        <s v="ORD-2024-10119"/>
        <s v="ORD-2024-10120"/>
        <s v="ORD-2024-10121"/>
        <s v="ORD-2024-10123"/>
        <s v="ORD-2024-10124"/>
        <s v="ORD-2024-10125"/>
        <s v="ORD-2024-10129"/>
        <s v="ORD-2024-10130"/>
        <s v="ORD-2024-10131"/>
        <s v="ORD-2024-10133"/>
        <s v="ORD-2024-10134"/>
        <s v="ORD-2024-10139"/>
        <s v="ORD-2024-10141"/>
        <s v="ORD-2024-10142"/>
        <s v="ORD-2024-10143"/>
        <s v="ORD-2024-10144"/>
        <s v="ORD-2024-10145"/>
        <s v="ORD-2024-10148"/>
        <s v="ORD-2024-10150"/>
        <s v="ORD-2024-10151"/>
        <s v="ORD-2024-10152"/>
        <s v="ORD-2024-10153"/>
        <s v="ORD-2024-10155"/>
        <s v="ORD-2024-10158"/>
        <s v="ORD-2024-10159"/>
        <s v="ORD-2024-10163"/>
        <s v="ORD-2024-10166"/>
        <s v="ORD-2024-10174"/>
        <s v="ORD-2024-10176"/>
        <s v="ORD-2024-10178"/>
        <s v="ORD-2024-10179"/>
        <s v="ORD-2024-10180"/>
        <s v="ORD-2024-10181"/>
        <s v="ORD-2024-10183"/>
        <s v="ORD-2024-10185"/>
        <s v="ORD-2024-10186"/>
        <s v="ORD-2024-10187"/>
        <s v="ORD-2024-10192"/>
        <s v="ORD-2024-10193"/>
        <s v="ORD-2024-10194"/>
        <s v="ORD-2024-10197"/>
        <s v="ORD-2024-10199"/>
        <s v="ORD-2024-10200"/>
        <s v="ORD-2024-10204"/>
        <s v="ORD-2024-10208"/>
        <s v="ORD-2024-10211"/>
        <s v="ORD-2024-10212"/>
        <s v="ORD-2024-10213"/>
        <s v="ORD-2024-10214"/>
        <s v="ORD-2024-10215"/>
        <s v="ORD-2024-10216"/>
        <s v="ORD-2024-10220"/>
        <s v="ORD-2024-10221"/>
        <s v="ORD-2024-10226"/>
        <s v="ORD-2024-10228"/>
        <s v="ORD-2024-10229"/>
        <s v="ORD-2024-10231"/>
        <s v="ORD-2024-10232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4-10245"/>
        <s v="ORD-2024-10246"/>
        <s v="ORD-2024-10247"/>
        <s v="ORD-2024-10248"/>
        <s v="ORD-2024-10249"/>
        <s v="ORD-2024-10251"/>
        <s v="ORD-2024-10254"/>
        <s v="ORD-2024-10257"/>
        <s v="ORD-2024-10259"/>
        <s v="ORD-2024-10260"/>
        <s v="ORD-2024-10265"/>
        <s v="ORD-2024-10266"/>
        <s v="ORD-2024-10271"/>
        <s v="ORD-2024-10272"/>
        <s v="ORD-2024-10273"/>
        <s v="ORD-2024-10275"/>
        <s v="ORD-2024-10276"/>
        <s v="ORD-2024-10277"/>
        <s v="ORD-2024-10280"/>
        <s v="ORD-2024-10281"/>
        <s v="ORD-2024-10283"/>
        <s v="ORD-2024-10285"/>
        <s v="ORD-2024-10287"/>
        <s v="ORD-2024-10288"/>
        <s v="ORD-2024-10289"/>
        <s v="ORD-2024-10292"/>
        <s v="ORD-2024-10294"/>
        <s v="ORD-2024-10298"/>
        <s v="ORD-2024-10300"/>
        <s v="ORD-2024-10301"/>
        <s v="ORD-2024-10304"/>
        <s v="ORD-2024-10305"/>
        <s v="ORD-2024-10306"/>
        <s v="ORD-2024-10310"/>
        <s v="ORD-2024-10311"/>
        <s v="ORD-2024-10312"/>
        <s v="ORD-2024-10313"/>
        <s v="ORD-2024-10316"/>
        <s v="ORD-2024-10317"/>
        <s v="ORD-2024-10319"/>
        <s v="ORD-2024-10320"/>
        <s v="ORD-2024-10321"/>
        <s v="ORD-2024-10322"/>
        <s v="ORD-2024-10323"/>
        <s v="ORD-2024-10324"/>
        <s v="ORD-2024-10328"/>
        <s v="ORD-2024-10331"/>
        <s v="ORD-2024-10332"/>
        <s v="ORD-2024-10335"/>
        <s v="ORD-2024-10337"/>
        <s v="ORD-2024-10338"/>
        <s v="ORD-2024-10339"/>
        <s v="ORD-2024-10341"/>
        <s v="ORD-2024-10345"/>
        <s v="ORD-2024-10346"/>
        <s v="ORD-2024-10348"/>
        <s v="ORD-2024-10349"/>
        <s v="ORD-2024-10351"/>
        <s v="ORD-2024-10355"/>
        <s v="ORD-2024-10356"/>
        <s v="ORD-2024-10360"/>
        <s v="ORD-2024-10361"/>
        <s v="ORD-2024-10363"/>
        <s v="ORD-2024-10366"/>
        <s v="ORD-2024-10368"/>
        <s v="ORD-2024-10371"/>
        <s v="ORD-2024-10372"/>
        <s v="ORD-2024-10376"/>
        <s v="ORD-2024-10377"/>
        <s v="ORD-2024-10380"/>
        <s v="ORD-2024-10381"/>
        <s v="ORD-2024-10385"/>
        <s v="ORD-2024-10389"/>
        <s v="ORD-2024-10390"/>
        <s v="ORD-2024-10391"/>
        <s v="ORD-2024-10393"/>
        <s v="ORD-2024-10394"/>
        <s v="ORD-2024-10395"/>
        <s v="ORD-2024-10396"/>
        <s v="ORD-2024-10399"/>
        <s v="ORD-2024-10403"/>
        <s v="ORD-2024-10404"/>
        <s v="ORD-2024-10405"/>
        <s v="ORD-2024-10406"/>
        <s v="ORD-2024-10408"/>
        <s v="ORD-2024-10411"/>
        <s v="ORD-2024-10413"/>
        <s v="ORD-2024-10415"/>
        <s v="ORD-2024-10416"/>
        <s v="ORD-2024-10419"/>
        <s v="ORD-2024-10424"/>
        <s v="ORD-2024-10425"/>
        <s v="ORD-2024-10426"/>
        <s v="ORD-2024-10427"/>
        <s v="ORD-2024-10431"/>
        <s v="ORD-2024-10432"/>
        <s v="ORD-2024-10433"/>
        <s v="ORD-2024-10434"/>
        <s v="ORD-2024-10437"/>
        <s v="ORD-2024-10438"/>
        <s v="ORD-2024-10441"/>
        <s v="ORD-2024-10442"/>
        <s v="ORD-2024-10444"/>
        <s v="ORD-2024-10446"/>
        <s v="ORD-2024-10449"/>
        <s v="ORD-2024-10450"/>
        <s v="ORD-2024-10452"/>
        <s v="ORD-2024-10453"/>
        <s v="ORD-2024-10456"/>
        <s v="ORD-2024-10457"/>
        <s v="ORD-2024-10458"/>
        <s v="ORD-2024-10459"/>
        <s v="ORD-2024-10460"/>
        <s v="ORD-2024-10463"/>
        <s v="ORD-2024-10466"/>
        <s v="ORD-2024-10467"/>
        <s v="ORD-2024-10468"/>
        <s v="ORD-2024-10470"/>
        <s v="ORD-2024-10471"/>
        <s v="ORD-2024-10472"/>
        <s v="ORD-2024-10473"/>
        <s v="ORD-2024-10474"/>
        <s v="ORD-2024-10475"/>
        <s v="ORD-2024-10477"/>
        <s v="ORD-2024-10479"/>
        <s v="ORD-2024-10480"/>
        <s v="ORD-2024-10483"/>
        <s v="ORD-2024-10484"/>
        <s v="ORD-2024-10485"/>
        <s v="ORD-2024-10489"/>
        <s v="ORD-2024-10490"/>
        <s v="ORD-2024-10491"/>
        <s v="ORD-2024-10495"/>
        <s v="ORD-2024-10496"/>
        <s v="ORD-2024-10498"/>
        <s v="ORD-2024-10500"/>
        <s v="ORD-2024-10501"/>
        <s v="ORD-2024-10502"/>
        <s v="ORD-2024-10503"/>
        <s v="ORD-2024-10504"/>
        <s v="ORD-2024-10506"/>
        <s v="ORD-2024-10507"/>
        <s v="ORD-2024-10509"/>
        <s v="ORD-2024-10511"/>
        <s v="ORD-2024-10512"/>
        <s v="ORD-2024-10515"/>
        <s v="ORD-2024-10517"/>
        <s v="ORD-2024-10521"/>
        <s v="ORD-2024-10524"/>
        <s v="ORD-2024-10525"/>
        <s v="ORD-2024-10526"/>
        <s v="ORD-2024-10529"/>
        <s v="ORD-2024-10530"/>
        <s v="ORD-2024-10532"/>
        <s v="ORD-2024-10534"/>
        <s v="ORD-2024-10536"/>
        <s v="ORD-2024-10538"/>
        <s v="ORD-2024-10539"/>
        <s v="ORD-2024-10541"/>
        <s v="ORD-2024-10543"/>
        <s v="ORD-2024-10544"/>
        <s v="ORD-2024-10546"/>
        <s v="ORD-2024-10548"/>
        <s v="ORD-2024-10549"/>
        <s v="ORD-2024-10551"/>
        <s v="ORD-2024-10552"/>
        <s v="ORD-2024-10555"/>
        <s v="ORD-2024-10557"/>
        <s v="ORD-2024-10558"/>
        <s v="ORD-2024-10561"/>
        <s v="ORD-2024-10563"/>
        <s v="ORD-2024-10564"/>
        <s v="ORD-2024-10565"/>
        <s v="ORD-2024-10567"/>
        <s v="ORD-2024-10568"/>
        <s v="ORD-2024-10569"/>
        <s v="ORD-2024-10573"/>
        <s v="ORD-2024-10575"/>
        <s v="ORD-2024-10577"/>
        <s v="ORD-2024-10579"/>
        <s v="ORD-2024-10580"/>
        <s v="ORD-2024-10583"/>
        <s v="ORD-2024-10584"/>
        <s v="ORD-2024-10585"/>
        <s v="ORD-2024-10590"/>
        <s v="ORD-2024-10591"/>
        <s v="ORD-2024-10592"/>
        <s v="ORD-2024-10593"/>
        <s v="ORD-2024-10595"/>
        <s v="ORD-2024-10597"/>
        <s v="ORD-2024-10599"/>
        <s v="ORD-2024-10600"/>
        <s v="ORD-2024-10602"/>
        <s v="ORD-2024-10603"/>
        <s v="ORD-2024-10609"/>
        <s v="ORD-2024-10611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4-10624"/>
        <s v="ORD-2024-10625"/>
        <s v="ORD-2024-10626"/>
        <s v="ORD-2024-10631"/>
        <s v="ORD-2024-10632"/>
        <s v="ORD-2024-10636"/>
        <s v="ORD-2024-10637"/>
        <s v="ORD-2024-10638"/>
        <s v="ORD-2024-10639"/>
        <s v="ORD-2024-10640"/>
        <s v="ORD-2024-10643"/>
        <s v="ORD-2024-10644"/>
        <s v="ORD-2024-10646"/>
        <s v="ORD-2024-10647"/>
        <s v="ORD-2024-10649"/>
        <s v="ORD-2024-10651"/>
        <s v="ORD-2024-10657"/>
        <s v="ORD-2024-10662"/>
        <s v="ORD-2024-10663"/>
        <s v="ORD-2024-10664"/>
        <s v="ORD-2024-10665"/>
        <s v="ORD-2024-10667"/>
        <s v="ORD-2024-10669"/>
        <s v="ORD-2024-10670"/>
        <s v="ORD-2024-10672"/>
        <s v="ORD-2024-10673"/>
        <s v="ORD-2024-10675"/>
        <s v="ORD-2024-10678"/>
        <s v="ORD-2024-10679"/>
        <s v="ORD-2024-10681"/>
        <s v="ORD-2024-10682"/>
        <s v="ORD-2024-10687"/>
        <s v="ORD-2024-10690"/>
        <s v="ORD-2024-10691"/>
        <s v="ORD-2024-10692"/>
        <s v="ORD-2024-10696"/>
        <s v="ORD-2024-10699"/>
        <s v="ORD-2024-10700"/>
        <s v="ORD-2024-10701"/>
        <s v="ORD-2024-10702"/>
        <s v="ORD-2024-10704"/>
        <s v="ORD-2024-10705"/>
        <s v="ORD-2024-10706"/>
        <s v="ORD-2024-10707"/>
        <s v="ORD-2024-10711"/>
        <s v="ORD-2024-10713"/>
        <s v="ORD-2024-10719"/>
        <s v="ORD-2024-10721"/>
        <s v="ORD-2024-10723"/>
        <s v="ORD-2024-10725"/>
        <s v="ORD-2024-10727"/>
        <s v="ORD-2024-10728"/>
        <s v="ORD-2024-10729"/>
        <s v="ORD-2024-10732"/>
        <s v="ORD-2024-10733"/>
        <s v="ORD-2024-10734"/>
        <s v="ORD-2024-10735"/>
        <s v="ORD-2024-10736"/>
        <s v="ORD-2024-10737"/>
        <s v="ORD-2024-10738"/>
        <s v="ORD-2024-10740"/>
        <s v="ORD-2024-10741"/>
        <s v="ORD-2024-10743"/>
        <s v="ORD-2024-10746"/>
        <s v="ORD-2024-10748"/>
        <s v="ORD-2024-10749"/>
        <s v="ORD-2024-10750"/>
        <s v="ORD-2024-10753"/>
        <s v="ORD-2024-10754"/>
        <s v="ORD-2024-10757"/>
        <s v="ORD-2024-10759"/>
        <s v="ORD-2024-10760"/>
        <s v="ORD-2024-10761"/>
        <s v="ORD-2024-10763"/>
        <s v="ORD-2024-10767"/>
        <s v="ORD-2024-10768"/>
        <s v="ORD-2024-10770"/>
        <s v="ORD-2024-10771"/>
        <s v="ORD-2024-10772"/>
        <s v="ORD-2024-10776"/>
        <s v="ORD-2024-10778"/>
        <s v="ORD-2024-10779"/>
        <s v="ORD-2024-10780"/>
        <s v="ORD-2024-10781"/>
        <s v="ORD-2024-10782"/>
        <s v="ORD-2024-10784"/>
        <s v="ORD-2024-10786"/>
        <s v="ORD-2024-10788"/>
        <s v="ORD-2024-10789"/>
        <s v="ORD-2024-10791"/>
        <s v="ORD-2024-10792"/>
        <s v="ORD-2024-10794"/>
        <s v="ORD-2024-10796"/>
        <s v="ORD-2024-10797"/>
        <s v="ORD-2024-10798"/>
        <s v="ORD-2024-10800"/>
        <s v="ORD-2024-10801"/>
        <s v="ORD-2024-10804"/>
        <s v="ORD-2024-10807"/>
        <s v="ORD-2024-10811"/>
        <s v="ORD-2024-10812"/>
        <s v="ORD-2024-10813"/>
        <s v="ORD-2024-10816"/>
        <s v="ORD-2024-10817"/>
        <s v="ORD-2024-10819"/>
        <s v="ORD-2024-10820"/>
        <s v="ORD-2024-10822"/>
        <s v="ORD-2024-10823"/>
        <s v="ORD-2024-10828"/>
        <s v="ORD-2024-10830"/>
        <s v="ORD-2024-10834"/>
        <s v="ORD-2024-10835"/>
        <s v="ORD-2024-10837"/>
        <s v="ORD-2024-10840"/>
        <s v="ORD-2024-10843"/>
        <s v="ORD-2024-10846"/>
        <s v="ORD-2024-10847"/>
        <s v="ORD-2024-10850"/>
        <s v="ORD-2024-10851"/>
        <s v="ORD-2024-10852"/>
        <s v="ORD-2024-10853"/>
        <s v="ORD-2024-10856"/>
        <s v="ORD-2024-10857"/>
        <s v="ORD-2024-10858"/>
        <s v="ORD-2024-10859"/>
        <s v="ORD-2024-10860"/>
        <s v="ORD-2024-10861"/>
        <s v="ORD-2024-10868"/>
        <s v="ORD-2024-10872"/>
        <s v="ORD-2024-10873"/>
        <s v="ORD-2024-10876"/>
        <s v="ORD-2024-10877"/>
        <s v="ORD-2024-10879"/>
        <s v="ORD-2024-10881"/>
        <s v="ORD-2024-10882"/>
        <s v="ORD-2024-10886"/>
        <s v="ORD-2024-10888"/>
        <s v="ORD-2024-10891"/>
        <s v="ORD-2024-10892"/>
        <s v="ORD-2024-10894"/>
        <s v="ORD-2024-10895"/>
        <s v="ORD-2024-10896"/>
        <s v="ORD-2024-10897"/>
        <s v="ORD-2024-10899"/>
        <s v="ORD-2025-10005"/>
        <s v="ORD-2025-10007"/>
        <s v="ORD-2025-10008"/>
        <s v="ORD-2025-10010"/>
        <s v="ORD-2025-10011"/>
        <s v="ORD-2025-10014"/>
        <s v="ORD-2025-10019"/>
        <s v="ORD-2025-10021"/>
        <s v="ORD-2025-10022"/>
        <s v="ORD-2025-10023"/>
        <s v="ORD-2025-10024"/>
        <s v="ORD-2025-10028"/>
        <s v="ORD-2025-10030"/>
        <s v="ORD-2025-10032"/>
        <s v="ORD-2025-10035"/>
        <s v="ORD-2025-10038"/>
        <s v="ORD-2025-10043"/>
        <s v="ORD-2025-10049"/>
        <s v="ORD-2025-10051"/>
        <s v="ORD-2025-10054"/>
        <s v="ORD-2025-10055"/>
        <s v="ORD-2025-10056"/>
        <s v="ORD-2025-10057"/>
        <s v="ORD-2025-10067"/>
        <s v="ORD-2025-10068"/>
        <s v="ORD-2025-10071"/>
        <s v="ORD-2025-10072"/>
        <s v="ORD-2025-10074"/>
        <s v="ORD-2025-10075"/>
        <s v="ORD-2025-10076"/>
        <s v="ORD-2025-10078"/>
        <s v="ORD-2025-10079"/>
        <s v="ORD-2025-10080"/>
        <s v="ORD-2025-10082"/>
        <s v="ORD-2025-10091"/>
        <s v="ORD-2025-10092"/>
        <s v="ORD-2025-10093"/>
        <s v="ORD-2025-10096"/>
        <s v="ORD-2025-10098"/>
        <s v="ORD-2025-10100"/>
        <s v="ORD-2025-10101"/>
        <s v="ORD-2025-10103"/>
        <s v="ORD-2025-10104"/>
        <s v="ORD-2025-10105"/>
        <s v="ORD-2025-10110"/>
        <s v="ORD-2025-10112"/>
        <s v="ORD-2025-10117"/>
        <s v="ORD-2025-10122"/>
        <s v="ORD-2025-10126"/>
        <s v="ORD-2025-10127"/>
        <s v="ORD-2025-10128"/>
        <s v="ORD-2025-10132"/>
        <s v="ORD-2025-10135"/>
        <s v="ORD-2025-10136"/>
        <s v="ORD-2025-10137"/>
        <s v="ORD-2025-10138"/>
        <s v="ORD-2025-10140"/>
        <s v="ORD-2025-10146"/>
        <s v="ORD-2025-10147"/>
        <s v="ORD-2025-10149"/>
        <s v="ORD-2025-10154"/>
        <s v="ORD-2025-10156"/>
        <s v="ORD-2025-10157"/>
        <s v="ORD-2025-10160"/>
        <s v="ORD-2025-10161"/>
        <s v="ORD-2025-10162"/>
        <s v="ORD-2025-10164"/>
        <s v="ORD-2025-10165"/>
        <s v="ORD-2025-10167"/>
        <s v="ORD-2025-10168"/>
        <s v="ORD-2025-10169"/>
        <s v="ORD-2025-10170"/>
        <s v="ORD-2025-10171"/>
        <s v="ORD-2025-10172"/>
        <s v="ORD-2025-10173"/>
        <s v="ORD-2025-10175"/>
        <s v="ORD-2025-10177"/>
        <s v="ORD-2025-10182"/>
        <s v="ORD-2025-10184"/>
        <s v="ORD-2025-10188"/>
        <s v="ORD-2025-10189"/>
        <s v="ORD-2025-10190"/>
        <s v="ORD-2025-10191"/>
        <s v="ORD-2025-10195"/>
        <s v="ORD-2025-10196"/>
        <s v="ORD-2025-10198"/>
        <s v="ORD-2025-10201"/>
        <s v="ORD-2025-10202"/>
        <s v="ORD-2025-10203"/>
        <s v="ORD-2025-10205"/>
        <s v="ORD-2025-10206"/>
        <s v="ORD-2025-10207"/>
        <s v="ORD-2025-10209"/>
        <s v="ORD-2025-10210"/>
        <s v="ORD-2025-10217"/>
        <s v="ORD-2025-10218"/>
        <s v="ORD-2025-10219"/>
        <s v="ORD-2025-10222"/>
        <s v="ORD-2025-10223"/>
        <s v="ORD-2025-10224"/>
        <s v="ORD-2025-10225"/>
        <s v="ORD-2025-10227"/>
        <s v="ORD-2025-10230"/>
        <s v="ORD-2025-10233"/>
        <s v="ORD-2025-10242"/>
        <s v="ORD-2025-10243"/>
        <s v="ORD-2025-10244"/>
        <s v="ORD-2025-10250"/>
        <s v="ORD-2025-10252"/>
        <s v="ORD-2025-10253"/>
        <s v="ORD-2025-10255"/>
        <s v="ORD-2025-10256"/>
        <s v="ORD-2025-10258"/>
        <s v="ORD-2025-10261"/>
        <s v="ORD-2025-10262"/>
        <s v="ORD-2025-10263"/>
        <s v="ORD-2025-10264"/>
        <s v="ORD-2025-10267"/>
        <s v="ORD-2025-10268"/>
        <s v="ORD-2025-10269"/>
        <s v="ORD-2025-10270"/>
        <s v="ORD-2025-10274"/>
        <s v="ORD-2025-10278"/>
        <s v="ORD-2025-10279"/>
        <s v="ORD-2025-10282"/>
        <s v="ORD-2025-10284"/>
        <s v="ORD-2025-10286"/>
        <s v="ORD-2025-10290"/>
        <s v="ORD-2025-10291"/>
        <s v="ORD-2025-10293"/>
        <s v="ORD-2025-10295"/>
        <s v="ORD-2025-10296"/>
        <s v="ORD-2025-10297"/>
        <s v="ORD-2025-10299"/>
        <s v="ORD-2025-10302"/>
        <s v="ORD-2025-10303"/>
        <s v="ORD-2025-10307"/>
        <s v="ORD-2025-10308"/>
        <s v="ORD-2025-10309"/>
        <s v="ORD-2025-10314"/>
        <s v="ORD-2025-10315"/>
        <s v="ORD-2025-10318"/>
        <s v="ORD-2025-10325"/>
        <s v="ORD-2025-10326"/>
        <s v="ORD-2025-10327"/>
        <s v="ORD-2025-10329"/>
        <s v="ORD-2025-10330"/>
        <s v="ORD-2025-10333"/>
        <s v="ORD-2025-10334"/>
        <s v="ORD-2025-10336"/>
        <s v="ORD-2025-10340"/>
        <s v="ORD-2025-10342"/>
        <s v="ORD-2025-10343"/>
        <s v="ORD-2025-10344"/>
        <s v="ORD-2025-10347"/>
        <s v="ORD-2025-10350"/>
        <s v="ORD-2025-10352"/>
        <s v="ORD-2025-10353"/>
        <s v="ORD-2025-10354"/>
        <s v="ORD-2025-10357"/>
        <s v="ORD-2025-10358"/>
        <s v="ORD-2025-10359"/>
        <s v="ORD-2025-10362"/>
        <s v="ORD-2025-10364"/>
        <s v="ORD-2025-10365"/>
        <s v="ORD-2025-10367"/>
        <s v="ORD-2025-10369"/>
        <s v="ORD-2025-10370"/>
        <s v="ORD-2025-10373"/>
        <s v="ORD-2025-10374"/>
        <s v="ORD-2025-10375"/>
        <s v="ORD-2025-10378"/>
        <s v="ORD-2025-10379"/>
        <s v="ORD-2025-10382"/>
        <s v="ORD-2025-10383"/>
        <s v="ORD-2025-10384"/>
        <s v="ORD-2025-10386"/>
        <s v="ORD-2025-10387"/>
        <s v="ORD-2025-10388"/>
        <s v="ORD-2025-10392"/>
        <s v="ORD-2025-10397"/>
        <s v="ORD-2025-10398"/>
        <s v="ORD-2025-10400"/>
        <s v="ORD-2025-10401"/>
        <s v="ORD-2025-10402"/>
        <s v="ORD-2025-10407"/>
        <s v="ORD-2025-10409"/>
        <s v="ORD-2025-10410"/>
        <s v="ORD-2025-10412"/>
        <s v="ORD-2025-10414"/>
        <s v="ORD-2025-10417"/>
        <s v="ORD-2025-10418"/>
        <s v="ORD-2025-10420"/>
        <s v="ORD-2025-10421"/>
        <s v="ORD-2025-10422"/>
        <s v="ORD-2025-10423"/>
        <s v="ORD-2025-10428"/>
        <s v="ORD-2025-10429"/>
        <s v="ORD-2025-10430"/>
        <s v="ORD-2025-10435"/>
        <s v="ORD-2025-10436"/>
        <s v="ORD-2025-10439"/>
        <s v="ORD-2025-10440"/>
        <s v="ORD-2025-10443"/>
        <s v="ORD-2025-10445"/>
        <s v="ORD-2025-10447"/>
        <s v="ORD-2025-10448"/>
        <s v="ORD-2025-10451"/>
        <s v="ORD-2025-10454"/>
        <s v="ORD-2025-10455"/>
        <s v="ORD-2025-10461"/>
        <s v="ORD-2025-10462"/>
        <s v="ORD-2025-10464"/>
        <s v="ORD-2025-10465"/>
        <s v="ORD-2025-10469"/>
        <s v="ORD-2025-10476"/>
        <s v="ORD-2025-10478"/>
        <s v="ORD-2025-10481"/>
        <s v="ORD-2025-10482"/>
        <s v="ORD-2025-10486"/>
        <s v="ORD-2025-10487"/>
        <s v="ORD-2025-10488"/>
        <s v="ORD-2025-10492"/>
        <s v="ORD-2025-10493"/>
        <s v="ORD-2025-10494"/>
        <s v="ORD-2025-10497"/>
        <s v="ORD-2025-10499"/>
        <s v="ORD-2025-10505"/>
        <s v="ORD-2025-10508"/>
        <s v="ORD-2025-10510"/>
        <s v="ORD-2025-10513"/>
        <s v="ORD-2025-10514"/>
        <s v="ORD-2025-10516"/>
        <s v="ORD-2025-10518"/>
        <s v="ORD-2025-10519"/>
        <s v="ORD-2025-10520"/>
        <s v="ORD-2025-10522"/>
        <s v="ORD-2025-10523"/>
        <s v="ORD-2025-10527"/>
        <s v="ORD-2025-10528"/>
        <s v="ORD-2025-10531"/>
        <s v="ORD-2025-10533"/>
        <s v="ORD-2025-10535"/>
        <s v="ORD-2025-10537"/>
        <s v="ORD-2025-10540"/>
        <s v="ORD-2025-10542"/>
        <s v="ORD-2025-10545"/>
        <s v="ORD-2025-10547"/>
        <s v="ORD-2025-10550"/>
        <s v="ORD-2025-10553"/>
        <s v="ORD-2025-10554"/>
        <s v="ORD-2025-10556"/>
        <s v="ORD-2025-10559"/>
        <s v="ORD-2025-10560"/>
        <s v="ORD-2025-10562"/>
        <s v="ORD-2025-10566"/>
        <s v="ORD-2025-10570"/>
        <s v="ORD-2025-10571"/>
        <s v="ORD-2025-10572"/>
        <s v="ORD-2025-10574"/>
        <s v="ORD-2025-10576"/>
        <s v="ORD-2025-10578"/>
        <s v="ORD-2025-10581"/>
        <s v="ORD-2025-10582"/>
        <s v="ORD-2025-10586"/>
        <s v="ORD-2025-10587"/>
        <s v="ORD-2025-10588"/>
        <s v="ORD-2025-10589"/>
        <s v="ORD-2025-10594"/>
        <s v="ORD-2025-10596"/>
        <s v="ORD-2025-10598"/>
        <s v="ORD-2025-10601"/>
        <s v="ORD-2025-10604"/>
        <s v="ORD-2025-10605"/>
        <s v="ORD-2025-10606"/>
        <s v="ORD-2025-10607"/>
        <s v="ORD-2025-10608"/>
        <s v="ORD-2025-10610"/>
        <s v="ORD-2025-10612"/>
        <s v="ORD-2025-10613"/>
        <s v="ORD-2025-10623"/>
        <s v="ORD-2025-10627"/>
        <s v="ORD-2025-10628"/>
        <s v="ORD-2025-10629"/>
        <s v="ORD-2025-10630"/>
        <s v="ORD-2025-10633"/>
        <s v="ORD-2025-10634"/>
        <s v="ORD-2025-10635"/>
        <s v="ORD-2025-10641"/>
        <s v="ORD-2025-10642"/>
        <s v="ORD-2025-10645"/>
        <s v="ORD-2025-10648"/>
        <s v="ORD-2025-10650"/>
        <s v="ORD-2025-10652"/>
        <s v="ORD-2025-10653"/>
        <s v="ORD-2025-10654"/>
        <s v="ORD-2025-10655"/>
        <s v="ORD-2025-10656"/>
        <s v="ORD-2025-10658"/>
        <s v="ORD-2025-10659"/>
        <s v="ORD-2025-10660"/>
        <s v="ORD-2025-10661"/>
        <s v="ORD-2025-10666"/>
        <s v="ORD-2025-10668"/>
        <s v="ORD-2025-10671"/>
        <s v="ORD-2025-10674"/>
        <s v="ORD-2025-10676"/>
        <s v="ORD-2025-10677"/>
        <s v="ORD-2025-10680"/>
        <s v="ORD-2025-10683"/>
        <s v="ORD-2025-10684"/>
        <s v="ORD-2025-10685"/>
        <s v="ORD-2025-10686"/>
        <s v="ORD-2025-10688"/>
        <s v="ORD-2025-10689"/>
        <s v="ORD-2025-10693"/>
        <s v="ORD-2025-10694"/>
        <s v="ORD-2025-10695"/>
        <s v="ORD-2025-10697"/>
        <s v="ORD-2025-10698"/>
        <s v="ORD-2025-10703"/>
        <s v="ORD-2025-10708"/>
        <s v="ORD-2025-10709"/>
        <s v="ORD-2025-10710"/>
        <s v="ORD-2025-10712"/>
        <s v="ORD-2025-10714"/>
        <s v="ORD-2025-10715"/>
        <s v="ORD-2025-10716"/>
        <s v="ORD-2025-10717"/>
        <s v="ORD-2025-10718"/>
        <s v="ORD-2025-10720"/>
        <s v="ORD-2025-10722"/>
        <s v="ORD-2025-10724"/>
        <s v="ORD-2025-10726"/>
        <s v="ORD-2025-10730"/>
        <s v="ORD-2025-10731"/>
        <s v="ORD-2025-10739"/>
        <s v="ORD-2025-10742"/>
        <s v="ORD-2025-10744"/>
        <s v="ORD-2025-10745"/>
        <s v="ORD-2025-10747"/>
        <s v="ORD-2025-10751"/>
        <s v="ORD-2025-10752"/>
        <s v="ORD-2025-10755"/>
        <s v="ORD-2025-10756"/>
        <s v="ORD-2025-10758"/>
        <s v="ORD-2025-10762"/>
        <s v="ORD-2025-10764"/>
        <s v="ORD-2025-10765"/>
        <s v="ORD-2025-10766"/>
        <s v="ORD-2025-10769"/>
        <s v="ORD-2025-10773"/>
        <s v="ORD-2025-10774"/>
        <s v="ORD-2025-10775"/>
        <s v="ORD-2025-10777"/>
        <s v="ORD-2025-10783"/>
        <s v="ORD-2025-10785"/>
        <s v="ORD-2025-10787"/>
        <s v="ORD-2025-10790"/>
        <s v="ORD-2025-10793"/>
        <s v="ORD-2025-10795"/>
        <s v="ORD-2025-10799"/>
        <s v="ORD-2025-10802"/>
        <s v="ORD-2025-10803"/>
        <s v="ORD-2025-10805"/>
        <s v="ORD-2025-10806"/>
        <s v="ORD-2025-10808"/>
        <s v="ORD-2025-10809"/>
        <s v="ORD-2025-10810"/>
        <s v="ORD-2025-10814"/>
        <s v="ORD-2025-10815"/>
        <s v="ORD-2025-10818"/>
        <s v="ORD-2025-10821"/>
        <s v="ORD-2025-10824"/>
        <s v="ORD-2025-10825"/>
        <s v="ORD-2025-10826"/>
        <s v="ORD-2025-10827"/>
        <s v="ORD-2025-10829"/>
        <s v="ORD-2025-10831"/>
        <s v="ORD-2025-10832"/>
        <s v="ORD-2025-10833"/>
        <s v="ORD-2025-10836"/>
        <s v="ORD-2025-10838"/>
        <s v="ORD-2025-10839"/>
        <s v="ORD-2025-10841"/>
        <s v="ORD-2025-10842"/>
        <s v="ORD-2025-10844"/>
        <s v="ORD-2025-10845"/>
        <s v="ORD-2025-10848"/>
        <s v="ORD-2025-10849"/>
        <s v="ORD-2025-10854"/>
        <s v="ORD-2025-10855"/>
        <s v="ORD-2025-10862"/>
        <s v="ORD-2025-10863"/>
        <s v="ORD-2025-10864"/>
        <s v="ORD-2025-10865"/>
        <s v="ORD-2025-10866"/>
        <s v="ORD-2025-10867"/>
        <s v="ORD-2025-10869"/>
        <s v="ORD-2025-10870"/>
        <s v="ORD-2025-10871"/>
        <s v="ORD-2025-10874"/>
        <s v="ORD-2025-10875"/>
        <s v="ORD-2025-10878"/>
        <s v="ORD-2025-10880"/>
        <s v="ORD-2025-10883"/>
        <s v="ORD-2025-10884"/>
        <s v="ORD-2025-10885"/>
        <s v="ORD-2025-10887"/>
        <s v="ORD-2025-10889"/>
        <s v="ORD-2025-10890"/>
        <s v="ORD-2025-10893"/>
        <s v="ORD-2025-10898"/>
        <s v="ORD-2025-10900"/>
      </sharedItems>
    </cacheField>
    <cacheField name="st" numFmtId="0">
      <sharedItems containsSemiMixedTypes="0" containsString="0" containsNumber="1" containsInteger="1" minValue="1" maxValue="3"/>
    </cacheField>
    <cacheField name="order_date" numFmtId="166">
      <sharedItems containsSemiMixedTypes="0" containsNonDate="0" containsDate="1" containsString="0" minDate="2024-01-01T00:00:00" maxDate="2025-12-11T00:00:00"/>
    </cacheField>
    <cacheField name="order_date_clean" numFmtId="166">
      <sharedItems containsSemiMixedTypes="0" containsNonDate="0" containsDate="1" containsString="0" minDate="2024-01-01T00:00:00" maxDate="2025-12-11T00:00:00"/>
    </cacheField>
    <cacheField name="order_month" numFmtId="166">
      <sharedItems count="12">
        <s v="Jul"/>
        <s v="Aug"/>
        <s v="Nov"/>
        <s v="May"/>
        <s v="Dec"/>
        <s v="Sep"/>
        <s v="Apr"/>
        <s v="Oct"/>
        <s v="Jun"/>
        <s v="Jan"/>
        <s v="Mar"/>
        <s v="Feb"/>
      </sharedItems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  <cacheField name="ship_date" numFmtId="0">
      <sharedItems/>
    </cacheField>
    <cacheField name="ship_date_clean" numFmtId="166">
      <sharedItems containsSemiMixedTypes="0" containsNonDate="0" containsDate="1" containsString="0" minDate="2024-01-02T00:00:00" maxDate="2025-12-08T00:00:00"/>
    </cacheField>
    <cacheField name="shipping_delay_days" numFmtId="1">
      <sharedItems containsSemiMixedTypes="0" containsString="0" containsNumber="1" containsInteger="1" minValue="-663" maxValue="623"/>
    </cacheField>
    <cacheField name="shipping_validation" numFmtId="164">
      <sharedItems/>
    </cacheField>
    <cacheField name="customer_id" numFmtId="0">
      <sharedItems/>
    </cacheField>
    <cacheField name="customer_name" numFmtId="0">
      <sharedItems/>
    </cacheField>
    <cacheField name="customer_name_clean" numFmtId="0">
      <sharedItems/>
    </cacheField>
    <cacheField name="segment" numFmtId="0">
      <sharedItems/>
    </cacheField>
    <cacheField name="segment_clean" numFmtId="0">
      <sharedItems count="4">
        <s v="Consumer"/>
        <s v="Small Business"/>
        <s v="Corporate"/>
        <s v="Home Office"/>
      </sharedItems>
    </cacheField>
    <cacheField name="region" numFmtId="0">
      <sharedItems containsBlank="1"/>
    </cacheField>
    <cacheField name="region_clean" numFmtId="0">
      <sharedItems count="5">
        <s v="North"/>
        <s v="East"/>
        <s v="South"/>
        <s v="West"/>
        <s v="Unknown"/>
      </sharedItems>
    </cacheField>
    <cacheField name="region_flag" numFmtId="0">
      <sharedItems/>
    </cacheField>
    <cacheField name="state" numFmtId="0">
      <sharedItems/>
    </cacheField>
    <cacheField name="state_clean" numFmtId="0">
      <sharedItems/>
    </cacheField>
    <cacheField name="city" numFmtId="0">
      <sharedItems/>
    </cacheField>
    <cacheField name="city_clean" numFmtId="0">
      <sharedItems/>
    </cacheField>
    <cacheField name="category" numFmtId="0">
      <sharedItems/>
    </cacheField>
    <cacheField name="category_clean" numFmtId="0">
      <sharedItems count="3">
        <s v="Office Supplies"/>
        <s v="Furniture"/>
        <s v="Technology"/>
      </sharedItems>
    </cacheField>
    <cacheField name="sub_category" numFmtId="0">
      <sharedItems/>
    </cacheField>
    <cacheField name="sub_category_clean" numFmtId="0">
      <sharedItems count="13">
        <s v="Paper"/>
        <s v="Tables"/>
        <s v="Art"/>
        <s v="Furnishings"/>
        <s v="Accessories"/>
        <s v="Labels"/>
        <s v="Copiers"/>
        <s v="Storage"/>
        <s v="Phones"/>
        <s v="Bookcases"/>
        <s v="Chairs"/>
        <s v="Binders"/>
        <s v="Machines"/>
      </sharedItems>
    </cacheField>
    <cacheField name="product_name" numFmtId="0">
      <sharedItems/>
    </cacheField>
    <cacheField name="ship_mode" numFmtId="0">
      <sharedItems containsBlank="1"/>
    </cacheField>
    <cacheField name="ship_mode_clean" numFmtId="0">
      <sharedItems count="5">
        <s v="Second Class"/>
        <s v="Same Day"/>
        <s v="First Class"/>
        <s v="Standard Class"/>
        <s v="Unknown"/>
      </sharedItems>
    </cacheField>
    <cacheField name="shipmode_flag" numFmtId="0">
      <sharedItems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85"/>
    </cacheField>
    <cacheField name="cleaned_discount" numFmtId="2">
      <sharedItems containsSemiMixedTypes="0" containsString="0" containsNumber="1" minValue="-0.24" maxValue="0.85"/>
    </cacheField>
    <cacheField name="discount_flag" numFmtId="0">
      <sharedItems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calculated_sales" numFmtId="165">
      <sharedItems containsMixedTypes="1" containsNumber="1" minValue="36.447000000000003" maxValue="36782.271000000008"/>
    </cacheField>
    <cacheField name="calculated_profit" numFmtId="2">
      <sharedItems containsMixedTypes="1" containsNumber="1" minValue="-23452.5635" maxValue="15225.999000000003"/>
    </cacheField>
    <cacheField name="profit_margin" numFmtId="2">
      <sharedItems containsMixedTypes="1" containsNumber="1" minValue="-4.5764791949555343" maxValue="0.58704683753946907" count="886">
        <n v="0.16837329284886357"/>
        <n v="0.32926769230769237"/>
        <n v="-0.28570415492127865"/>
        <n v="0.18287772145370204"/>
        <n v="0.39323369195367375"/>
        <n v="0.30814761342607361"/>
        <n v="0.16513061143099289"/>
        <n v="0.36287216057129545"/>
        <n v="0.35075102057712365"/>
        <n v="0.34024962008122872"/>
        <n v="0.43150765305354882"/>
        <n v="0.38342000812166782"/>
        <s v=""/>
        <n v="0.18855285551702591"/>
        <n v="0.32272105171323251"/>
        <n v="0.40748265755596835"/>
        <n v="0.27151060813570727"/>
        <n v="0.34994981479695525"/>
        <n v="0.37270269707383108"/>
        <n v="0.19899116203009304"/>
        <n v="0.19629789097492437"/>
        <n v="0.28877722585962223"/>
        <n v="0.24573448778670692"/>
        <n v="0.31619925954022776"/>
        <n v="0.14670900301681361"/>
        <n v="0.38071972750961069"/>
        <n v="0.43211611877163292"/>
        <n v="0.35574833200394929"/>
        <n v="0.41418287739094062"/>
        <n v="0.33709012243780695"/>
        <n v="0.29349107747756592"/>
        <n v="0.15017710119267641"/>
        <n v="0.18854924698532355"/>
        <n v="0.15824658421630483"/>
        <n v="0.14680110993864068"/>
        <n v="0.41553230500654476"/>
        <n v="0.21440001451431487"/>
        <n v="0.27251051639106472"/>
        <n v="0.20886909087079689"/>
        <n v="0.38046714445003244"/>
        <n v="0.37127637903369992"/>
        <n v="0.24474621038125849"/>
        <n v="0.35346696980126674"/>
        <n v="0.44911477742803041"/>
        <n v="0.15050804158202555"/>
        <n v="0.26240112695788487"/>
        <n v="0.2546128169522674"/>
        <n v="0.41373974708858663"/>
        <n v="0.37394141468592673"/>
        <n v="0.28877165460587362"/>
        <n v="0.23815201889130486"/>
        <n v="0.43482189800210302"/>
        <n v="0.37415071858411825"/>
        <n v="0.33846375254414185"/>
        <n v="0.14342916427990587"/>
        <n v="0.42754389589947911"/>
        <n v="0.19278326875251944"/>
        <n v="0.34483694152224009"/>
        <n v="0.25773707256497103"/>
        <n v="0.26886780150361356"/>
        <n v="0.18337388483373887"/>
        <n v="0.28704633320346445"/>
        <n v="0.27216848504878799"/>
        <n v="0.38175143555208291"/>
        <n v="0.42062546934640316"/>
        <n v="0.39996983695647198"/>
        <n v="0.33081761006289306"/>
        <n v="0.19314303365438173"/>
        <n v="0.35324956706704719"/>
        <n v="-1.2693307977632167"/>
        <n v="0.30277420947053357"/>
        <n v="0.19456031417502526"/>
        <n v="0.38777300717783375"/>
        <n v="0.28151844242246349"/>
        <n v="0.28508350022865969"/>
        <n v="0.2324253158208206"/>
        <n v="0.16952824773211295"/>
        <n v="0.24260598846259493"/>
        <n v="0.38442635251744589"/>
        <n v="0.26406045715292475"/>
        <n v="0.41416419979765434"/>
        <n v="0.24473646589239059"/>
        <n v="0.28441174196270441"/>
        <n v="0.28202548842442843"/>
        <n v="0.3755487119323459"/>
        <n v="0.38735548782150481"/>
        <n v="0.37262583095916435"/>
        <n v="0.32350172315989822"/>
        <n v="0.24435979489643286"/>
        <n v="0.30606668376905555"/>
        <n v="0.25442726098032886"/>
        <n v="0.31027334138432372"/>
        <n v="0.3722038955344541"/>
        <n v="0.40309753223598666"/>
        <n v="0.2615315437171909"/>
        <n v="0.36985695741637181"/>
        <n v="0.20073809781237614"/>
        <n v="0.30756493633654297"/>
        <n v="0.32773875952009685"/>
        <n v="0.18241237879905162"/>
        <n v="0.42286664783604816"/>
        <n v="0.42838800154183954"/>
        <n v="0.31723872502711586"/>
        <n v="0.42565637022205227"/>
        <n v="0.16684111366966722"/>
        <n v="0.15955867670689838"/>
        <n v="-1.1439491403283069"/>
        <n v="0.17618083732308554"/>
        <n v="0.35973885370935399"/>
        <n v="0.23072433422837293"/>
        <n v="0.39843657667696558"/>
        <n v="0.44711955433136996"/>
        <n v="0.3119893396921134"/>
        <n v="0.43150645853302305"/>
        <n v="0.28907914100925591"/>
        <n v="0.15304095264036752"/>
        <n v="0.23011106540518297"/>
        <n v="0.18541110339208763"/>
        <n v="0.19554709159876885"/>
        <n v="0.43188389957531853"/>
        <n v="-3.4288967541910162"/>
        <n v="0.36486258210462036"/>
        <n v="0.18468694053114967"/>
        <n v="0.38920592901808065"/>
        <n v="0.42857184948003191"/>
        <n v="0.20282684734944958"/>
        <n v="0.37505894094302888"/>
        <n v="0.15555474454424154"/>
        <n v="0.15521101734265058"/>
        <n v="0.26802695300706603"/>
        <n v="0.23970819652224998"/>
        <n v="0.35607337157352181"/>
        <n v="-0.4932536561480021"/>
        <n v="0.273144061916472"/>
        <n v="0.33152923559817421"/>
        <n v="0.33768474754295147"/>
        <n v="0.44257254174132737"/>
        <n v="0.14824555100476627"/>
        <n v="0.16440469506162944"/>
        <n v="0.18974522072666306"/>
        <n v="0.17025393501107647"/>
        <n v="0.40479508428969363"/>
        <n v="0.3771023507058891"/>
        <n v="0.22814893268137429"/>
        <n v="0.42857433810338064"/>
        <n v="0.34673035853286938"/>
        <n v="0.42399667080459258"/>
        <n v="0.38758500112797706"/>
        <n v="0.17586226095894808"/>
        <n v="0.37571625983535323"/>
        <n v="0.28476627881856043"/>
        <n v="0.32594262169687205"/>
        <n v="0.33492853700070796"/>
        <n v="0.42241276167026154"/>
        <n v="0.29931897302001742"/>
        <n v="0.33631594077907145"/>
        <n v="0.43682684435035524"/>
        <n v="0.30772036477895343"/>
        <n v="0.3382700358750807"/>
        <n v="0.20193516815025425"/>
        <n v="-1.1229857156164267"/>
        <n v="0.33048547646629778"/>
        <n v="0.34854106850267524"/>
        <n v="0.29928234918638313"/>
        <n v="0.20627063544041174"/>
        <n v="0.22783468847845378"/>
        <n v="-0.31694040349112695"/>
        <n v="0.441840574448922"/>
        <n v="0.42090143787636719"/>
        <n v="0.29246985777200196"/>
        <n v="0.5196783427797792"/>
        <n v="0.39019935649464493"/>
        <n v="0.37207963420332424"/>
        <n v="0.24551271374713468"/>
        <n v="0.42156282373834536"/>
        <n v="-0.95496407220560842"/>
        <n v="0.34806318722029583"/>
        <n v="0.42390757161584736"/>
        <n v="0.36387978050337189"/>
        <n v="0.32001035676323897"/>
        <n v="0.3565362857398256"/>
        <n v="0.39704113700170535"/>
        <n v="0.27536498386941027"/>
        <n v="0.2254255810335396"/>
        <n v="0.20001156486762456"/>
        <n v="0.17383214154832097"/>
        <n v="0.3757343374206521"/>
        <n v="0.3523519468988428"/>
        <n v="0.19482334647235391"/>
        <n v="0.15281369382422874"/>
        <n v="0.25195197225012717"/>
        <n v="0.17987595456367561"/>
        <n v="0.40328642601171227"/>
        <n v="0.40540995914656014"/>
        <n v="0.2235859734908939"/>
        <n v="0.15533473924243782"/>
        <n v="0.2587017991092358"/>
        <n v="0.25373435797443988"/>
        <n v="0.32907149988339124"/>
        <n v="0.51563261407714944"/>
        <n v="0.14133734114704613"/>
        <n v="0.1604746455765278"/>
        <n v="0.39679718880549369"/>
        <n v="0.43157069272685256"/>
        <n v="0.42434003047376079"/>
        <n v="0.26778090662779941"/>
        <n v="0.29881447608823564"/>
        <n v="0.43933823529411764"/>
        <n v="0.32764702447481425"/>
        <n v="0.19365326595888346"/>
        <n v="0.23142747787823725"/>
        <n v="0.28196539893084088"/>
        <n v="0.32970957147944452"/>
        <n v="0.31447245701673426"/>
        <n v="0.38254245479168775"/>
        <n v="0.14133830167867034"/>
        <n v="0.25496234097810677"/>
        <n v="0.2817404347305465"/>
        <n v="0.27768096360384154"/>
        <n v="0.35954355503562424"/>
        <n v="0.41528813378330037"/>
        <n v="0.23067544584384245"/>
        <n v="0.3018982442720286"/>
        <n v="0.34069277490100347"/>
        <n v="0.33751957689056827"/>
        <n v="0.2839693844676533"/>
        <n v="0.31856837072174626"/>
        <n v="0.26097430946161337"/>
        <n v="0.26821174632851347"/>
        <n v="0.14272430294576857"/>
        <n v="0.19837750451234243"/>
        <n v="0.33884985636171544"/>
        <n v="0.44979824238073984"/>
        <n v="0.31930327384469931"/>
        <n v="0.17913458795002077"/>
        <n v="0.29188100893564084"/>
        <n v="0.26100839321154029"/>
        <n v="0.28500220723446684"/>
        <n v="0.27269627808559299"/>
        <n v="0.1466364293365498"/>
        <n v="0.41753525254180884"/>
        <n v="0.42857672762342819"/>
        <n v="0.40170813172499803"/>
        <n v="0.1681800670020947"/>
        <n v="0.37434475672762962"/>
        <n v="0.39817421425178701"/>
        <n v="0.31590354784572677"/>
        <n v="0.41276511239971408"/>
        <n v="0.38008981241851425"/>
        <n v="0.1992915138941681"/>
        <n v="0.18857436243147527"/>
        <n v="0.36919038912669105"/>
        <n v="0.26613097327936652"/>
        <n v="0.40668141544934977"/>
        <n v="0.39694872464525116"/>
        <n v="0.44622309828575857"/>
        <n v="0.42508492120046426"/>
        <n v="0.43306427826160854"/>
        <n v="0.53028535107035035"/>
        <n v="0.35866164247001114"/>
        <n v="0.37845552607659261"/>
        <n v="0.16516137143289572"/>
        <n v="0.31144075619392242"/>
        <n v="0.27428182843495003"/>
        <n v="0.33263556886757462"/>
        <n v="0.36078826355633858"/>
        <n v="0.18389590199814615"/>
        <n v="0.3939614896432525"/>
        <n v="-4.5764791949555343"/>
        <n v="0.23604456106796395"/>
        <n v="0.24372209390288319"/>
        <n v="0.32412158488514337"/>
        <n v="0.24279811762432785"/>
        <n v="0.30155767890912699"/>
        <n v="0.42932413981430911"/>
        <n v="0.18780892341884298"/>
        <n v="0.43161380278987349"/>
        <n v="0.44129533903710627"/>
        <n v="0.28988258895386843"/>
        <n v="0.44439082386757739"/>
        <n v="0.19825124111581574"/>
        <n v="0.35822663025311091"/>
        <n v="0.37829539252451638"/>
        <n v="0.27931376013281223"/>
        <n v="0.25934299782015524"/>
        <n v="0.21825656615822997"/>
        <n v="1.91010457787937E-2"/>
        <n v="0.23064994909580494"/>
        <n v="0.24229160360427668"/>
        <n v="0.17558465846554563"/>
        <n v="0.20645309813017063"/>
        <n v="0.14279931098119628"/>
        <n v="0.25085279610859906"/>
        <n v="0.21706730029697935"/>
        <n v="0.16563968159532302"/>
        <n v="0.20465294167032022"/>
        <n v="0.33725988820125036"/>
        <n v="0.31535330572991688"/>
        <n v="0.30437897173807732"/>
        <n v="0.31433631677156143"/>
        <n v="0.22518692317074712"/>
        <n v="0.249088592361873"/>
        <n v="0.31902195632243363"/>
        <n v="0.1890530333360024"/>
        <n v="0.34303568715132315"/>
        <n v="0.18256687637754077"/>
        <n v="0.4393181328939133"/>
        <n v="0.31057457373302172"/>
        <n v="0.43243279787982042"/>
        <n v="0.24907065938929043"/>
        <n v="0.16966962372514566"/>
        <n v="0.35648244831317749"/>
        <n v="0.18547593843386695"/>
        <n v="0.34279244383528995"/>
        <n v="0.42048716328364127"/>
        <n v="0.30267961712417901"/>
        <n v="0.15761791329204389"/>
        <n v="0.22759825285077806"/>
        <n v="0.43284025560307055"/>
        <n v="0.25037290857461858"/>
        <n v="0.18793782983739193"/>
        <n v="0.28690042245119629"/>
        <n v="0.20315200790685289"/>
        <n v="0.34686151435884116"/>
        <n v="0.44211098245853014"/>
        <n v="0.20604104508426041"/>
        <n v="0.39808189849745274"/>
        <n v="0.37158358840219735"/>
        <n v="0.35331854628555315"/>
        <n v="0.18287663708342161"/>
        <n v="0.23359029973052453"/>
        <n v="0.37160716332743193"/>
        <n v="0.17531736798233513"/>
        <n v="0.16496890557239943"/>
        <n v="0.14215432601158254"/>
        <n v="0.25151534408826681"/>
        <n v="0.39275831777753373"/>
        <n v="0.27276539703794161"/>
        <n v="0.35404070282017502"/>
        <n v="0.22306239379410109"/>
        <n v="0.15633700354988173"/>
        <n v="0.2829148914277097"/>
        <n v="0.36540446493854445"/>
        <n v="0.2147255434673831"/>
        <n v="0.38662696908663202"/>
        <n v="0.40208969126306743"/>
        <n v="0.3094427924077453"/>
        <n v="0.37989705108846261"/>
        <n v="0.3816310150758106"/>
        <n v="0.41861367806548755"/>
        <n v="0.30695827352162214"/>
        <n v="0.30569768378364304"/>
        <n v="0.36983165485647884"/>
        <n v="0.4224884792626728"/>
        <n v="0.2395361239769577"/>
        <n v="0.30854895407134209"/>
        <n v="0.15930160605028976"/>
        <n v="0.22013539619624964"/>
        <n v="0.36763057214983458"/>
        <n v="0.43153051020019179"/>
        <n v="0.34518974723612039"/>
        <n v="0.38975147768716562"/>
        <n v="0.15892467801763857"/>
        <n v="0.44770874071999178"/>
        <n v="0.18597239638509933"/>
        <n v="0.30299182683896131"/>
        <n v="0.43491420227914163"/>
        <n v="0.38518730340291679"/>
        <n v="0.19212307798944123"/>
        <n v="0.41848966085977563"/>
        <n v="0.39165274486188267"/>
        <n v="0.14423838801456493"/>
        <n v="0.17482039109625511"/>
        <n v="0.39792070498149201"/>
        <n v="0.22027551203674112"/>
        <n v="0.1745625959516032"/>
        <n v="0.24208885431276025"/>
        <n v="0.29117676671102394"/>
        <n v="0.28777396494826391"/>
        <n v="0.19771374869869207"/>
        <n v="0.28960270743242256"/>
        <n v="0.22417654107534282"/>
        <n v="0.1825313582280356"/>
        <n v="0.41536001329152039"/>
        <n v="0.34528929750489945"/>
        <n v="0.33359514370664023"/>
        <n v="0.3207830165228277"/>
        <n v="0.40513311231340554"/>
        <n v="0.3497455707167178"/>
        <n v="0.41866527632950995"/>
        <n v="0.39090940860086953"/>
        <n v="0.30331484036120587"/>
        <n v="0.15433673749881804"/>
        <n v="0.42675710964618968"/>
        <n v="0.2669958327791816"/>
        <n v="0.34309309738466881"/>
        <n v="0.29576934658235482"/>
        <n v="0.34613989694597397"/>
        <n v="0.38989390861307277"/>
        <n v="0.44352868536597928"/>
        <n v="0.28454312671732446"/>
        <n v="0.27645722470266137"/>
        <n v="0.28501822619439521"/>
        <n v="0.28737724617382776"/>
        <n v="0.14224935530226976"/>
        <n v="0.18101662862888801"/>
        <n v="0.36856087499362367"/>
        <n v="0.43540616188237813"/>
        <n v="0.19205385856442145"/>
        <n v="0.44661747940942564"/>
        <n v="0.3753287588316272"/>
        <n v="0.3760788565189645"/>
        <n v="0.3115237543453071"/>
        <n v="0.58704683753946907"/>
        <n v="0.41479277676106896"/>
        <n v="0.30305248685321323"/>
        <n v="0.15429696817899918"/>
        <n v="0.2846051371507976"/>
        <n v="0.28317660577351506"/>
        <n v="0.30014490233582553"/>
        <n v="0.22265412634000625"/>
        <n v="0.22464215461752751"/>
        <n v="0.30434412170521002"/>
        <n v="0.35536570582738836"/>
        <n v="0.22086347908147214"/>
        <n v="0.43658461479243243"/>
        <n v="0.28371343833094703"/>
        <n v="0.3519258066769691"/>
        <n v="0.34754685641491223"/>
        <n v="0.23073271814135804"/>
        <n v="0.15402765604742785"/>
        <n v="0.21186192286950029"/>
        <n v="0.40352245945224235"/>
        <n v="0.35203029484692999"/>
        <n v="0.37750421710000998"/>
        <n v="0.42733586838429316"/>
        <n v="0.20785729671029896"/>
        <n v="0.26502255950507486"/>
        <n v="0.36647730883119195"/>
        <n v="0.20800822419165294"/>
        <n v="0.16251269541376584"/>
        <n v="0.15733212264681268"/>
        <n v="0.17863863934950111"/>
        <n v="0.30826012032418892"/>
        <n v="0.23575859624246723"/>
        <n v="0.23933087265234729"/>
        <n v="0.20792761259332354"/>
        <n v="0.42656814841298218"/>
        <n v="0.31118604516365866"/>
        <n v="0.29709567596538267"/>
        <n v="0.29847241497214339"/>
        <n v="0.44900779345624336"/>
        <n v="0.14439324750965438"/>
        <n v="0.14387432188065097"/>
        <n v="0.37876492459135447"/>
        <n v="0.32449172827657824"/>
        <n v="0.16516117441930575"/>
        <n v="0.3816982574031107"/>
        <n v="0.35064987892535471"/>
        <n v="0.44954510570313877"/>
        <n v="0.17548270174553127"/>
        <n v="0.36681359641432454"/>
        <n v="0.35674632236598219"/>
        <n v="0.31990484026825539"/>
        <n v="0.27934834037777928"/>
        <n v="0.21229229468763125"/>
        <n v="0.15688967067210344"/>
        <n v="0.30064414182747856"/>
        <n v="0.28758821394072509"/>
        <n v="0.39188435225914897"/>
        <n v="0.16610243473239938"/>
        <n v="0.40753045557507406"/>
        <n v="0.24976921810962466"/>
        <n v="0.34525413037771857"/>
        <n v="0.40368782288921634"/>
        <n v="0.19391251542557336"/>
        <n v="0.21772914361944434"/>
        <n v="0.14944764492475138"/>
        <n v="0.19158561573908275"/>
        <n v="0.20917499521925992"/>
        <n v="0.38054062407085737"/>
        <n v="0.39963166545491574"/>
        <n v="0.15395745361304733"/>
        <n v="0.34103774293164635"/>
        <n v="0.4172489439126531"/>
        <n v="0.19375018693816029"/>
        <n v="0.31022760353624351"/>
        <n v="0.30468361647596748"/>
        <n v="0.44960789675035673"/>
        <n v="0.36155707533696574"/>
        <n v="0.34787658455317583"/>
        <n v="0.21822270892025844"/>
        <n v="0.39623838393170302"/>
        <n v="0.26390811660986818"/>
        <n v="0.43682173221815163"/>
        <n v="0.44683950252813498"/>
        <n v="0.4164101861416194"/>
        <n v="0.17833881472883209"/>
        <n v="0.30728343067320318"/>
        <n v="0.34438729547565311"/>
        <n v="0.2205864725815159"/>
        <n v="0.30505545854846072"/>
        <n v="0.41106704636882413"/>
        <n v="0.38528062620113068"/>
        <n v="0.19298818069755644"/>
        <n v="0.31822527482533197"/>
        <n v="0.44271414707932583"/>
        <n v="0.25099035486484472"/>
        <n v="0.25949412932411942"/>
        <n v="0.44017894468242208"/>
        <n v="0.40855245758170006"/>
        <n v="0.36618296581957216"/>
        <n v="0.19155471882320479"/>
        <n v="0.15997769074507984"/>
        <n v="0.38859733619071951"/>
        <n v="0.27632634273777024"/>
        <n v="0.41707491934520241"/>
        <n v="0.21661822026653077"/>
        <n v="0.14743565445798543"/>
        <n v="0.29059173633004193"/>
        <n v="0.37019266399389905"/>
        <n v="0.3361379849145234"/>
        <n v="0.14746657031286442"/>
        <n v="0.3246523032398102"/>
        <n v="0.34118636157105903"/>
        <n v="0.40313313451481175"/>
        <n v="0.39072535746631409"/>
        <n v="0.24057408348414205"/>
        <n v="0.36481684503610895"/>
        <n v="0.43019697615613267"/>
        <n v="0.31295042435821552"/>
        <n v="0.19144416906942829"/>
        <n v="0.3627769623261341"/>
        <n v="0.34849897779850075"/>
        <n v="0.1561975684617263"/>
        <n v="0.252736227474888"/>
        <n v="0.31554813852523517"/>
        <n v="0.23822861794127695"/>
        <n v="0.44495057812225997"/>
        <n v="0.24025305867748292"/>
        <n v="0.1569977927157114"/>
        <n v="0.44785537388722235"/>
        <n v="0.20418675999717339"/>
        <n v="0.34568425679945392"/>
        <n v="0.29162186992982386"/>
        <n v="0.22772080417345961"/>
        <n v="0.2078112534609789"/>
        <n v="0.36509168752375548"/>
        <n v="0.23450903396208775"/>
        <n v="0.29087253832971849"/>
        <n v="0.32764592501582057"/>
        <n v="0.42299801940856191"/>
        <n v="0.42586845885420338"/>
        <n v="0.41344039663720622"/>
        <n v="0.3547880503433119"/>
        <n v="0.28693321953558582"/>
        <n v="0.23163471992403581"/>
        <n v="0.43502881045373448"/>
        <n v="0.35311192990468659"/>
        <n v="0.25957945614082772"/>
        <n v="0.21190744891644084"/>
        <n v="0.19147874165631312"/>
        <n v="0.28748882474252369"/>
        <n v="0.14670568168557463"/>
        <n v="0.25007357712914968"/>
        <n v="0.2058655471483572"/>
        <n v="0.33440245432994004"/>
        <n v="0.3649820469479812"/>
        <n v="0.33761688345609359"/>
        <n v="0.30765851210502188"/>
        <n v="0.26088394520166414"/>
        <n v="0.41386866966083319"/>
        <n v="0.27509377877024932"/>
        <n v="0.31411638723115504"/>
        <n v="0.44393738527432181"/>
        <n v="0.43527419485681834"/>
        <n v="0.44137768982556985"/>
        <n v="0.36064924370776652"/>
        <n v="0.16495799197146732"/>
        <n v="0.4306867837414462"/>
        <n v="0.25383926593860051"/>
        <n v="0.38037008885510715"/>
        <n v="0.36897464062875185"/>
        <n v="0.20412003339333692"/>
        <n v="0.31159507390515973"/>
        <n v="0.44092891766671188"/>
        <n v="0.27134113973458229"/>
        <n v="0.21293095725719513"/>
        <n v="0.28394241111698454"/>
        <n v="0.40060406170214846"/>
        <n v="0.3595739821962709"/>
        <n v="0.314312353970647"/>
        <n v="0.21871341525244051"/>
        <n v="0.29052711993888469"/>
        <n v="0.35987707325891449"/>
        <n v="0.31361054282242729"/>
        <n v="0.32119039404406413"/>
        <n v="0.4472149158295291"/>
        <n v="0.43176293650470365"/>
        <n v="0.31758621308096641"/>
        <n v="0.43028428729720342"/>
        <n v="0.16101647624001897"/>
        <n v="0.15011313508851432"/>
        <n v="0.41441188832146331"/>
        <n v="0.2702581908119458"/>
        <n v="0.34378159730319813"/>
        <n v="0.37897368607513748"/>
        <n v="0.39105855965394615"/>
        <n v="0.17503781621116421"/>
        <n v="0.41049869718458865"/>
        <n v="0.40200299882611745"/>
        <n v="0.31378382351740075"/>
        <n v="0.3574624375905332"/>
        <n v="0.33127981601213835"/>
        <n v="0.14182397037933847"/>
        <n v="0.17103033846673826"/>
        <n v="0.36224955396671765"/>
        <n v="0.1817348332848141"/>
        <n v="0.236760539910015"/>
        <n v="0.25780432160082045"/>
        <n v="0.1488802456235406"/>
        <n v="0.43833963336331738"/>
        <n v="0.22869482305545047"/>
        <n v="0.34501549674738602"/>
        <n v="0.41030535521101735"/>
        <n v="0.40130991714026759"/>
        <n v="0.17210514222166751"/>
        <n v="0.28324405462679547"/>
        <n v="0.4286222196481948"/>
        <n v="0.4480915025360922"/>
        <n v="0.22440178317146461"/>
        <n v="0.34568244437031276"/>
        <n v="0.39675073942103917"/>
        <n v="0.4351672056642476"/>
        <n v="0.1427818883705968"/>
        <n v="0.14926848918755603"/>
        <n v="0.26475960860425907"/>
        <n v="0.42750795723314122"/>
        <n v="0.24204502640100028"/>
        <n v="0.35971916232901585"/>
        <n v="0.33596897435201023"/>
        <n v="0.27274152595051782"/>
        <n v="0.24652462157574245"/>
        <n v="0.32410935988917638"/>
        <n v="0.14627855051389932"/>
        <n v="0.43468017688638183"/>
        <n v="0.31588387126960232"/>
        <n v="0.36142187535959863"/>
        <n v="0.35018418023450054"/>
        <n v="0.19760059760575607"/>
        <n v="0.30178129528480657"/>
        <n v="0.4352955591199249"/>
        <n v="0.2841200975759911"/>
        <n v="0.24474862551720236"/>
        <n v="0.20854387413742412"/>
        <n v="0.21207132245154239"/>
        <n v="0.38109453310852959"/>
        <n v="0.39008374440747962"/>
        <n v="0.29384516759652418"/>
        <n v="0.38471365713606159"/>
        <n v="0.35331357910525191"/>
        <n v="0.29769798091309541"/>
        <n v="0.16959686262089696"/>
        <n v="0.30044037993358463"/>
        <n v="0.24711114589039318"/>
        <n v="0.39631601087237905"/>
        <n v="0.35588721378813964"/>
        <n v="0.38288195219244242"/>
        <n v="0.31421594615001541"/>
        <n v="0.34660068571233377"/>
        <n v="0.33357487594008833"/>
        <n v="0.40599116994220275"/>
        <n v="0.2161054670245659"/>
        <n v="0.3662673488771101"/>
        <n v="0.17517152055163318"/>
        <n v="0.24792739370033567"/>
        <n v="0.19147388199924836"/>
        <n v="0.44679777019068451"/>
        <n v="0.39006961877157481"/>
        <n v="0.30011390662603044"/>
        <n v="0.36771826738483288"/>
        <n v="0.35584225258889624"/>
        <n v="0.3318782355478862"/>
        <n v="0.20052834556098567"/>
        <n v="0.36405895463428417"/>
        <n v="0.18135027496486225"/>
        <n v="0.25085370994940986"/>
        <n v="0.30969121746181905"/>
        <n v="0.17635213458055535"/>
        <n v="0.21701560505344086"/>
        <n v="0.20995264721184953"/>
        <n v="0.40021432674886204"/>
        <n v="-2.7901830667983827"/>
        <n v="0.27003471366121495"/>
        <n v="0.3220715281560117"/>
        <n v="0.3043473316546178"/>
        <n v="0.37795715321969076"/>
        <n v="0.21586239286133616"/>
        <n v="0.27396581757873573"/>
        <n v="0.44949451108543131"/>
        <n v="0.29325156260106194"/>
        <n v="0.16683109525613893"/>
        <n v="0.24042442198754688"/>
        <n v="0.25903618812371948"/>
        <n v="0.44291508018206843"/>
        <n v="0.31138780505304997"/>
        <n v="0.22336045444514427"/>
        <n v="0.22408972316398759"/>
        <n v="0.36589677243477409"/>
        <n v="0.26494596610315446"/>
        <n v="0.25715350390466307"/>
        <n v="0.49647936910294327"/>
        <n v="0.26997282303528508"/>
        <n v="0.37006146198801093"/>
        <n v="0.44619143488182017"/>
        <n v="0.17962344805274724"/>
        <n v="0.38186557475533162"/>
        <n v="0.30870148520960183"/>
        <n v="0.33495686024013849"/>
        <n v="0.1554031430280875"/>
        <n v="0.36154027158486052"/>
        <n v="0.19464375751652949"/>
        <n v="-1.1053578856429784"/>
        <n v="0.24214239043735769"/>
        <n v="0.39364665980255581"/>
        <n v="0.26633346320557155"/>
        <n v="0.35712150148574368"/>
        <n v="0.17547433882132324"/>
        <n v="0.24062279944081949"/>
        <n v="0.18618288868998606"/>
        <n v="0.28548035979543873"/>
        <n v="0.38076182859441249"/>
        <n v="0.43751416368866031"/>
        <n v="0.2029696060474607"/>
        <n v="0.39605672777585599"/>
        <n v="0.37322449136018926"/>
        <n v="0.38949325524693995"/>
        <n v="0.20278487170132553"/>
        <n v="0.17228087457438387"/>
        <n v="0.18370778623826114"/>
        <n v="0.34725383359771933"/>
        <n v="0.4373744444254748"/>
        <n v="0.25715336055176974"/>
        <n v="0.3194390548872505"/>
        <n v="0.17971443441268986"/>
        <n v="0.42985863654587642"/>
        <n v="0.42604911889497965"/>
        <n v="-4.1174695388717915"/>
        <n v="0.28733491369549163"/>
        <n v="0.29460565061286947"/>
        <n v="0.17445811195177174"/>
        <n v="0.17163697622051297"/>
        <n v="0.42877619985379856"/>
        <n v="0.36283876806306775"/>
        <n v="0.22153762211236086"/>
        <n v="0.21662677833737193"/>
        <n v="0.18139467080434915"/>
        <n v="0.44637963892082555"/>
        <n v="0.18904133617257154"/>
        <n v="0.4139424440444287"/>
        <n v="0.44664361602355807"/>
        <n v="0.27125943741635739"/>
        <n v="0.44395651400150488"/>
        <n v="0.23404478684885605"/>
        <n v="0.24712925743606731"/>
        <n v="0.43392239496641527"/>
        <n v="0.44492523598696843"/>
        <n v="0.39365742941153326"/>
        <n v="0.22433381721595294"/>
        <n v="0.19146342886936496"/>
        <n v="0.40468882155570635"/>
        <n v="0.36477619281849477"/>
        <n v="0.36440786620283339"/>
        <n v="0.27713758411919615"/>
        <n v="0.42328338858991066"/>
        <n v="0.36106846759197836"/>
        <n v="0.18175916992074029"/>
        <n v="0.42347495188285067"/>
        <n v="0.38822460654570451"/>
        <n v="0.37322910394562903"/>
        <n v="0.26486225014071862"/>
        <n v="-1.2931096412561351"/>
        <n v="0.47073082237781677"/>
        <n v="0.30253601182341816"/>
        <n v="0.3032243705028666"/>
        <n v="-0.69210119488185895"/>
        <n v="0.27683812845103173"/>
        <n v="0.18789204745190213"/>
        <n v="0.30677554774009069"/>
        <n v="0.32053220112938835"/>
        <n v="0.17213918283741877"/>
        <n v="0.40551446054313278"/>
        <n v="0.53418722686112274"/>
        <n v="0.32409839803506968"/>
        <n v="-0.39426228676388525"/>
        <n v="0.20081504390212318"/>
        <n v="0.2087237524426368"/>
        <n v="0.41754264322619683"/>
        <n v="0.39244289639158081"/>
        <n v="0.25169663692665878"/>
        <n v="0.22156979101711771"/>
        <n v="0.3663208460815392"/>
        <n v="0.3666054874075898"/>
        <n v="0.40331772332775528"/>
        <n v="0.24628436418249414"/>
        <n v="0.29662539998346776"/>
        <n v="0.42973718322357263"/>
        <n v="0.40259987505161504"/>
        <n v="0.16242608602116568"/>
        <n v="0.40643179979800664"/>
        <n v="0.36788518709280998"/>
        <n v="0.21510423732645942"/>
        <n v="0.15614049589155901"/>
        <n v="0.24556459261610653"/>
        <n v="0.14877718745097629"/>
        <n v="0.17852168597482893"/>
        <n v="0.17443773793763689"/>
        <n v="0.19461950083409219"/>
        <n v="0.44319495631458172"/>
        <n v="0.32899846799940008"/>
        <n v="0.26577769026574488"/>
        <n v="0.14121614639226057"/>
        <n v="0.33410618169061956"/>
        <n v="0.23273473830018798"/>
        <n v="0.25559706574248142"/>
        <n v="0.3443576892909167"/>
        <n v="0.39513195573098059"/>
        <n v="0.34014668937785347"/>
        <n v="0.29957808131092578"/>
        <n v="0.31743067075120002"/>
        <n v="0.24043020403058799"/>
        <n v="0.33098491016203624"/>
        <n v="0.38020547710446945"/>
        <n v="0.33093133562955235"/>
        <n v="0.37109437329243311"/>
        <n v="0.25216821214179036"/>
        <n v="0.39263199506210522"/>
        <n v="0.22638031424642296"/>
        <n v="0.14580849827098705"/>
        <n v="0.14966419781502532"/>
        <n v="0.18188931085695575"/>
        <n v="0.31067646888981615"/>
        <n v="0.40348890234512258"/>
        <n v="0.25932473042248544"/>
        <n v="0.42749378917254349"/>
        <n v="0.14645069937728825"/>
        <n v="0.43813714194848563"/>
        <n v="0.14219763776295669"/>
        <n v="0.3256928794891496"/>
        <n v="0.32189418636860345"/>
        <n v="0.4362056260388521"/>
        <n v="0.21749373929089236"/>
        <n v="0.40284386489744772"/>
        <n v="0.29578002402298664"/>
        <n v="0.43488116352062323"/>
        <n v="0.30419134506619516"/>
        <n v="0.43285936745615644"/>
        <n v="0.26130761121386764"/>
        <n v="0.2402975081495759"/>
        <n v="0.36948921098672882"/>
        <n v="0.27947091584158423"/>
        <n v="0.17175643267310645"/>
        <n v="0.16046212055881334"/>
        <n v="0.38197174496384928"/>
        <n v="0.42821532704188298"/>
        <n v="0.3122009260719355"/>
        <n v="0.23216658779416893"/>
        <n v="0.14106731398615141"/>
        <n v="0.29133350367230787"/>
        <n v="0.25303108797885965"/>
        <n v="0.43134413491420964"/>
        <n v="0.44805911792668834"/>
        <n v="0.22205303617203109"/>
        <n v="0.41312865543986482"/>
        <n v="0.30570522303598419"/>
        <n v="0.26120074342092253"/>
        <n v="0.26453709661660491"/>
        <n v="0.36017542942299152"/>
        <n v="0.31912491439782342"/>
        <n v="0.32395575859743381"/>
        <n v="0.25372405660427028"/>
        <n v="0.15021902855506741"/>
        <n v="0.20995832143488491"/>
        <n v="0.27110704508247468"/>
        <n v="0.17127614603631908"/>
        <n v="0.31011637233092726"/>
      </sharedItems>
    </cacheField>
    <cacheField name="payment_status" numFmtId="0">
      <sharedItems/>
    </cacheField>
    <cacheField name="payment_status_clean" numFmtId="0">
      <sharedItems count="4">
        <s v="Paid"/>
        <s v="Pending"/>
        <s v="Refunded"/>
        <s v="Failed"/>
      </sharedItems>
    </cacheField>
    <cacheField name="payment_status_flag" numFmtId="0">
      <sharedItems/>
    </cacheField>
    <cacheField name="order_status" numFmtId="0">
      <sharedItems/>
    </cacheField>
    <cacheField name="order_status_clean" numFmtId="0">
      <sharedItems count="3">
        <s v="Completed"/>
        <s v="Returned"/>
        <s v="Cancelled"/>
      </sharedItems>
    </cacheField>
    <cacheField name="order_status_flag" numFmtId="0">
      <sharedItems/>
    </cacheField>
    <cacheField name="data_quality_flag" numFmtId="0">
      <sharedItems/>
    </cacheField>
    <cacheField name="sales_mismatch" numFmtId="0">
      <sharedItems/>
    </cacheField>
    <cacheField name="profit_mismatc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x v="0"/>
    <n v="1"/>
    <d v="2024-07-21T00:00:00"/>
    <d v="2024-07-21T00:00:00"/>
    <x v="0"/>
    <x v="0"/>
    <s v="07/27/2024"/>
    <d v="2024-07-27T00:00:00"/>
    <n v="6"/>
    <s v="OK"/>
    <s v="CUST-4655"/>
    <s v="Karan Malhotra"/>
    <s v="Karan Malhotra"/>
    <s v="Consumer"/>
    <x v="0"/>
    <s v="North"/>
    <x v="0"/>
    <s v="OK"/>
    <s v="Rajasthan"/>
    <s v="Rajasthan"/>
    <s v="Jaipur"/>
    <s v="Jaipur"/>
    <s v="Office    Supplies"/>
    <x v="0"/>
    <s v="Paper"/>
    <x v="0"/>
    <s v="Pro Paper 122"/>
    <s v="Second Class"/>
    <x v="0"/>
    <s v="OK"/>
    <n v="8"/>
    <n v="2976.45"/>
    <n v="0.2"/>
    <n v="0.2"/>
    <s v="OK"/>
    <n v="19049.28"/>
    <n v="15841.89"/>
    <n v="3207.39"/>
    <n v="19049.28"/>
    <n v="3207.3899999999994"/>
    <x v="0"/>
    <s v="Paid"/>
    <x v="0"/>
    <s v="OK"/>
    <s v="Completed"/>
    <x v="0"/>
    <s v="OK"/>
    <s v="CLEAN"/>
    <s v="MATCH"/>
    <s v="MATCH"/>
  </r>
  <r>
    <x v="1"/>
    <n v="1"/>
    <d v="2024-08-31T00:00:00"/>
    <d v="2024-08-31T00:00:00"/>
    <x v="1"/>
    <x v="0"/>
    <s v="05 Sep 2024"/>
    <d v="2024-09-05T00:00:00"/>
    <n v="5"/>
    <s v="OK"/>
    <s v="CUST-2054"/>
    <s v="Mira Das"/>
    <s v="Mira Das"/>
    <s v="Small Business"/>
    <x v="1"/>
    <s v="East"/>
    <x v="1"/>
    <s v="OK"/>
    <s v="Odisha"/>
    <s v="Odisha"/>
    <s v="Bhubaneswar"/>
    <s v="Bhubaneswar"/>
    <s v="Furniture"/>
    <x v="1"/>
    <s v="Tables"/>
    <x v="1"/>
    <s v="Pro Tables 258"/>
    <s v="Same Day"/>
    <x v="1"/>
    <s v="OK"/>
    <n v="3"/>
    <n v="2437.5"/>
    <n v="0"/>
    <n v="0"/>
    <s v="OK"/>
    <n v="7312.5"/>
    <n v="4904.7299999999996"/>
    <n v="2407.77"/>
    <n v="7312.5"/>
    <n v="2407.7700000000004"/>
    <x v="1"/>
    <s v="Paid"/>
    <x v="0"/>
    <s v="OK"/>
    <s v="Completed"/>
    <x v="0"/>
    <s v="OK"/>
    <s v="CLEAN"/>
    <s v="MATCH"/>
    <s v="MATCH"/>
  </r>
  <r>
    <x v="2"/>
    <n v="1"/>
    <d v="2024-08-06T00:00:00"/>
    <d v="2024-08-06T00:00:00"/>
    <x v="1"/>
    <x v="0"/>
    <s v="15 Jun 2024"/>
    <d v="2024-06-15T00:00:00"/>
    <n v="-52"/>
    <s v="INVALID_SHIPPING"/>
    <s v="CUST-6843"/>
    <s v="Isha Nair"/>
    <s v="Isha Nair"/>
    <s v="Consumer"/>
    <x v="0"/>
    <s v="East"/>
    <x v="1"/>
    <s v="OK"/>
    <s v="Odisha"/>
    <s v="Odisha"/>
    <s v="Bhubaneswar"/>
    <s v="Bhubaneswar"/>
    <s v="Office Supplies"/>
    <x v="0"/>
    <s v="Art"/>
    <x v="2"/>
    <s v="Elite Art 525"/>
    <s v="First Class"/>
    <x v="2"/>
    <s v="OK"/>
    <n v="4"/>
    <n v="1065.43"/>
    <n v="0.55000000000000004"/>
    <n v="0.55000000000000004"/>
    <s v="OK"/>
    <n v="4261.72"/>
    <n v="2465.69"/>
    <n v="1796.03"/>
    <n v="1917.7739999999999"/>
    <n v="-547.91600000000017"/>
    <x v="2"/>
    <s v="Paid"/>
    <x v="0"/>
    <s v="OK"/>
    <s v="Completed"/>
    <x v="0"/>
    <s v="OK"/>
    <s v="INVALID"/>
    <s v="MISMATCH"/>
    <s v="MISMATCH"/>
  </r>
  <r>
    <x v="3"/>
    <n v="1"/>
    <d v="2024-11-28T00:00:00"/>
    <d v="2024-11-28T00:00:00"/>
    <x v="2"/>
    <x v="0"/>
    <s v="11/29/2024"/>
    <d v="2024-11-29T00:00:00"/>
    <n v="1"/>
    <s v="OK"/>
    <s v="CUST-3722"/>
    <s v="Arjun Bose"/>
    <s v="Arjun Bose"/>
    <s v="Small Business"/>
    <x v="1"/>
    <s v="South"/>
    <x v="2"/>
    <s v="OK"/>
    <s v="Telangana"/>
    <s v="Telangana"/>
    <s v="Hyderabad"/>
    <s v="Hyderabad"/>
    <s v="Furniture"/>
    <x v="1"/>
    <s v="Furnishings"/>
    <x v="3"/>
    <s v="Smart Furnishings 294"/>
    <s v="Standard Class"/>
    <x v="3"/>
    <s v="OK"/>
    <n v="6"/>
    <n v="1848.43"/>
    <n v="0.25"/>
    <n v="0.25"/>
    <s v="OK"/>
    <n v="8317.93"/>
    <n v="6796.77"/>
    <n v="1521.16"/>
    <n v="8317.9349999999995"/>
    <n v="1521.1649999999991"/>
    <x v="3"/>
    <s v="Paid"/>
    <x v="0"/>
    <s v="OK"/>
    <s v="Completed"/>
    <x v="0"/>
    <s v="OK"/>
    <s v="CLEAN"/>
    <s v="MISMATCH"/>
    <s v="MISMATCH"/>
  </r>
  <r>
    <x v="4"/>
    <n v="1"/>
    <d v="2024-05-24T00:00:00"/>
    <d v="2024-05-24T00:00:00"/>
    <x v="3"/>
    <x v="0"/>
    <s v="2025-09-01"/>
    <d v="2025-09-01T00:00:00"/>
    <n v="465"/>
    <s v="OK"/>
    <s v="CUST-6056"/>
    <s v="Vikram Iyer"/>
    <s v="Vikram Iyer"/>
    <s v="Small Business"/>
    <x v="1"/>
    <s v="West"/>
    <x v="3"/>
    <s v="OK"/>
    <s v="Madhya Pradesh"/>
    <s v="Madhya Pradesh"/>
    <s v="Indore"/>
    <s v="Indore"/>
    <s v="Technology"/>
    <x v="2"/>
    <s v="Accessories"/>
    <x v="4"/>
    <s v="Pro Accessories 821"/>
    <s v="Same Day"/>
    <x v="1"/>
    <s v="OK"/>
    <n v="3"/>
    <n v="1053.1099999999999"/>
    <n v="0.2"/>
    <n v="0.2"/>
    <s v="OK"/>
    <n v="2527.46"/>
    <n v="1533.58"/>
    <n v="993.88"/>
    <n v="2527.4639999999999"/>
    <n v="993.88400000000001"/>
    <x v="4"/>
    <s v="Paid"/>
    <x v="0"/>
    <s v="OK"/>
    <s v="Completed"/>
    <x v="0"/>
    <s v="OK"/>
    <s v="CLEAN"/>
    <s v="MATCH"/>
    <s v="MATCH"/>
  </r>
  <r>
    <x v="5"/>
    <n v="1"/>
    <d v="2024-05-11T00:00:00"/>
    <d v="2024-05-11T00:00:00"/>
    <x v="3"/>
    <x v="0"/>
    <s v="28-05-2024"/>
    <d v="2024-05-28T00:00:00"/>
    <n v="17"/>
    <s v="OK"/>
    <s v="CUST-2598"/>
    <s v="Aditi Sen"/>
    <s v="Aditi Sen"/>
    <s v="Corporate"/>
    <x v="2"/>
    <s v="South"/>
    <x v="2"/>
    <s v="OK"/>
    <s v="Telangana"/>
    <s v="Telangana"/>
    <s v="Hyderabad"/>
    <s v="Hyderabad"/>
    <s v="Office Supplies"/>
    <x v="0"/>
    <s v="Labels"/>
    <x v="5"/>
    <s v="Classic Labels 815"/>
    <s v="First Class"/>
    <x v="2"/>
    <s v="OK"/>
    <n v="8"/>
    <n v="3134.2"/>
    <n v="0"/>
    <n v="0"/>
    <s v="OK"/>
    <n v="25073.599999999999"/>
    <n v="17347.23"/>
    <n v="7726.37"/>
    <n v="25073.599999999999"/>
    <n v="7726.369999999999"/>
    <x v="5"/>
    <s v="Paid"/>
    <x v="0"/>
    <s v="OK"/>
    <s v="Completed"/>
    <x v="0"/>
    <s v="OK"/>
    <s v="CLEAN"/>
    <s v="MATCH"/>
    <s v="MATCH"/>
  </r>
  <r>
    <x v="6"/>
    <n v="1"/>
    <d v="2024-07-22T00:00:00"/>
    <d v="2024-07-22T00:00:00"/>
    <x v="0"/>
    <x v="0"/>
    <s v="04/16/2025"/>
    <d v="2025-04-16T00:00:00"/>
    <n v="268"/>
    <s v="OK"/>
    <s v="CUST-6528"/>
    <s v="Vikram Iyer"/>
    <s v="Vikram Iyer"/>
    <s v="Small Business"/>
    <x v="1"/>
    <s v="East"/>
    <x v="1"/>
    <s v="OK"/>
    <s v="Odisha"/>
    <s v="Odisha"/>
    <s v="Bhubaneswar"/>
    <s v="Bhubaneswar"/>
    <s v="Technology"/>
    <x v="2"/>
    <s v="Accessories"/>
    <x v="4"/>
    <s v="Smart Accessories 603"/>
    <s v="Same Day"/>
    <x v="1"/>
    <s v="OK"/>
    <n v="6"/>
    <n v="2005.95"/>
    <n v="0.2"/>
    <n v="0.2"/>
    <s v="OK"/>
    <n v="9628.56"/>
    <n v="8038.59"/>
    <n v="1589.97"/>
    <n v="9628.5600000000013"/>
    <n v="1589.9700000000012"/>
    <x v="6"/>
    <s v="Paid"/>
    <x v="0"/>
    <s v="OK"/>
    <s v="Completed"/>
    <x v="0"/>
    <s v="OK"/>
    <s v="CLEAN"/>
    <s v="MATCH"/>
    <s v="MATCH"/>
  </r>
  <r>
    <x v="7"/>
    <n v="1"/>
    <d v="2024-12-20T00:00:00"/>
    <d v="2024-12-20T00:00:00"/>
    <x v="4"/>
    <x v="0"/>
    <s v="26-02-2025"/>
    <d v="2025-02-26T00:00:00"/>
    <n v="68"/>
    <s v="OK"/>
    <s v="CUST-2648"/>
    <s v="Ananya Rao"/>
    <s v="Ananya Rao"/>
    <s v="Corporate"/>
    <x v="2"/>
    <s v="West"/>
    <x v="3"/>
    <s v="OK"/>
    <s v="Rajasthan"/>
    <s v="Rajasthan"/>
    <s v="Udaipur"/>
    <s v="Udaipur"/>
    <s v="Office Supplies"/>
    <x v="0"/>
    <s v="Paper"/>
    <x v="0"/>
    <s v="Pro Paper 481"/>
    <s v="First Class"/>
    <x v="2"/>
    <s v="OK"/>
    <n v="1"/>
    <n v="702.14"/>
    <n v="0.15"/>
    <n v="0.15"/>
    <s v="OK"/>
    <n v="596.82000000000005"/>
    <n v="380.25"/>
    <n v="216.57"/>
    <n v="596.81899999999996"/>
    <n v="216.56899999999996"/>
    <x v="7"/>
    <s v="Pending"/>
    <x v="1"/>
    <s v="OK"/>
    <s v="Returned"/>
    <x v="1"/>
    <s v="RETURNED_ORDER"/>
    <s v="CLEAN"/>
    <s v="MATCH"/>
    <s v="MATCH"/>
  </r>
  <r>
    <x v="8"/>
    <n v="1"/>
    <d v="2024-12-27T00:00:00"/>
    <d v="2024-12-27T00:00:00"/>
    <x v="4"/>
    <x v="0"/>
    <s v="11/10/2024"/>
    <d v="2024-11-10T00:00:00"/>
    <n v="-47"/>
    <s v="INVALID_SHIPPING"/>
    <s v="CUST-4912"/>
    <s v="Rahul Verma"/>
    <s v="Rahul Verma"/>
    <s v="Consumer"/>
    <x v="0"/>
    <s v="West"/>
    <x v="3"/>
    <s v="OK"/>
    <s v="Rajasthan"/>
    <s v="Rajasthan"/>
    <s v="Udaipur"/>
    <s v="Udaipur"/>
    <s v="Technology"/>
    <x v="2"/>
    <s v="Copiers"/>
    <x v="6"/>
    <s v="Max Copiers 983"/>
    <s v="Standard Class"/>
    <x v="3"/>
    <s v="OK"/>
    <n v="2"/>
    <n v="2737.83"/>
    <n v="0.25"/>
    <n v="0.25"/>
    <s v="OK"/>
    <n v="4106.74"/>
    <n v="2666.3"/>
    <n v="1440.44"/>
    <n v="4106.7449999999999"/>
    <n v="1440.4449999999997"/>
    <x v="8"/>
    <s v="Paid"/>
    <x v="0"/>
    <s v="OK"/>
    <s v="Completed"/>
    <x v="0"/>
    <s v="OK"/>
    <s v="INVALID"/>
    <s v="MISMATCH"/>
    <s v="MISMATCH"/>
  </r>
  <r>
    <x v="9"/>
    <n v="1"/>
    <d v="2024-09-07T00:00:00"/>
    <d v="2024-09-07T00:00:00"/>
    <x v="5"/>
    <x v="0"/>
    <s v="09/12/2025"/>
    <d v="2025-09-12T00:00:00"/>
    <n v="370"/>
    <s v="OK"/>
    <s v="CUST-7656"/>
    <s v="Karan Malhotra"/>
    <s v="Karan Malhotra"/>
    <s v="Small Business"/>
    <x v="1"/>
    <s v="North"/>
    <x v="0"/>
    <s v="OK"/>
    <s v="Punjab"/>
    <s v="Punjab"/>
    <s v="Ludhiana"/>
    <s v="Ludhiana"/>
    <s v="Office Supplies"/>
    <x v="0"/>
    <s v="Storage"/>
    <x v="7"/>
    <s v="Classic Storage 198"/>
    <s v="Second Class"/>
    <x v="0"/>
    <s v="OK"/>
    <n v="6"/>
    <n v="3965.76"/>
    <n v="0"/>
    <n v="0"/>
    <s v="OK"/>
    <n v="23794.560000000001"/>
    <n v="15698.47"/>
    <n v="8096.09"/>
    <n v="23794.560000000001"/>
    <n v="8096.090000000002"/>
    <x v="9"/>
    <s v="Paid"/>
    <x v="0"/>
    <s v="OK"/>
    <s v="Completed"/>
    <x v="0"/>
    <s v="OK"/>
    <s v="CLEAN"/>
    <s v="MATCH"/>
    <s v="MATCH"/>
  </r>
  <r>
    <x v="10"/>
    <n v="1"/>
    <d v="2024-08-05T00:00:00"/>
    <d v="2024-08-05T00:00:00"/>
    <x v="1"/>
    <x v="0"/>
    <s v="05/20/2025"/>
    <d v="2025-05-20T00:00:00"/>
    <n v="288"/>
    <s v="OK"/>
    <s v="CUST-6214"/>
    <s v="Aarav Sharma"/>
    <s v="Aarav Sharma"/>
    <s v="Consumer"/>
    <x v="0"/>
    <s v="South"/>
    <x v="2"/>
    <s v="OK"/>
    <s v="Telangana"/>
    <s v="Telangana"/>
    <s v="Hyderabad"/>
    <s v="Hyderabad"/>
    <s v="Office Supplies"/>
    <x v="0"/>
    <s v="Art"/>
    <x v="2"/>
    <s v="Basic Art 204"/>
    <s v="First Class"/>
    <x v="2"/>
    <s v="OK"/>
    <n v="4"/>
    <n v="3323.51"/>
    <n v="0.25"/>
    <n v="0.25"/>
    <s v="OK"/>
    <n v="9970.5300000000007"/>
    <n v="5668.17"/>
    <n v="4302.3599999999997"/>
    <n v="9970.5300000000007"/>
    <n v="4302.3600000000006"/>
    <x v="10"/>
    <s v="Paid"/>
    <x v="0"/>
    <s v="OK"/>
    <s v="Completed"/>
    <x v="0"/>
    <s v="OK"/>
    <s v="CLEAN"/>
    <s v="MATCH"/>
    <s v="MATCH"/>
  </r>
  <r>
    <x v="11"/>
    <n v="1"/>
    <d v="2024-07-01T00:00:00"/>
    <d v="2024-07-01T00:00:00"/>
    <x v="0"/>
    <x v="0"/>
    <s v="23-07-2024"/>
    <d v="2024-07-23T00:00:00"/>
    <n v="22"/>
    <s v="OK"/>
    <s v="CUST-1626"/>
    <s v="Sneha Kapoor"/>
    <s v="Sneha Kapoor"/>
    <s v="Small Business"/>
    <x v="1"/>
    <s v="North"/>
    <x v="0"/>
    <s v="OK"/>
    <s v="Rajasthan"/>
    <s v="Rajasthan"/>
    <s v="Jaipur"/>
    <s v="Jaipur"/>
    <s v="Furniture"/>
    <x v="1"/>
    <s v="Furnishings"/>
    <x v="3"/>
    <s v="Basic Furnishings 434"/>
    <s v="Same Day"/>
    <x v="1"/>
    <s v="OK"/>
    <n v="5"/>
    <n v="1526.78"/>
    <n v="0"/>
    <n v="0"/>
    <s v="OK"/>
    <n v="7633.9"/>
    <n v="4706.91"/>
    <n v="2926.99"/>
    <n v="7633.9"/>
    <n v="2926.99"/>
    <x v="11"/>
    <s v="Paid"/>
    <x v="0"/>
    <s v="OK"/>
    <s v="Completed"/>
    <x v="0"/>
    <s v="OK"/>
    <s v="CLEAN"/>
    <s v="MATCH"/>
    <s v="MATCH"/>
  </r>
  <r>
    <x v="12"/>
    <n v="1"/>
    <d v="2024-07-27T00:00:00"/>
    <d v="2024-07-27T00:00:00"/>
    <x v="0"/>
    <x v="0"/>
    <s v="12/21/2024"/>
    <d v="2024-12-21T00:00:00"/>
    <n v="147"/>
    <s v="OK"/>
    <s v="CUST-3186"/>
    <s v="Rohan Mehta"/>
    <s v="Rohan Mehta"/>
    <s v="Home Office"/>
    <x v="3"/>
    <s v="West"/>
    <x v="3"/>
    <s v="OK"/>
    <s v="Madhya Pradesh"/>
    <s v="Madhya Pradesh"/>
    <s v="Indore"/>
    <s v="Indore"/>
    <s v="Office Supplies"/>
    <x v="0"/>
    <s v="Storage"/>
    <x v="7"/>
    <s v="Prime Storage 121"/>
    <s v="Second Class"/>
    <x v="0"/>
    <s v="OK"/>
    <n v="3"/>
    <n v="3887.94"/>
    <n v="-0.19"/>
    <n v="-0.19"/>
    <s v="Invalid Negative Discount"/>
    <n v="9331.06"/>
    <n v="7529.31"/>
    <n v="1801.75"/>
    <s v="INVALID"/>
    <s v="INVALID"/>
    <x v="12"/>
    <s v="Paid"/>
    <x v="0"/>
    <s v="OK"/>
    <s v="Completed"/>
    <x v="0"/>
    <s v="OK"/>
    <s v="INVALID"/>
    <s v="INVALID"/>
    <s v="INVALID"/>
  </r>
  <r>
    <x v="13"/>
    <n v="1"/>
    <d v="2024-04-03T00:00:00"/>
    <d v="2024-04-03T00:00:00"/>
    <x v="6"/>
    <x v="0"/>
    <s v="16-10-2025"/>
    <d v="2025-10-16T00:00:00"/>
    <n v="561"/>
    <s v="OK"/>
    <s v="CUST-1747"/>
    <s v="Diya Patel"/>
    <s v="Diya Patel"/>
    <s v="Consumer"/>
    <x v="0"/>
    <s v="North"/>
    <x v="0"/>
    <s v="OK"/>
    <s v="Punjab"/>
    <s v="Punjab"/>
    <s v="Ludhiana"/>
    <s v="Ludhiana"/>
    <s v="Office Supplies"/>
    <x v="0"/>
    <s v="Art"/>
    <x v="2"/>
    <s v="Max Art 215"/>
    <s v="Standard Class"/>
    <x v="3"/>
    <s v="OK"/>
    <n v="4"/>
    <n v="4492.9399999999996"/>
    <n v="0.25"/>
    <n v="0.25"/>
    <s v="OK"/>
    <n v="13478.82"/>
    <n v="10937.35"/>
    <n v="2541.4699999999998"/>
    <n v="13478.82"/>
    <n v="2541.4699999999993"/>
    <x v="13"/>
    <s v="Pending"/>
    <x v="1"/>
    <s v="OK"/>
    <s v="Cancelled"/>
    <x v="2"/>
    <s v="EXCLUDE_FROM_SALES"/>
    <s v="CLEAN"/>
    <s v="MATCH"/>
    <s v="MATCH"/>
  </r>
  <r>
    <x v="14"/>
    <n v="1"/>
    <d v="2024-10-11T00:00:00"/>
    <d v="2024-10-11T00:00:00"/>
    <x v="7"/>
    <x v="0"/>
    <s v="12/28/2024"/>
    <d v="2024-12-28T00:00:00"/>
    <n v="78"/>
    <s v="OK"/>
    <s v="CUST-1731"/>
    <s v="Arjun Bose"/>
    <s v="Arjun Bose"/>
    <s v="Corporate"/>
    <x v="2"/>
    <s v="East"/>
    <x v="1"/>
    <s v="OK"/>
    <s v="Assam"/>
    <s v="Assam"/>
    <s v="Guwahati"/>
    <s v="Guwahati"/>
    <s v="Technology"/>
    <x v="2"/>
    <s v="Accessories"/>
    <x v="4"/>
    <s v="Classic Accessories 478"/>
    <s v="First Class"/>
    <x v="2"/>
    <s v="OK"/>
    <n v="2"/>
    <n v="4315.2"/>
    <n v="0.15"/>
    <n v="0.15"/>
    <s v="OK"/>
    <n v="7335.84"/>
    <n v="4968.41"/>
    <n v="2367.4299999999998"/>
    <n v="7335.8399999999992"/>
    <n v="2367.4299999999994"/>
    <x v="14"/>
    <s v="Paid"/>
    <x v="0"/>
    <s v="OK"/>
    <s v="Completed"/>
    <x v="0"/>
    <s v="OK"/>
    <s v="CLEAN"/>
    <s v="MATCH"/>
    <s v="MATCH"/>
  </r>
  <r>
    <x v="15"/>
    <n v="1"/>
    <d v="2024-11-23T00:00:00"/>
    <d v="2024-11-23T00:00:00"/>
    <x v="2"/>
    <x v="0"/>
    <s v="09 Jul 2024"/>
    <d v="2024-07-09T00:00:00"/>
    <n v="-137"/>
    <s v="INVALID_SHIPPING"/>
    <s v="CUST-4401"/>
    <s v="Diya Patel"/>
    <s v="Diya Patel"/>
    <s v="Corporate"/>
    <x v="2"/>
    <s v="North"/>
    <x v="0"/>
    <s v="OK"/>
    <s v="Uttar Pradesh"/>
    <s v="Uttar Pradesh"/>
    <s v="Noida"/>
    <s v="Noida"/>
    <s v="Technology"/>
    <x v="2"/>
    <s v="Phones"/>
    <x v="8"/>
    <s v="Pro Phones 243"/>
    <s v="Standard Class"/>
    <x v="3"/>
    <s v="OK"/>
    <n v="4"/>
    <n v="716.13"/>
    <n v="0.1"/>
    <n v="0.1"/>
    <s v="OK"/>
    <n v="2578.0700000000002"/>
    <n v="1527.55"/>
    <n v="1050.52"/>
    <n v="2578.0680000000002"/>
    <n v="1050.5180000000003"/>
    <x v="15"/>
    <s v="Paid"/>
    <x v="0"/>
    <s v="OK"/>
    <s v="Returned"/>
    <x v="1"/>
    <s v="RETURNED_ORDER"/>
    <s v="INVALID"/>
    <s v="MATCH"/>
    <s v="MATCH"/>
  </r>
  <r>
    <x v="16"/>
    <n v="1"/>
    <d v="2024-10-11T00:00:00"/>
    <d v="2024-10-11T00:00:00"/>
    <x v="7"/>
    <x v="0"/>
    <s v="15-05-2024"/>
    <d v="2024-05-15T00:00:00"/>
    <n v="-149"/>
    <s v="INVALID_SHIPPING"/>
    <s v="CUST-1569"/>
    <s v="Ananya Rao"/>
    <s v="Ananya Rao"/>
    <s v="Home Office"/>
    <x v="3"/>
    <s v="West"/>
    <x v="3"/>
    <s v="OK"/>
    <s v="Gujarat"/>
    <s v="Gujarat"/>
    <s v="Ahmedabad"/>
    <s v="Ahmedabad"/>
    <s v="Technology"/>
    <x v="2"/>
    <s v="Phones"/>
    <x v="8"/>
    <s v="Prime Phones 698"/>
    <s v="Second Class"/>
    <x v="0"/>
    <s v="OK"/>
    <n v="2"/>
    <n v="1942.22"/>
    <n v="0.25"/>
    <n v="0.25"/>
    <s v="OK"/>
    <n v="2913.33"/>
    <n v="2122.33"/>
    <n v="791"/>
    <n v="2913.33"/>
    <n v="791"/>
    <x v="16"/>
    <s v="Refunded"/>
    <x v="2"/>
    <s v="REFUNDED_PAYMENT"/>
    <s v="Cancelled"/>
    <x v="2"/>
    <s v="EXCLUDE_FROM_SALES"/>
    <s v="INVALID"/>
    <s v="MATCH"/>
    <s v="MATCH"/>
  </r>
  <r>
    <x v="17"/>
    <n v="1"/>
    <d v="2024-09-02T00:00:00"/>
    <d v="2024-09-02T00:00:00"/>
    <x v="5"/>
    <x v="0"/>
    <s v="2024-01-08"/>
    <d v="2024-01-08T00:00:00"/>
    <n v="-238"/>
    <s v="INVALID_SHIPPING"/>
    <s v="CUST-8759"/>
    <s v="Ananya Rao"/>
    <s v="Ananya Rao"/>
    <s v="Corporate"/>
    <x v="2"/>
    <s v="West"/>
    <x v="3"/>
    <s v="OK"/>
    <s v="Goa"/>
    <s v="Goa"/>
    <s v="Panaji"/>
    <s v="Panaji"/>
    <s v="Office Supplies"/>
    <x v="0"/>
    <s v="Labels"/>
    <x v="5"/>
    <s v="Pro Labels 355"/>
    <s v="First Class"/>
    <x v="2"/>
    <s v="OK"/>
    <n v="1"/>
    <n v="3421.77"/>
    <n v="0.1"/>
    <n v="0.1"/>
    <s v="OK"/>
    <n v="3079.59"/>
    <n v="2001.89"/>
    <n v="1077.7"/>
    <n v="3079.5929999999998"/>
    <n v="1077.7029999999997"/>
    <x v="17"/>
    <s v="Paid"/>
    <x v="0"/>
    <s v="OK"/>
    <s v="Completed"/>
    <x v="0"/>
    <s v="OK"/>
    <s v="INVALID"/>
    <s v="MATCH"/>
    <s v="MATCH"/>
  </r>
  <r>
    <x v="18"/>
    <n v="1"/>
    <d v="2024-11-22T00:00:00"/>
    <d v="2024-11-22T00:00:00"/>
    <x v="2"/>
    <x v="0"/>
    <s v="17-07-2025"/>
    <d v="2025-07-17T00:00:00"/>
    <n v="237"/>
    <s v="OK"/>
    <s v="CUST-6509"/>
    <s v="Aarav Sharma"/>
    <s v="Aarav Sharma"/>
    <s v="Corporate"/>
    <x v="2"/>
    <s v="South"/>
    <x v="2"/>
    <s v="OK"/>
    <s v="Andhra Pradesh"/>
    <s v="Andhra Pradesh"/>
    <s v="Vijayawada"/>
    <s v="Vijayawada"/>
    <s v="Technology"/>
    <x v="2"/>
    <s v="Phones"/>
    <x v="8"/>
    <s v="Basic Phones 242"/>
    <s v="Second Class"/>
    <x v="0"/>
    <s v="OK"/>
    <n v="3"/>
    <n v="4001.25"/>
    <m/>
    <n v="0"/>
    <s v="Missing Discount"/>
    <n v="9002.81"/>
    <n v="7529.92"/>
    <n v="1472.89"/>
    <n v="12003.75"/>
    <n v="4473.83"/>
    <x v="18"/>
    <s v="Paid"/>
    <x v="0"/>
    <s v="OK"/>
    <s v="Completed"/>
    <x v="0"/>
    <s v="OK"/>
    <s v="INVALID"/>
    <s v="MISMATCH"/>
    <s v="MISMATCH"/>
  </r>
  <r>
    <x v="19"/>
    <n v="1"/>
    <d v="2024-07-22T00:00:00"/>
    <d v="2024-07-22T00:00:00"/>
    <x v="0"/>
    <x v="0"/>
    <s v="31 Jul 2024"/>
    <d v="2024-07-31T00:00:00"/>
    <n v="9"/>
    <s v="OK"/>
    <s v="CUST-6660"/>
    <s v="Priya Menon"/>
    <s v="Priya Menon"/>
    <s v="Home Office"/>
    <x v="3"/>
    <s v="West"/>
    <x v="3"/>
    <s v="OK"/>
    <s v="Goa"/>
    <s v="Goa"/>
    <s v="Panaji"/>
    <s v="Panaji"/>
    <s v="Furniture"/>
    <x v="1"/>
    <s v="Tables"/>
    <x v="1"/>
    <s v="Max Tables 836"/>
    <s v="Same Day"/>
    <x v="1"/>
    <s v="OK"/>
    <n v="7"/>
    <n v="492.41"/>
    <n v="0.25"/>
    <n v="0.25"/>
    <s v="OK"/>
    <n v="2585.15"/>
    <n v="2070.73"/>
    <n v="514.41999999999996"/>
    <n v="2585.1525000000001"/>
    <n v="514.42250000000013"/>
    <x v="19"/>
    <s v="Paid"/>
    <x v="0"/>
    <s v="OK"/>
    <s v="Completed"/>
    <x v="0"/>
    <s v="OK"/>
    <s v="CLEAN"/>
    <s v="MATCH"/>
    <s v="MATCH"/>
  </r>
  <r>
    <x v="20"/>
    <n v="1"/>
    <d v="2024-05-29T00:00:00"/>
    <d v="2024-05-29T00:00:00"/>
    <x v="3"/>
    <x v="0"/>
    <s v="23 Jan 2025"/>
    <d v="2025-01-23T00:00:00"/>
    <n v="239"/>
    <s v="OK"/>
    <s v="CUST-1611"/>
    <s v="Sneha Kapoor"/>
    <s v="Sneha Kapoor"/>
    <s v="Small Business"/>
    <x v="1"/>
    <s v="West"/>
    <x v="3"/>
    <s v="OK"/>
    <s v="Gujarat"/>
    <s v="Gujarat"/>
    <s v="Ahmedabad"/>
    <s v="Ahmedabad"/>
    <s v="Furniture"/>
    <x v="1"/>
    <s v="Bookcases"/>
    <x v="9"/>
    <s v="Prime Bookcases 414"/>
    <s v="Second Class"/>
    <x v="0"/>
    <s v="OK"/>
    <n v="8"/>
    <n v="2507.12"/>
    <n v="0.05"/>
    <n v="0.05"/>
    <s v="OK"/>
    <n v="19054.11"/>
    <n v="15313.83"/>
    <n v="3740.28"/>
    <n v="19054.111999999997"/>
    <n v="3740.2819999999974"/>
    <x v="20"/>
    <s v="Pending"/>
    <x v="1"/>
    <s v="OK"/>
    <s v="Returned"/>
    <x v="1"/>
    <s v="RETURNED_ORDER"/>
    <s v="CLEAN"/>
    <s v="MATCH"/>
    <s v="MATCH"/>
  </r>
  <r>
    <x v="21"/>
    <n v="1"/>
    <d v="2024-10-25T00:00:00"/>
    <d v="2024-10-25T00:00:00"/>
    <x v="7"/>
    <x v="0"/>
    <s v="01/30/2025"/>
    <d v="2025-01-30T00:00:00"/>
    <n v="97"/>
    <s v="OK"/>
    <s v="CUST-8296"/>
    <s v="Rohan Mehta"/>
    <s v="Rohan Mehta"/>
    <s v="Corporate"/>
    <x v="2"/>
    <s v="West"/>
    <x v="3"/>
    <s v="OK"/>
    <s v="Maharashtra"/>
    <s v="Maharashtra"/>
    <s v="Mumbai"/>
    <s v="Mumbai"/>
    <s v="Furniture"/>
    <x v="1"/>
    <s v="Bookcases"/>
    <x v="9"/>
    <s v="Eco Bookcases 220"/>
    <s v="Second Class"/>
    <x v="0"/>
    <s v="OK"/>
    <n v="3"/>
    <n v="3126.47"/>
    <n v="0"/>
    <n v="0"/>
    <s v="OK"/>
    <n v="9379.41"/>
    <n v="6670.85"/>
    <n v="2708.56"/>
    <n v="9379.41"/>
    <n v="2708.5599999999995"/>
    <x v="21"/>
    <s v="Paid"/>
    <x v="0"/>
    <s v="OK"/>
    <s v="Returned"/>
    <x v="1"/>
    <s v="RETURNED_ORDER"/>
    <s v="CLEAN"/>
    <s v="MATCH"/>
    <s v="MATCH"/>
  </r>
  <r>
    <x v="22"/>
    <n v="1"/>
    <d v="2024-06-17T00:00:00"/>
    <d v="2024-06-17T00:00:00"/>
    <x v="8"/>
    <x v="0"/>
    <s v="2025-01-21"/>
    <d v="2025-01-21T00:00:00"/>
    <n v="218"/>
    <s v="OK"/>
    <s v="CUST-8235"/>
    <s v="Aarav Sharma"/>
    <s v="Aarav Sharma"/>
    <s v="Corporate"/>
    <x v="2"/>
    <s v="West"/>
    <x v="3"/>
    <s v="OK"/>
    <s v="Gujarat"/>
    <s v="Gujarat"/>
    <s v="Ahmedabad"/>
    <s v="Ahmedabad"/>
    <s v="Technology"/>
    <x v="2"/>
    <s v="Phones"/>
    <x v="8"/>
    <s v="Prime Phones 507"/>
    <s v="First Class"/>
    <x v="2"/>
    <s v="OK"/>
    <n v="7"/>
    <n v="2210.6799999999998"/>
    <n v="0.1"/>
    <n v="0.1"/>
    <s v="OK"/>
    <n v="13927.28"/>
    <n v="10504.87"/>
    <n v="3422.41"/>
    <n v="13927.284"/>
    <n v="3422.4139999999989"/>
    <x v="22"/>
    <s v="Paid"/>
    <x v="0"/>
    <s v="OK"/>
    <s v="Completed"/>
    <x v="0"/>
    <s v="OK"/>
    <s v="CLEAN"/>
    <s v="MATCH"/>
    <s v="MATCH"/>
  </r>
  <r>
    <x v="23"/>
    <n v="1"/>
    <d v="2024-11-12T00:00:00"/>
    <d v="2024-11-12T00:00:00"/>
    <x v="2"/>
    <x v="0"/>
    <s v="31-08-2025"/>
    <d v="2025-08-31T00:00:00"/>
    <n v="292"/>
    <s v="OK"/>
    <s v="CUST-5830"/>
    <s v="Mira Das"/>
    <s v="Mira Das"/>
    <s v="Small Business"/>
    <x v="1"/>
    <s v="West"/>
    <x v="3"/>
    <s v="OK"/>
    <s v="Madhya Pradesh"/>
    <s v="Madhya Pradesh"/>
    <s v="Indore"/>
    <s v="Indore"/>
    <s v="Technology"/>
    <x v="2"/>
    <s v="Copiers"/>
    <x v="6"/>
    <s v="Classic Copiers 590"/>
    <s v="First Class"/>
    <x v="2"/>
    <s v="OK"/>
    <n v="4"/>
    <n v="1370.92"/>
    <n v="0.1"/>
    <n v="0.1"/>
    <s v="OK"/>
    <n v="4935.3100000000004"/>
    <n v="3374.77"/>
    <n v="1560.54"/>
    <n v="4935.3120000000008"/>
    <n v="1560.5420000000008"/>
    <x v="23"/>
    <s v="Pending"/>
    <x v="1"/>
    <s v="OK"/>
    <s v="Returned"/>
    <x v="1"/>
    <s v="RETURNED_ORDER"/>
    <s v="CLEAN"/>
    <s v="MATCH"/>
    <s v="MATCH"/>
  </r>
  <r>
    <x v="24"/>
    <n v="1"/>
    <d v="2024-10-10T00:00:00"/>
    <d v="2024-10-10T00:00:00"/>
    <x v="7"/>
    <x v="0"/>
    <s v="03/01/2024"/>
    <d v="2024-03-01T00:00:00"/>
    <n v="-223"/>
    <s v="INVALID_SHIPPING"/>
    <s v="CUST-7178"/>
    <s v="Isha Nair"/>
    <s v="Isha Nair"/>
    <s v="Home Office"/>
    <x v="3"/>
    <s v="West"/>
    <x v="3"/>
    <s v="OK"/>
    <s v="Rajasthan"/>
    <s v="Rajasthan"/>
    <s v="Udaipur"/>
    <s v="Udaipur"/>
    <s v="Technology"/>
    <x v="2"/>
    <s v="Copiers"/>
    <x v="6"/>
    <s v="Eco Copiers 865"/>
    <s v="Standard Class"/>
    <x v="3"/>
    <s v="OK"/>
    <n v="7"/>
    <n v="2509.27"/>
    <n v="0.2"/>
    <n v="0.2"/>
    <s v="OK"/>
    <n v="14051.91"/>
    <n v="11990.37"/>
    <n v="2061.54"/>
    <n v="14051.912"/>
    <n v="2061.5419999999995"/>
    <x v="24"/>
    <s v="Paid"/>
    <x v="0"/>
    <s v="OK"/>
    <s v="Completed"/>
    <x v="0"/>
    <s v="OK"/>
    <s v="INVALID"/>
    <s v="MATCH"/>
    <s v="MATCH"/>
  </r>
  <r>
    <x v="25"/>
    <n v="1"/>
    <d v="2024-12-03T00:00:00"/>
    <d v="2024-12-03T00:00:00"/>
    <x v="4"/>
    <x v="0"/>
    <s v="2024-10-19"/>
    <d v="2024-10-19T00:00:00"/>
    <n v="-45"/>
    <s v="INVALID_SHIPPING"/>
    <s v="CUST-3829"/>
    <s v="Aarav Sharma"/>
    <s v="Aarav Sharma"/>
    <s v="Small Business"/>
    <x v="1"/>
    <s v="East"/>
    <x v="1"/>
    <s v="OK"/>
    <s v="Odisha"/>
    <s v="Odisha"/>
    <s v="Bhubaneswar"/>
    <s v="Bhubaneswar"/>
    <s v="Furniture"/>
    <x v="1"/>
    <s v="Bookcases"/>
    <x v="9"/>
    <s v="Classic Bookcases 835"/>
    <s v="Same Day"/>
    <x v="1"/>
    <s v="OK"/>
    <n v="8"/>
    <n v="855.81"/>
    <n v="0"/>
    <n v="0"/>
    <s v="OK"/>
    <n v="6846.48"/>
    <n v="4239.8900000000003"/>
    <n v="2606.59"/>
    <n v="6846.48"/>
    <n v="2606.5899999999992"/>
    <x v="25"/>
    <s v="Pending"/>
    <x v="1"/>
    <s v="OK"/>
    <s v="Cancelled"/>
    <x v="2"/>
    <s v="EXCLUDE_FROM_SALES"/>
    <s v="INVALID"/>
    <s v="MATCH"/>
    <s v="MATCH"/>
  </r>
  <r>
    <x v="26"/>
    <n v="1"/>
    <d v="2024-08-07T00:00:00"/>
    <d v="2024-08-07T00:00:00"/>
    <x v="1"/>
    <x v="0"/>
    <s v="23 Nov 2024"/>
    <d v="2024-11-23T00:00:00"/>
    <n v="108"/>
    <s v="OK"/>
    <s v="CUST-7119"/>
    <s v="Priya Menon"/>
    <s v="Priya Menon"/>
    <s v="Small Business"/>
    <x v="1"/>
    <s v="East"/>
    <x v="1"/>
    <s v="OK"/>
    <s v="Odisha"/>
    <s v="Odisha"/>
    <s v="Bhubaneswar"/>
    <s v="Bhubaneswar"/>
    <s v="Furniture"/>
    <x v="1"/>
    <s v="Furnishings"/>
    <x v="3"/>
    <s v="Smart Furnishings 956"/>
    <s v="Same Day"/>
    <x v="1"/>
    <s v="OK"/>
    <n v="3"/>
    <n v="1010.23"/>
    <n v="0"/>
    <n v="0"/>
    <s v="OK"/>
    <n v="3030.69"/>
    <n v="1721.08"/>
    <n v="1309.6099999999999"/>
    <n v="3030.69"/>
    <n v="1309.6100000000001"/>
    <x v="26"/>
    <s v="Paid"/>
    <x v="0"/>
    <s v="OK"/>
    <s v="Completed"/>
    <x v="0"/>
    <s v="OK"/>
    <s v="CLEAN"/>
    <s v="MATCH"/>
    <s v="MATCH"/>
  </r>
  <r>
    <x v="27"/>
    <n v="1"/>
    <d v="2024-06-22T00:00:00"/>
    <d v="2024-06-22T00:00:00"/>
    <x v="8"/>
    <x v="0"/>
    <s v="05-10-2025"/>
    <d v="2025-05-10T00:00:00"/>
    <n v="322"/>
    <s v="OK"/>
    <s v="CUST-3373"/>
    <s v="Rohan Mehta"/>
    <s v="Rohan Mehta"/>
    <s v="Small Business"/>
    <x v="1"/>
    <s v="North"/>
    <x v="0"/>
    <s v="OK"/>
    <s v="Haryana"/>
    <s v="Haryana"/>
    <s v="Gurugram"/>
    <s v="Gurugram"/>
    <s v="Furniture"/>
    <x v="1"/>
    <s v="Chairs"/>
    <x v="10"/>
    <s v="Max Chairs 393"/>
    <s v="Standard Class"/>
    <x v="3"/>
    <s v="OK"/>
    <n v="9"/>
    <n v="3329.77"/>
    <n v="0.1"/>
    <n v="0.1"/>
    <s v="OK"/>
    <n v="26971.14"/>
    <n v="17376.2"/>
    <n v="9594.94"/>
    <n v="26971.137000000002"/>
    <n v="9594.9370000000017"/>
    <x v="27"/>
    <s v="Paid"/>
    <x v="0"/>
    <s v="OK"/>
    <s v="Completed"/>
    <x v="0"/>
    <s v="OK"/>
    <s v="CLEAN"/>
    <s v="MATCH"/>
    <s v="MATCH"/>
  </r>
  <r>
    <x v="28"/>
    <n v="1"/>
    <d v="2024-01-18T00:00:00"/>
    <d v="2024-01-18T00:00:00"/>
    <x v="9"/>
    <x v="0"/>
    <s v="18-10-2024"/>
    <d v="2024-10-18T00:00:00"/>
    <n v="274"/>
    <s v="OK"/>
    <s v="CUST-8896"/>
    <s v="Isha Nair"/>
    <s v="Isha Nair"/>
    <s v="Home Office"/>
    <x v="3"/>
    <s v="East"/>
    <x v="1"/>
    <s v="OK"/>
    <s v="Bihar"/>
    <s v="Bihar"/>
    <s v="Patna"/>
    <s v="Patna"/>
    <s v="Office Supplies"/>
    <x v="0"/>
    <s v="Art"/>
    <x v="2"/>
    <s v="Prime Art 221"/>
    <s v="Second Class"/>
    <x v="0"/>
    <s v="OK"/>
    <n v="8"/>
    <n v="3927.82"/>
    <n v="0.05"/>
    <n v="0.05"/>
    <s v="OK"/>
    <n v="29851.43"/>
    <n v="17487.48"/>
    <n v="12363.95"/>
    <n v="29851.432000000001"/>
    <n v="12363.952000000001"/>
    <x v="28"/>
    <s v="Pending"/>
    <x v="1"/>
    <s v="OK"/>
    <s v="Returned"/>
    <x v="1"/>
    <s v="RETURNED_ORDER"/>
    <s v="CLEAN"/>
    <s v="MATCH"/>
    <s v="MATCH"/>
  </r>
  <r>
    <x v="29"/>
    <n v="1"/>
    <d v="2024-07-19T00:00:00"/>
    <d v="2024-07-19T00:00:00"/>
    <x v="0"/>
    <x v="0"/>
    <s v="13-08-2025"/>
    <d v="2025-08-13T00:00:00"/>
    <n v="390"/>
    <s v="OK"/>
    <s v="CUST-8517"/>
    <s v="Ananya Rao"/>
    <s v="Ananya Rao"/>
    <s v="Small Business"/>
    <x v="1"/>
    <s v="South"/>
    <x v="2"/>
    <s v="OK"/>
    <s v="Kerala"/>
    <s v="Kerala"/>
    <s v="Kochi"/>
    <s v="Kochi"/>
    <s v="Furniture"/>
    <x v="1"/>
    <s v="Bookcases"/>
    <x v="9"/>
    <s v="Elite Bookcases 671"/>
    <s v="Standard Class"/>
    <x v="3"/>
    <s v="OK"/>
    <n v="9"/>
    <n v="2386.79"/>
    <n v="0.25"/>
    <n v="0.25"/>
    <s v="OK"/>
    <n v="16110.83"/>
    <n v="10680.03"/>
    <n v="5430.8"/>
    <n v="16110.8325"/>
    <n v="5430.8024999999998"/>
    <x v="29"/>
    <s v="Refunded"/>
    <x v="2"/>
    <s v="REFUNDED_PAYMENT"/>
    <s v="Returned"/>
    <x v="1"/>
    <s v="RETURNED_ORDER"/>
    <s v="CLEAN"/>
    <s v="MATCH"/>
    <s v="MATCH"/>
  </r>
  <r>
    <x v="30"/>
    <n v="1"/>
    <d v="2024-08-12T00:00:00"/>
    <d v="2024-08-12T00:00:00"/>
    <x v="1"/>
    <x v="0"/>
    <s v="02/12/2024"/>
    <d v="2024-02-12T00:00:00"/>
    <n v="-182"/>
    <s v="INVALID_SHIPPING"/>
    <s v="CUST-1987"/>
    <s v="Rahul Verma"/>
    <s v="Rahul Verma"/>
    <s v="Corporate"/>
    <x v="2"/>
    <s v="South"/>
    <x v="2"/>
    <s v="OK"/>
    <s v="Tamil Nadu"/>
    <s v="Tamil Nadu"/>
    <s v="Chennai"/>
    <s v="Chennai"/>
    <s v="Office Supplies"/>
    <x v="0"/>
    <s v="Storage"/>
    <x v="7"/>
    <s v="Max Storage 432"/>
    <s v="Standard Class"/>
    <x v="3"/>
    <s v="OK"/>
    <n v="8"/>
    <n v="2445.31"/>
    <n v="0.1"/>
    <n v="0.1"/>
    <s v="OK"/>
    <n v="17606.23"/>
    <n v="12438.96"/>
    <n v="5167.2700000000004"/>
    <n v="17606.232"/>
    <n v="5167.2720000000008"/>
    <x v="30"/>
    <s v="Paid"/>
    <x v="0"/>
    <s v="OK"/>
    <s v="Completed"/>
    <x v="0"/>
    <s v="OK"/>
    <s v="INVALID"/>
    <s v="MATCH"/>
    <s v="MATCH"/>
  </r>
  <r>
    <x v="31"/>
    <n v="1"/>
    <d v="2024-06-04T00:00:00"/>
    <d v="2024-06-04T00:00:00"/>
    <x v="8"/>
    <x v="0"/>
    <s v="19-06-2025"/>
    <d v="2025-06-19T00:00:00"/>
    <n v="380"/>
    <s v="OK"/>
    <s v="CUST-2380"/>
    <s v="Aarav Sharma"/>
    <s v="Aarav Sharma"/>
    <s v="Home Office"/>
    <x v="3"/>
    <s v="North"/>
    <x v="0"/>
    <s v="OK"/>
    <s v="Uttar Pradesh"/>
    <s v="Uttar Pradesh"/>
    <s v="Noida"/>
    <s v="Noida"/>
    <s v="Technology"/>
    <x v="2"/>
    <s v="Copiers"/>
    <x v="6"/>
    <s v="Classic Copiers 295"/>
    <s v="Second Class"/>
    <x v="0"/>
    <s v="OK"/>
    <n v="9"/>
    <n v="792.11"/>
    <n v="0.05"/>
    <n v="0.05"/>
    <s v="OK"/>
    <n v="6772.54"/>
    <n v="5755.46"/>
    <n v="1017.08"/>
    <n v="6772.5404999999992"/>
    <n v="1017.0804999999991"/>
    <x v="31"/>
    <s v="Paid"/>
    <x v="0"/>
    <s v="OK"/>
    <s v="Completed"/>
    <x v="0"/>
    <s v="OK"/>
    <s v="CLEAN"/>
    <s v="MATCH"/>
    <s v="MATCH"/>
  </r>
  <r>
    <x v="32"/>
    <n v="1"/>
    <d v="2024-04-24T00:00:00"/>
    <d v="2024-04-24T00:00:00"/>
    <x v="6"/>
    <x v="0"/>
    <s v="2024-11-26"/>
    <d v="2024-11-26T00:00:00"/>
    <n v="216"/>
    <s v="OK"/>
    <s v="CUST-3557"/>
    <s v="Ananya Rao"/>
    <s v="Ananya Rao"/>
    <s v="Corporate"/>
    <x v="2"/>
    <s v="South"/>
    <x v="2"/>
    <s v="OK"/>
    <s v="Telangana"/>
    <s v="Telangana"/>
    <s v="Hyderabad"/>
    <s v="Hyderabad"/>
    <s v="Office Supplies"/>
    <x v="0"/>
    <s v="Art"/>
    <x v="2"/>
    <s v="Pro Art 907"/>
    <s v="Standard Class"/>
    <x v="3"/>
    <s v="OK"/>
    <n v="6"/>
    <n v="1528.08"/>
    <n v="0"/>
    <n v="0"/>
    <s v="OK"/>
    <n v="9168.48"/>
    <n v="7439.77"/>
    <n v="1728.71"/>
    <n v="9168.48"/>
    <n v="1728.7099999999991"/>
    <x v="32"/>
    <s v="Paid"/>
    <x v="0"/>
    <s v="OK"/>
    <s v="Completed"/>
    <x v="0"/>
    <s v="OK"/>
    <s v="CLEAN"/>
    <s v="MATCH"/>
    <s v="MATCH"/>
  </r>
  <r>
    <x v="33"/>
    <n v="1"/>
    <d v="2024-10-26T00:00:00"/>
    <d v="2024-10-26T00:00:00"/>
    <x v="7"/>
    <x v="0"/>
    <s v="27-07-2024"/>
    <d v="2024-07-27T00:00:00"/>
    <n v="-91"/>
    <s v="INVALID_SHIPPING"/>
    <s v="CUST-2778"/>
    <s v="Kabir Singh"/>
    <s v="Kabir Singh"/>
    <s v="Small Business"/>
    <x v="1"/>
    <s v="North"/>
    <x v="0"/>
    <s v="OK"/>
    <s v="Rajasthan"/>
    <s v="Rajasthan"/>
    <s v="Jaipur"/>
    <s v="Jaipur"/>
    <s v="Furniture"/>
    <x v="1"/>
    <s v="Chairs"/>
    <x v="10"/>
    <s v="Pro Chairs 526"/>
    <s v="First Class"/>
    <x v="2"/>
    <s v="OK"/>
    <n v="9"/>
    <n v="1399.63"/>
    <n v="0"/>
    <n v="0"/>
    <s v="OK"/>
    <n v="12596.67"/>
    <n v="10603.29"/>
    <n v="1993.38"/>
    <n v="12596.670000000002"/>
    <n v="1993.380000000001"/>
    <x v="33"/>
    <s v="Failed"/>
    <x v="3"/>
    <s v="EXCLUDE_FROM_SALES"/>
    <s v="Cancelled"/>
    <x v="2"/>
    <s v="EXCLUDE_FROM_SALES"/>
    <s v="INVALID"/>
    <s v="MATCH"/>
    <s v="MATCH"/>
  </r>
  <r>
    <x v="34"/>
    <n v="1"/>
    <d v="2024-07-02T00:00:00"/>
    <d v="2024-07-02T00:00:00"/>
    <x v="0"/>
    <x v="0"/>
    <s v="2025-02-05"/>
    <d v="2025-02-05T00:00:00"/>
    <n v="218"/>
    <s v="OK"/>
    <s v="CUST-9941"/>
    <s v="Priya Menon"/>
    <s v="Priya Menon"/>
    <s v="Consumer"/>
    <x v="0"/>
    <s v="West"/>
    <x v="3"/>
    <s v="OK"/>
    <s v="Goa"/>
    <s v="Goa"/>
    <s v="Panaji"/>
    <s v="Panaji"/>
    <s v="Furniture"/>
    <x v="1"/>
    <s v="Chairs"/>
    <x v="10"/>
    <s v="Max Chairs 813"/>
    <s v="Same Day"/>
    <x v="1"/>
    <s v="OK"/>
    <n v="5"/>
    <n v="255.87"/>
    <n v="0"/>
    <n v="0"/>
    <s v="OK"/>
    <n v="1279.3499999999999"/>
    <n v="1091.54"/>
    <n v="187.81"/>
    <n v="1279.3499999999999"/>
    <n v="187.80999999999995"/>
    <x v="34"/>
    <s v="Paid"/>
    <x v="0"/>
    <s v="OK"/>
    <s v="Completed"/>
    <x v="0"/>
    <s v="OK"/>
    <s v="CLEAN"/>
    <s v="MATCH"/>
    <s v="MATCH"/>
  </r>
  <r>
    <x v="35"/>
    <n v="1"/>
    <d v="2024-01-09T00:00:00"/>
    <d v="2024-01-09T00:00:00"/>
    <x v="9"/>
    <x v="0"/>
    <s v="29 May 2024"/>
    <d v="2024-05-29T00:00:00"/>
    <n v="141"/>
    <s v="OK"/>
    <s v="CUST-3983"/>
    <s v="Isha Nair"/>
    <s v="Isha Nair"/>
    <s v="Home Office"/>
    <x v="3"/>
    <s v="North"/>
    <x v="0"/>
    <s v="OK"/>
    <s v="Rajasthan"/>
    <s v="Rajasthan"/>
    <s v="Jaipur"/>
    <s v="Jaipur"/>
    <s v="Office Supplies"/>
    <x v="0"/>
    <s v="Storage"/>
    <x v="7"/>
    <s v="Basic Storage 872"/>
    <m/>
    <x v="4"/>
    <s v="MISSING_SHIP_MODE"/>
    <n v="9"/>
    <n v="1389.48"/>
    <n v="0.1"/>
    <n v="0.1"/>
    <s v="OK"/>
    <n v="11254.79"/>
    <n v="6578.06"/>
    <n v="4676.7299999999996"/>
    <n v="11254.788"/>
    <n v="4676.7280000000001"/>
    <x v="35"/>
    <s v="Pending"/>
    <x v="1"/>
    <s v="OK"/>
    <s v="Returned"/>
    <x v="1"/>
    <s v="RETURNED_ORDER"/>
    <s v="WARNING"/>
    <s v="MATCH"/>
    <s v="MATCH"/>
  </r>
  <r>
    <x v="36"/>
    <n v="1"/>
    <d v="2024-07-20T00:00:00"/>
    <d v="2024-07-20T00:00:00"/>
    <x v="0"/>
    <x v="0"/>
    <s v="28 Oct 2024"/>
    <d v="2024-10-28T00:00:00"/>
    <n v="100"/>
    <s v="OK"/>
    <s v="CUST-2418"/>
    <s v="Priya Menon"/>
    <s v="Priya Menon"/>
    <s v="Corporate"/>
    <x v="2"/>
    <s v="East"/>
    <x v="1"/>
    <s v="OK"/>
    <s v="Assam"/>
    <s v="Assam"/>
    <s v="Guwahati"/>
    <s v="Guwahati"/>
    <s v="Office Supplies"/>
    <x v="0"/>
    <s v="Labels"/>
    <x v="5"/>
    <s v="Smart Labels 655"/>
    <s v="Same Day"/>
    <x v="1"/>
    <s v="OK"/>
    <n v="5"/>
    <n v="4133.8500000000004"/>
    <n v="0.2"/>
    <n v="0.2"/>
    <s v="OK"/>
    <n v="16535.400000000001"/>
    <n v="12990.21"/>
    <n v="3545.19"/>
    <n v="16535.400000000001"/>
    <n v="3545.1900000000023"/>
    <x v="36"/>
    <s v="Paid"/>
    <x v="0"/>
    <s v="OK"/>
    <s v="Cancelled"/>
    <x v="2"/>
    <s v="EXCLUDE_FROM_SALES"/>
    <s v="CLEAN"/>
    <s v="MATCH"/>
    <s v="MATCH"/>
  </r>
  <r>
    <x v="37"/>
    <n v="1"/>
    <d v="2024-07-13T00:00:00"/>
    <d v="2024-07-13T00:00:00"/>
    <x v="0"/>
    <x v="0"/>
    <s v="29-07-2025"/>
    <d v="2025-07-29T00:00:00"/>
    <n v="381"/>
    <s v="OK"/>
    <s v="CUST-2892"/>
    <s v="Ananya Rao"/>
    <s v="Ananya Rao"/>
    <s v="Corporate"/>
    <x v="2"/>
    <s v="East"/>
    <x v="1"/>
    <s v="OK"/>
    <s v="Assam"/>
    <s v="Assam"/>
    <s v="Guwahati"/>
    <s v="Guwahati"/>
    <s v="Office Supplies"/>
    <x v="0"/>
    <s v="Labels"/>
    <x v="5"/>
    <s v="Eco Labels 210"/>
    <s v="Same Day"/>
    <x v="1"/>
    <s v="OK"/>
    <n v="3"/>
    <n v="275.76"/>
    <n v="0.2"/>
    <n v="0.2"/>
    <s v="OK"/>
    <n v="661.82"/>
    <n v="481.47"/>
    <n v="180.35"/>
    <n v="661.82400000000007"/>
    <n v="180.35400000000004"/>
    <x v="37"/>
    <s v="Refunded"/>
    <x v="2"/>
    <s v="REFUNDED_PAYMENT"/>
    <s v="Cancelled"/>
    <x v="2"/>
    <s v="EXCLUDE_FROM_SALES"/>
    <s v="CLEAN"/>
    <s v="MATCH"/>
    <s v="MATCH"/>
  </r>
  <r>
    <x v="38"/>
    <n v="1"/>
    <d v="2024-04-16T00:00:00"/>
    <d v="2024-04-16T00:00:00"/>
    <x v="6"/>
    <x v="0"/>
    <s v="22-06-2024"/>
    <d v="2024-06-22T00:00:00"/>
    <n v="67"/>
    <s v="OK"/>
    <s v="CUST-7008"/>
    <s v="Vikram Iyer"/>
    <s v="Vikram Iyer"/>
    <s v="Home Office"/>
    <x v="3"/>
    <s v="East"/>
    <x v="1"/>
    <s v="OK"/>
    <s v="Bihar"/>
    <s v="Bihar"/>
    <s v="Patna"/>
    <s v="Patna"/>
    <s v="Furniture"/>
    <x v="1"/>
    <s v="Bookcases"/>
    <x v="9"/>
    <s v="Classic Bookcases 296"/>
    <s v="Standard Class"/>
    <x v="3"/>
    <s v="OK"/>
    <n v="1"/>
    <n v="949.59"/>
    <n v="0"/>
    <n v="0"/>
    <s v="OK"/>
    <n v="949.59"/>
    <n v="751.25"/>
    <n v="198.34"/>
    <n v="949.59"/>
    <n v="198.34000000000003"/>
    <x v="38"/>
    <s v="Paid"/>
    <x v="0"/>
    <s v="OK"/>
    <s v="Completed"/>
    <x v="0"/>
    <s v="OK"/>
    <s v="CLEAN"/>
    <s v="MATCH"/>
    <s v="MATCH"/>
  </r>
  <r>
    <x v="39"/>
    <n v="1"/>
    <d v="2024-10-30T00:00:00"/>
    <d v="2024-10-30T00:00:00"/>
    <x v="7"/>
    <x v="0"/>
    <s v="2024-12-11"/>
    <d v="2024-12-11T00:00:00"/>
    <n v="42"/>
    <s v="OK"/>
    <s v="CUST-4900"/>
    <s v="Sneha Kapoor"/>
    <s v="Sneha Kapoor"/>
    <s v="Home Office"/>
    <x v="3"/>
    <s v="North"/>
    <x v="0"/>
    <s v="OK"/>
    <s v="Rajasthan"/>
    <s v="Rajasthan"/>
    <s v="Jaipur"/>
    <s v="Jaipur"/>
    <s v="Technology"/>
    <x v="2"/>
    <s v="Phones"/>
    <x v="8"/>
    <s v="Basic Phones 230"/>
    <s v="Standard Class"/>
    <x v="3"/>
    <s v="OK"/>
    <n v="9"/>
    <n v="3042.29"/>
    <n v="0.2"/>
    <n v="0.2"/>
    <s v="OK"/>
    <n v="21904.49"/>
    <n v="13570.55"/>
    <n v="8333.94"/>
    <n v="21904.488000000001"/>
    <n v="8333.9380000000019"/>
    <x v="39"/>
    <s v="Paid"/>
    <x v="0"/>
    <s v="OK"/>
    <s v="Completed"/>
    <x v="0"/>
    <s v="OK"/>
    <s v="CLEAN"/>
    <s v="MATCH"/>
    <s v="MATCH"/>
  </r>
  <r>
    <x v="40"/>
    <n v="1"/>
    <d v="2024-01-25T00:00:00"/>
    <d v="2024-01-25T00:00:00"/>
    <x v="9"/>
    <x v="0"/>
    <s v="16 Oct 2024"/>
    <d v="2024-10-16T00:00:00"/>
    <n v="265"/>
    <s v="OK"/>
    <s v="CUST-5382"/>
    <s v="Sneha Kapoor"/>
    <s v="Sneha Kapoor"/>
    <s v="Home Office"/>
    <x v="3"/>
    <s v="North"/>
    <x v="0"/>
    <s v="OK"/>
    <s v="Haryana"/>
    <s v="Haryana"/>
    <s v="Gurugram"/>
    <s v="Gurugram"/>
    <s v="Office Supplies"/>
    <x v="0"/>
    <s v="Binders"/>
    <x v="11"/>
    <s v="Pro Binders 690"/>
    <s v="Same Day"/>
    <x v="1"/>
    <s v="OK"/>
    <n v="2"/>
    <n v="2832.77"/>
    <n v="0.15"/>
    <n v="0.15"/>
    <s v="OK"/>
    <n v="4815.71"/>
    <n v="3027.75"/>
    <n v="1917.47"/>
    <n v="4815.7089999999998"/>
    <n v="1787.9589999999998"/>
    <x v="40"/>
    <s v="Paid"/>
    <x v="0"/>
    <s v="OK"/>
    <s v="Completed"/>
    <x v="0"/>
    <s v="OK"/>
    <s v="CLEAN"/>
    <s v="MATCH"/>
    <s v="MISMATCH"/>
  </r>
  <r>
    <x v="41"/>
    <n v="1"/>
    <d v="2024-12-23T00:00:00"/>
    <d v="2024-12-23T00:00:00"/>
    <x v="4"/>
    <x v="0"/>
    <s v="17-03-2024"/>
    <d v="2024-03-17T00:00:00"/>
    <n v="-281"/>
    <s v="INVALID_SHIPPING"/>
    <s v="CUST-2749"/>
    <s v="Aarav Sharma"/>
    <s v="Aarav Sharma"/>
    <s v="Corporate"/>
    <x v="2"/>
    <s v="East"/>
    <x v="1"/>
    <s v="OK"/>
    <s v="Jharkhand"/>
    <s v="Jharkhand"/>
    <s v="Ranchi"/>
    <s v="Ranchi"/>
    <s v="Office Supplies"/>
    <x v="0"/>
    <s v="Paper"/>
    <x v="0"/>
    <s v="Classic Paper 458"/>
    <s v="First Class"/>
    <x v="2"/>
    <s v="OK"/>
    <n v="7"/>
    <n v="447.84"/>
    <n v="0"/>
    <n v="0"/>
    <s v="OK"/>
    <n v="3134.88"/>
    <n v="2367.63"/>
    <n v="767.25"/>
    <n v="3134.8799999999997"/>
    <n v="767.24999999999955"/>
    <x v="41"/>
    <s v="Refunded"/>
    <x v="2"/>
    <s v="REFUNDED_PAYMENT"/>
    <s v="Returned"/>
    <x v="1"/>
    <s v="RETURNED_ORDER"/>
    <s v="INVALID"/>
    <s v="MATCH"/>
    <s v="MATCH"/>
  </r>
  <r>
    <x v="42"/>
    <n v="1"/>
    <d v="2024-04-22T00:00:00"/>
    <d v="2024-04-22T00:00:00"/>
    <x v="6"/>
    <x v="0"/>
    <s v="15 Oct 2025"/>
    <d v="2025-10-15T00:00:00"/>
    <n v="541"/>
    <s v="OK"/>
    <s v="CUST-2463"/>
    <s v="Mira Das"/>
    <s v="Mira Das"/>
    <s v="Home Office"/>
    <x v="3"/>
    <s v="West"/>
    <x v="3"/>
    <s v="OK"/>
    <s v="Maharashtra"/>
    <s v="Maharashtra"/>
    <s v="Mumbai"/>
    <s v="Mumbai"/>
    <s v="Office Supplies"/>
    <x v="0"/>
    <s v="Paper"/>
    <x v="0"/>
    <s v="Pro Paper 552"/>
    <s v="Second Class"/>
    <x v="0"/>
    <s v="OK"/>
    <n v="1"/>
    <n v="4280.1899999999996"/>
    <n v="0.05"/>
    <n v="0.05"/>
    <s v="OK"/>
    <n v="4066.18"/>
    <n v="2628.92"/>
    <n v="1437.26"/>
    <n v="4066.1804999999995"/>
    <n v="1437.2604999999994"/>
    <x v="42"/>
    <s v="Paid"/>
    <x v="0"/>
    <s v="OK"/>
    <s v="Completed"/>
    <x v="0"/>
    <s v="OK"/>
    <s v="CLEAN"/>
    <s v="MATCH"/>
    <s v="MATCH"/>
  </r>
  <r>
    <x v="43"/>
    <n v="1"/>
    <d v="2024-10-11T00:00:00"/>
    <d v="2024-10-11T00:00:00"/>
    <x v="7"/>
    <x v="0"/>
    <s v="07/14/2024"/>
    <d v="2024-07-14T00:00:00"/>
    <n v="-89"/>
    <s v="INVALID_SHIPPING"/>
    <s v="CUST-6054"/>
    <s v="Isha Nair"/>
    <s v="Isha Nair"/>
    <s v="Corporate"/>
    <x v="2"/>
    <s v="East"/>
    <x v="1"/>
    <s v="OK"/>
    <s v="Jharkhand"/>
    <s v="Jharkhand"/>
    <s v="Ranchi"/>
    <s v="Ranchi"/>
    <s v="Office Supplies"/>
    <x v="0"/>
    <s v="Storage"/>
    <x v="7"/>
    <s v="Pro Storage 975"/>
    <s v="Second Class"/>
    <x v="0"/>
    <s v="OK"/>
    <n v="9"/>
    <n v="2211.12"/>
    <n v="0"/>
    <n v="0"/>
    <s v="OK"/>
    <n v="19900.080000000002"/>
    <n v="10962.66"/>
    <n v="8937.42"/>
    <n v="19900.079999999998"/>
    <n v="8937.4199999999983"/>
    <x v="43"/>
    <s v="Failed"/>
    <x v="3"/>
    <s v="EXCLUDE_FROM_SALES"/>
    <s v="Returned"/>
    <x v="1"/>
    <s v="RETURNED_ORDER"/>
    <s v="INVALID"/>
    <s v="MATCH"/>
    <s v="MATCH"/>
  </r>
  <r>
    <x v="44"/>
    <n v="1"/>
    <d v="2024-09-04T00:00:00"/>
    <d v="2024-09-04T00:00:00"/>
    <x v="5"/>
    <x v="0"/>
    <s v="25-06-2024"/>
    <d v="2024-06-25T00:00:00"/>
    <n v="-71"/>
    <s v="INVALID_SHIPPING"/>
    <s v="CUST-5979"/>
    <s v="Neha Gupta"/>
    <s v="Neha Gupta"/>
    <s v="Small Business"/>
    <x v="1"/>
    <s v="West"/>
    <x v="3"/>
    <s v="OK"/>
    <s v="Gujarat"/>
    <s v="Gujarat"/>
    <s v="Ahmedabad"/>
    <s v="Ahmedabad"/>
    <s v="Technology"/>
    <x v="2"/>
    <s v="Machines"/>
    <x v="12"/>
    <s v="Prime Machines 782"/>
    <s v="Same Day"/>
    <x v="1"/>
    <s v="OK"/>
    <n v="7"/>
    <n v="3417.09"/>
    <n v="0.1"/>
    <n v="0.1"/>
    <s v="OK"/>
    <n v="21527.67"/>
    <n v="18287.580000000002"/>
    <n v="3240.09"/>
    <n v="21527.667000000001"/>
    <n v="3240.0869999999995"/>
    <x v="44"/>
    <s v="Refunded"/>
    <x v="2"/>
    <s v="REFUNDED_PAYMENT"/>
    <s v="Returned"/>
    <x v="1"/>
    <s v="RETURNED_ORDER"/>
    <s v="INVALID"/>
    <s v="MATCH"/>
    <s v="MATCH"/>
  </r>
  <r>
    <x v="45"/>
    <n v="1"/>
    <d v="2024-11-02T00:00:00"/>
    <d v="2024-11-02T00:00:00"/>
    <x v="2"/>
    <x v="0"/>
    <s v="24-01-2024"/>
    <d v="2024-01-24T00:00:00"/>
    <n v="-283"/>
    <s v="INVALID_SHIPPING"/>
    <s v="CUST-5018"/>
    <s v="Karan Malhotra"/>
    <s v="Karan Malhotra"/>
    <s v="Home Office"/>
    <x v="3"/>
    <s v="South"/>
    <x v="2"/>
    <s v="OK"/>
    <s v="Tamil Nadu"/>
    <s v="Tamil Nadu"/>
    <s v="Chennai"/>
    <s v="Chennai"/>
    <s v="Furniture"/>
    <x v="1"/>
    <s v="Tables"/>
    <x v="1"/>
    <s v="Prime Tables 902"/>
    <s v="First Class"/>
    <x v="2"/>
    <s v="OK"/>
    <n v="7"/>
    <n v="2287.4699999999998"/>
    <n v="0.15"/>
    <n v="0.15"/>
    <s v="OK"/>
    <n v="13610.45"/>
    <n v="10039.049999999999"/>
    <n v="3571.4"/>
    <n v="13610.446499999998"/>
    <n v="3571.3964999999989"/>
    <x v="45"/>
    <s v="Paid"/>
    <x v="0"/>
    <s v="OK"/>
    <s v="Completed"/>
    <x v="0"/>
    <s v="OK"/>
    <s v="INVALID"/>
    <s v="MATCH"/>
    <s v="MATCH"/>
  </r>
  <r>
    <x v="46"/>
    <n v="1"/>
    <d v="2024-03-11T00:00:00"/>
    <d v="2024-03-11T00:00:00"/>
    <x v="10"/>
    <x v="0"/>
    <s v="19-07-2024"/>
    <d v="2024-07-19T00:00:00"/>
    <n v="130"/>
    <s v="OK"/>
    <s v="CUST-2642"/>
    <s v="Ananya Rao"/>
    <s v="Ananya Rao"/>
    <s v="Corporate"/>
    <x v="2"/>
    <s v="East"/>
    <x v="1"/>
    <s v="OK"/>
    <s v="Jharkhand"/>
    <s v="Jharkhand"/>
    <s v="Ranchi"/>
    <s v="Ranchi"/>
    <s v="Office Supplies"/>
    <x v="0"/>
    <s v="Labels"/>
    <x v="5"/>
    <s v="Max Labels 617"/>
    <s v="Second Class"/>
    <x v="0"/>
    <s v="OK"/>
    <n v="3"/>
    <n v="3406.27"/>
    <n v="0"/>
    <n v="0"/>
    <s v="OK"/>
    <n v="10218.81"/>
    <n v="7616.97"/>
    <n v="2601.84"/>
    <n v="10218.81"/>
    <n v="2601.8399999999992"/>
    <x v="46"/>
    <s v="Paid"/>
    <x v="0"/>
    <s v="OK"/>
    <s v="Completed"/>
    <x v="0"/>
    <s v="OK"/>
    <s v="CLEAN"/>
    <s v="MATCH"/>
    <s v="MATCH"/>
  </r>
  <r>
    <x v="47"/>
    <n v="1"/>
    <d v="2024-10-08T00:00:00"/>
    <d v="2024-10-08T00:00:00"/>
    <x v="7"/>
    <x v="0"/>
    <s v="2024-08-12"/>
    <d v="2024-08-12T00:00:00"/>
    <n v="-57"/>
    <s v="INVALID_SHIPPING"/>
    <s v="CUST-2094"/>
    <s v="Aarav Sharma"/>
    <s v="Aarav Sharma"/>
    <s v="Small Business"/>
    <x v="1"/>
    <s v="North"/>
    <x v="0"/>
    <s v="OK"/>
    <s v="Delhi"/>
    <s v="Delhi"/>
    <s v="New Delhi"/>
    <s v="New Delhi"/>
    <s v="Office Supplies"/>
    <x v="0"/>
    <s v="Storage"/>
    <x v="7"/>
    <s v="Elite Storage 371"/>
    <s v="Second Class"/>
    <x v="0"/>
    <s v="OK"/>
    <n v="4"/>
    <n v="1182.32"/>
    <n v="0.1"/>
    <n v="0.1"/>
    <s v="OK"/>
    <n v="4256.3500000000004"/>
    <n v="2495.33"/>
    <n v="1761.02"/>
    <n v="4256.3519999999999"/>
    <n v="1761.0219999999999"/>
    <x v="47"/>
    <s v="Pending"/>
    <x v="1"/>
    <s v="OK"/>
    <s v="Returned"/>
    <x v="1"/>
    <s v="RETURNED_ORDER"/>
    <s v="INVALID"/>
    <s v="MATCH"/>
    <s v="MATCH"/>
  </r>
  <r>
    <x v="48"/>
    <n v="1"/>
    <d v="2024-03-08T00:00:00"/>
    <d v="2024-03-08T00:00:00"/>
    <x v="10"/>
    <x v="0"/>
    <s v="05 Feb 2025"/>
    <d v="2025-02-05T00:00:00"/>
    <n v="334"/>
    <s v="OK"/>
    <s v="CUST-6516"/>
    <s v="Arjun Bose"/>
    <s v="Arjun Bose"/>
    <s v="Consumer"/>
    <x v="0"/>
    <s v="North"/>
    <x v="0"/>
    <s v="OK"/>
    <s v="Uttar Pradesh"/>
    <s v="Uttar Pradesh"/>
    <s v="Noida"/>
    <s v="Noida"/>
    <s v="Technology"/>
    <x v="2"/>
    <s v="Copiers"/>
    <x v="6"/>
    <s v="Smart Copiers 702"/>
    <s v="Second Class"/>
    <x v="0"/>
    <s v="OK"/>
    <n v="6"/>
    <n v="1001.73"/>
    <n v="0"/>
    <n v="0"/>
    <s v="OK"/>
    <n v="6010.38"/>
    <n v="3762.85"/>
    <n v="2247.5300000000002"/>
    <n v="6010.38"/>
    <n v="2247.5300000000002"/>
    <x v="48"/>
    <s v="Failed"/>
    <x v="3"/>
    <s v="EXCLUDE_FROM_SALES"/>
    <s v="Returned"/>
    <x v="1"/>
    <s v="RETURNED_ORDER"/>
    <s v="CLEAN"/>
    <s v="MATCH"/>
    <s v="MATCH"/>
  </r>
  <r>
    <x v="49"/>
    <n v="1"/>
    <d v="2024-10-26T00:00:00"/>
    <d v="2024-10-26T00:00:00"/>
    <x v="7"/>
    <x v="0"/>
    <s v="13 Apr 2024"/>
    <d v="2024-04-13T00:00:00"/>
    <n v="-196"/>
    <s v="INVALID_SHIPPING"/>
    <s v="CUST-4989"/>
    <s v="Aditi Sen"/>
    <s v="Aditi Sen"/>
    <s v="Home Office"/>
    <x v="3"/>
    <s v="West"/>
    <x v="3"/>
    <s v="OK"/>
    <s v="Maharashtra"/>
    <s v="Maharashtra"/>
    <s v="Mumbai"/>
    <s v="Mumbai"/>
    <s v="Furniture"/>
    <x v="1"/>
    <s v="Tables"/>
    <x v="1"/>
    <s v="Elite Tables 362"/>
    <s v="Second Class"/>
    <x v="0"/>
    <s v="OK"/>
    <n v="9"/>
    <n v="131.74"/>
    <n v="0.2"/>
    <n v="0.2"/>
    <s v="OK"/>
    <n v="948.53"/>
    <n v="674.62"/>
    <n v="273.91000000000003"/>
    <n v="948.52800000000013"/>
    <n v="273.90800000000013"/>
    <x v="49"/>
    <s v="Paid"/>
    <x v="0"/>
    <s v="OK"/>
    <s v="Completed"/>
    <x v="0"/>
    <s v="OK"/>
    <s v="INVALID"/>
    <s v="MATCH"/>
    <s v="MATCH"/>
  </r>
  <r>
    <x v="50"/>
    <n v="1"/>
    <d v="2024-01-10T00:00:00"/>
    <d v="2024-01-10T00:00:00"/>
    <x v="9"/>
    <x v="0"/>
    <s v="19 May 2025"/>
    <d v="2025-05-19T00:00:00"/>
    <n v="495"/>
    <s v="OK"/>
    <s v="CUST-3758"/>
    <s v="Rohan Mehta"/>
    <s v="Rohan Mehta"/>
    <s v="Corporate"/>
    <x v="2"/>
    <s v="South"/>
    <x v="2"/>
    <s v="OK"/>
    <s v="Tamil Nadu"/>
    <s v="Tamil Nadu"/>
    <s v="Chennai"/>
    <s v="Chennai"/>
    <s v="Technology"/>
    <x v="2"/>
    <s v="Phones"/>
    <x v="8"/>
    <s v="Elite Phones 781"/>
    <s v="Second Class"/>
    <x v="0"/>
    <s v="OK"/>
    <n v="6"/>
    <n v="570.28"/>
    <n v="0.2"/>
    <n v="0.2"/>
    <s v="OK"/>
    <n v="2737.34"/>
    <n v="2085.44"/>
    <n v="651.9"/>
    <n v="2737.3440000000001"/>
    <n v="651.904"/>
    <x v="50"/>
    <s v="Paid"/>
    <x v="0"/>
    <s v="OK"/>
    <s v="Completed"/>
    <x v="0"/>
    <s v="OK"/>
    <s v="CLEAN"/>
    <s v="MATCH"/>
    <s v="MATCH"/>
  </r>
  <r>
    <x v="51"/>
    <n v="1"/>
    <d v="2024-07-30T00:00:00"/>
    <d v="2024-07-30T00:00:00"/>
    <x v="0"/>
    <x v="0"/>
    <s v="29 Apr 2024"/>
    <d v="2024-04-29T00:00:00"/>
    <n v="-92"/>
    <s v="INVALID_SHIPPING"/>
    <s v="CUST-6702"/>
    <s v="Kabir Singh"/>
    <s v="Kabir Singh"/>
    <s v="Corporate"/>
    <x v="2"/>
    <s v="North"/>
    <x v="0"/>
    <s v="OK"/>
    <s v="Delhi"/>
    <s v="Delhi"/>
    <s v="New Delhi"/>
    <s v="New Delhi"/>
    <s v="Office Supplies"/>
    <x v="0"/>
    <s v="Binders"/>
    <x v="11"/>
    <s v="Eco Binders 456"/>
    <s v="Standard Class"/>
    <x v="3"/>
    <s v="OK"/>
    <n v="1"/>
    <n v="608.64"/>
    <n v="0"/>
    <n v="0"/>
    <s v="OK"/>
    <n v="608.64"/>
    <n v="343.99"/>
    <n v="264.64999999999998"/>
    <n v="608.64"/>
    <n v="264.64999999999998"/>
    <x v="51"/>
    <s v="Paid"/>
    <x v="0"/>
    <s v="OK"/>
    <s v="Cancelled"/>
    <x v="2"/>
    <s v="EXCLUDE_FROM_SALES"/>
    <s v="INVALID"/>
    <s v="MATCH"/>
    <s v="MATCH"/>
  </r>
  <r>
    <x v="52"/>
    <n v="1"/>
    <d v="2024-01-07T00:00:00"/>
    <d v="2024-01-07T00:00:00"/>
    <x v="9"/>
    <x v="0"/>
    <s v="2024-10-28"/>
    <d v="2024-10-28T00:00:00"/>
    <n v="295"/>
    <s v="OK"/>
    <s v="CUST-9148"/>
    <s v="Ananya Rao"/>
    <s v="Ananya Rao"/>
    <s v="Small Business"/>
    <x v="1"/>
    <s v="North"/>
    <x v="0"/>
    <s v="OK"/>
    <s v="Delhi"/>
    <s v="Delhi"/>
    <s v="New Delhi"/>
    <s v="New Delhi"/>
    <s v="Technology"/>
    <x v="2"/>
    <s v="Copiers"/>
    <x v="6"/>
    <s v="Basic Copiers 525"/>
    <s v="Second Class"/>
    <x v="0"/>
    <s v="OK"/>
    <n v="3"/>
    <n v="885.28"/>
    <n v="0.1"/>
    <n v="0.1"/>
    <s v="OK"/>
    <n v="2390.2600000000002"/>
    <n v="1495.94"/>
    <n v="894.32"/>
    <n v="2390.2560000000003"/>
    <n v="894.31600000000026"/>
    <x v="52"/>
    <s v="Refunded"/>
    <x v="2"/>
    <s v="REFUNDED_PAYMENT"/>
    <s v="Cancelled"/>
    <x v="2"/>
    <s v="EXCLUDE_FROM_SALES"/>
    <s v="CLEAN"/>
    <s v="MATCH"/>
    <s v="MATCH"/>
  </r>
  <r>
    <x v="53"/>
    <n v="1"/>
    <d v="2024-08-02T00:00:00"/>
    <d v="2024-08-02T00:00:00"/>
    <x v="1"/>
    <x v="0"/>
    <s v="2025-03-31"/>
    <d v="2025-03-31T00:00:00"/>
    <n v="241"/>
    <s v="OK"/>
    <s v="CUST-5829"/>
    <s v="Vikram Iyer"/>
    <s v="Vikram Iyer"/>
    <s v="Consumer"/>
    <x v="0"/>
    <s v="East"/>
    <x v="1"/>
    <s v="OK"/>
    <s v="Assam"/>
    <s v="Assam"/>
    <s v="Guwahati"/>
    <s v="Guwahati"/>
    <s v="Office Supplies"/>
    <x v="0"/>
    <s v="Binders"/>
    <x v="11"/>
    <s v="Eco Binders 258"/>
    <s v="Standard Class"/>
    <x v="3"/>
    <s v="OK"/>
    <n v="7"/>
    <n v="3345.22"/>
    <n v="0"/>
    <n v="0"/>
    <s v="OK"/>
    <n v="23416.54"/>
    <n v="15490.89"/>
    <n v="7925.65"/>
    <n v="23416.539999999997"/>
    <n v="7925.6499999999978"/>
    <x v="53"/>
    <s v="Paid"/>
    <x v="0"/>
    <s v="OK"/>
    <s v="Completed"/>
    <x v="0"/>
    <s v="OK"/>
    <s v="CLEAN"/>
    <s v="MATCH"/>
    <s v="MATCH"/>
  </r>
  <r>
    <x v="54"/>
    <n v="1"/>
    <d v="2024-03-24T00:00:00"/>
    <d v="2024-03-24T00:00:00"/>
    <x v="10"/>
    <x v="0"/>
    <s v="2025-06-02"/>
    <d v="2025-06-02T00:00:00"/>
    <n v="435"/>
    <s v="OK"/>
    <s v="CUST-6059"/>
    <s v="Rohan Mehta"/>
    <s v="Rohan Mehta"/>
    <s v="Small Business"/>
    <x v="1"/>
    <s v="West"/>
    <x v="3"/>
    <s v="OK"/>
    <s v="Maharashtra"/>
    <s v="Maharashtra"/>
    <s v="Mumbai"/>
    <s v="Mumbai"/>
    <s v="Furniture"/>
    <x v="1"/>
    <s v="Bookcases"/>
    <x v="9"/>
    <s v="Max Bookcases 398"/>
    <s v="Standard Class"/>
    <x v="3"/>
    <s v="OK"/>
    <n v="2"/>
    <n v="3284.75"/>
    <n v="0.05"/>
    <n v="0.05"/>
    <s v="OK"/>
    <n v="6241.02"/>
    <n v="5345.88"/>
    <n v="895.14"/>
    <n v="6241.0249999999996"/>
    <n v="895.14499999999953"/>
    <x v="54"/>
    <s v="Paid"/>
    <x v="0"/>
    <s v="OK"/>
    <s v="Completed"/>
    <x v="0"/>
    <s v="OK"/>
    <s v="CLEAN"/>
    <s v="MISMATCH"/>
    <s v="MISMATCH"/>
  </r>
  <r>
    <x v="55"/>
    <n v="1"/>
    <d v="2024-05-09T00:00:00"/>
    <d v="2024-05-09T00:00:00"/>
    <x v="3"/>
    <x v="0"/>
    <s v="03-07-2025"/>
    <d v="2025-03-07T00:00:00"/>
    <n v="302"/>
    <s v="OK"/>
    <s v="CUST-7744"/>
    <s v="Kabir Singh"/>
    <s v="Kabir Singh"/>
    <s v="Consumer"/>
    <x v="0"/>
    <s v="South"/>
    <x v="2"/>
    <s v="OK"/>
    <s v="Andhra Pradesh"/>
    <s v="Andhra Pradesh"/>
    <s v="Vijayawada"/>
    <s v="Vijayawada"/>
    <s v="Furniture"/>
    <x v="1"/>
    <s v="Bookcases"/>
    <x v="9"/>
    <s v="Smart Bookcases 857"/>
    <s v="Standard Class"/>
    <x v="3"/>
    <s v="OK"/>
    <n v="7"/>
    <n v="3761.09"/>
    <n v="0.2"/>
    <n v="0.2"/>
    <s v="OK"/>
    <n v="21062.1"/>
    <n v="12057.13"/>
    <n v="9004.9699999999993"/>
    <n v="21062.104000000003"/>
    <n v="9004.9740000000038"/>
    <x v="55"/>
    <s v="Pending"/>
    <x v="1"/>
    <s v="OK"/>
    <s v="Cancelled"/>
    <x v="2"/>
    <s v="EXCLUDE_FROM_SALES"/>
    <s v="CLEAN"/>
    <s v="MATCH"/>
    <s v="MATCH"/>
  </r>
  <r>
    <x v="56"/>
    <n v="1"/>
    <d v="2024-07-01T00:00:00"/>
    <d v="2024-07-01T00:00:00"/>
    <x v="0"/>
    <x v="0"/>
    <s v="06-01-2025"/>
    <d v="2025-06-01T00:00:00"/>
    <n v="335"/>
    <s v="OK"/>
    <s v="CUST-6106"/>
    <s v="Rohan Mehta"/>
    <s v="Rohan Mehta"/>
    <s v="Corporate"/>
    <x v="2"/>
    <s v="North"/>
    <x v="0"/>
    <s v="OK"/>
    <s v="Uttar Pradesh"/>
    <s v="Uttar Pradesh"/>
    <s v="Noida"/>
    <s v="Noida"/>
    <s v="Office Supplies"/>
    <x v="0"/>
    <s v="Binders"/>
    <x v="11"/>
    <s v="Eco Binders 780"/>
    <s v="Standard Class"/>
    <x v="3"/>
    <s v="OK"/>
    <n v="7"/>
    <n v="2788.97"/>
    <n v="-0.09"/>
    <n v="-0.09"/>
    <s v="Invalid Negative Discount"/>
    <n v="19522.79"/>
    <n v="12455.78"/>
    <n v="7067.01"/>
    <s v="INVALID"/>
    <s v="INVALID"/>
    <x v="12"/>
    <s v="Paid"/>
    <x v="0"/>
    <s v="OK"/>
    <s v="Completed"/>
    <x v="0"/>
    <s v="OK"/>
    <s v="INVALID"/>
    <s v="INVALID"/>
    <s v="INVALID"/>
  </r>
  <r>
    <x v="57"/>
    <n v="1"/>
    <d v="2024-06-09T00:00:00"/>
    <d v="2024-06-09T00:00:00"/>
    <x v="8"/>
    <x v="0"/>
    <s v="15 Feb 2024"/>
    <d v="2024-02-15T00:00:00"/>
    <n v="-115"/>
    <s v="INVALID_SHIPPING"/>
    <s v="CUST-1926"/>
    <s v="Diya Patel"/>
    <s v="Diya Patel"/>
    <s v="Consumer"/>
    <x v="0"/>
    <s v="North"/>
    <x v="0"/>
    <s v="OK"/>
    <s v="Haryana"/>
    <s v="Haryana"/>
    <s v="Gurugram"/>
    <s v="Gurugram"/>
    <s v="Technology"/>
    <x v="2"/>
    <s v="Phones"/>
    <x v="8"/>
    <s v="Elite Phones 723"/>
    <s v="Second Class"/>
    <x v="0"/>
    <s v="OK"/>
    <n v="7"/>
    <n v="3781.53"/>
    <n v="0"/>
    <n v="0"/>
    <s v="OK"/>
    <n v="26470.71"/>
    <n v="21367.599999999999"/>
    <n v="5103.1099999999997"/>
    <n v="26470.710000000003"/>
    <n v="5103.1100000000042"/>
    <x v="56"/>
    <s v="Pending"/>
    <x v="1"/>
    <s v="OK"/>
    <s v="Cancelled"/>
    <x v="2"/>
    <s v="EXCLUDE_FROM_SALES"/>
    <s v="INVALID"/>
    <s v="MATCH"/>
    <s v="MATCH"/>
  </r>
  <r>
    <x v="58"/>
    <n v="1"/>
    <d v="2024-05-06T00:00:00"/>
    <d v="2024-05-06T00:00:00"/>
    <x v="3"/>
    <x v="0"/>
    <s v="2024-09-07"/>
    <d v="2024-09-07T00:00:00"/>
    <n v="124"/>
    <s v="OK"/>
    <s v="CUST-7283"/>
    <s v="Rahul Verma"/>
    <s v="Rahul Verma"/>
    <s v="Home Office"/>
    <x v="3"/>
    <s v="East"/>
    <x v="1"/>
    <s v="OK"/>
    <s v="Odisha"/>
    <s v="Odisha"/>
    <s v="Bhubaneswar"/>
    <s v="Bhubaneswar"/>
    <s v="Technology"/>
    <x v="2"/>
    <s v="Copiers"/>
    <x v="6"/>
    <s v="Smart Copiers 547"/>
    <s v="Second Class"/>
    <x v="0"/>
    <s v="OK"/>
    <n v="2"/>
    <n v="2259.2399999999998"/>
    <n v="0.15"/>
    <n v="0.15"/>
    <s v="OK"/>
    <n v="3840.71"/>
    <n v="2516.29"/>
    <n v="1324.42"/>
    <n v="3840.7079999999996"/>
    <n v="1324.4179999999997"/>
    <x v="57"/>
    <s v="Paid"/>
    <x v="0"/>
    <s v="OK"/>
    <s v="Completed"/>
    <x v="0"/>
    <s v="OK"/>
    <s v="CLEAN"/>
    <s v="MATCH"/>
    <s v="MATCH"/>
  </r>
  <r>
    <x v="59"/>
    <n v="1"/>
    <d v="2024-01-26T00:00:00"/>
    <d v="2024-01-26T00:00:00"/>
    <x v="9"/>
    <x v="0"/>
    <s v="25 Jul 2024"/>
    <d v="2024-07-25T00:00:00"/>
    <n v="181"/>
    <s v="OK"/>
    <s v="CUST-5434"/>
    <s v="Rohan Mehta"/>
    <s v="Rohan Mehta"/>
    <s v="Home Office"/>
    <x v="3"/>
    <s v="South"/>
    <x v="2"/>
    <s v="OK"/>
    <s v="Kerala"/>
    <s v="Kerala"/>
    <s v="Kochi"/>
    <s v="Kochi"/>
    <s v="Technology"/>
    <x v="2"/>
    <s v="Copiers"/>
    <x v="6"/>
    <s v="Elite Copiers 785"/>
    <m/>
    <x v="4"/>
    <s v="MISSING_SHIP_MODE"/>
    <n v="8"/>
    <n v="2108.9299999999998"/>
    <n v="0.1"/>
    <n v="0.1"/>
    <s v="OK"/>
    <n v="15184.3"/>
    <n v="11270.74"/>
    <n v="3913.56"/>
    <n v="15184.295999999998"/>
    <n v="3913.5559999999987"/>
    <x v="58"/>
    <s v="Paid"/>
    <x v="0"/>
    <s v="OK"/>
    <s v="Completed"/>
    <x v="0"/>
    <s v="OK"/>
    <s v="WARNING"/>
    <s v="MATCH"/>
    <s v="MATCH"/>
  </r>
  <r>
    <x v="60"/>
    <n v="1"/>
    <d v="2024-06-22T00:00:00"/>
    <d v="2024-06-22T00:00:00"/>
    <x v="8"/>
    <x v="0"/>
    <s v="2024-07-19"/>
    <d v="2024-07-19T00:00:00"/>
    <n v="27"/>
    <s v="OK"/>
    <s v="CUST-7909"/>
    <s v="Rohan Mehta"/>
    <s v="Rohan Mehta"/>
    <s v="Home Office"/>
    <x v="3"/>
    <s v="East"/>
    <x v="1"/>
    <s v="OK"/>
    <s v="Bihar"/>
    <s v="Bihar"/>
    <s v="Patna"/>
    <s v="Patna"/>
    <s v="Furniture"/>
    <x v="1"/>
    <s v="Furnishings"/>
    <x v="3"/>
    <s v="Classic Furnishings 682"/>
    <s v="First Class"/>
    <x v="2"/>
    <s v="OK"/>
    <n v="5"/>
    <n v="4396.5200000000004"/>
    <n v="0.25"/>
    <n v="0.25"/>
    <s v="OK"/>
    <n v="16486.95"/>
    <n v="12054.14"/>
    <n v="4432.8100000000004"/>
    <n v="16486.95"/>
    <n v="4432.8100000000013"/>
    <x v="59"/>
    <s v="Paid"/>
    <x v="0"/>
    <s v="OK"/>
    <s v="Completed"/>
    <x v="0"/>
    <s v="OK"/>
    <s v="CLEAN"/>
    <s v="MATCH"/>
    <s v="MATCH"/>
  </r>
  <r>
    <x v="61"/>
    <n v="1"/>
    <d v="2024-06-24T00:00:00"/>
    <d v="2024-06-24T00:00:00"/>
    <x v="8"/>
    <x v="0"/>
    <s v="04/16/2024"/>
    <d v="2024-04-16T00:00:00"/>
    <n v="-69"/>
    <s v="INVALID_SHIPPING"/>
    <s v="CUST-6540"/>
    <s v="Mira Das"/>
    <s v="Mira Das"/>
    <s v="Home Office"/>
    <x v="3"/>
    <s v="East"/>
    <x v="1"/>
    <s v="OK"/>
    <s v="West Bengal"/>
    <s v="West Bengal"/>
    <s v="Kolkata"/>
    <s v="Kolkata"/>
    <s v="Furniture"/>
    <x v="1"/>
    <s v="Tables"/>
    <x v="1"/>
    <s v="Eco Tables 575"/>
    <s v="Second Class"/>
    <x v="0"/>
    <s v="OK"/>
    <n v="2"/>
    <n v="685"/>
    <n v="0.1"/>
    <n v="0.1"/>
    <s v="OK"/>
    <n v="1233"/>
    <n v="1006.9"/>
    <n v="226.1"/>
    <n v="1233"/>
    <n v="226.10000000000002"/>
    <x v="60"/>
    <s v="Paid"/>
    <x v="0"/>
    <s v="OK"/>
    <s v="Completed"/>
    <x v="0"/>
    <s v="OK"/>
    <s v="INVALID"/>
    <s v="MATCH"/>
    <s v="MATCH"/>
  </r>
  <r>
    <x v="62"/>
    <n v="1"/>
    <d v="2024-02-20T00:00:00"/>
    <d v="2024-02-20T00:00:00"/>
    <x v="11"/>
    <x v="0"/>
    <s v="02-11-2024"/>
    <d v="2024-02-11T00:00:00"/>
    <n v="-9"/>
    <s v="INVALID_SHIPPING"/>
    <s v="CUST-4008"/>
    <s v="Arjun Bose"/>
    <s v="Arjun Bose"/>
    <s v="Home Office"/>
    <x v="3"/>
    <s v="East"/>
    <x v="1"/>
    <s v="OK"/>
    <s v="West Bengal"/>
    <s v="West Bengal"/>
    <s v="Kolkata"/>
    <s v="Kolkata"/>
    <s v="Office Supplies"/>
    <x v="0"/>
    <s v="Paper"/>
    <x v="0"/>
    <s v="Eco Paper 918"/>
    <s v="Standard Class"/>
    <x v="3"/>
    <s v="OK"/>
    <n v="2"/>
    <n v="4004.04"/>
    <m/>
    <n v="0"/>
    <s v="Missing Discount"/>
    <n v="7207.27"/>
    <n v="5709.39"/>
    <n v="1497.88"/>
    <n v="8008.08"/>
    <n v="2298.6899999999996"/>
    <x v="61"/>
    <s v="Paid"/>
    <x v="0"/>
    <s v="OK"/>
    <s v="Cancelled"/>
    <x v="2"/>
    <s v="EXCLUDE_FROM_SALES"/>
    <s v="INVALID"/>
    <s v="MISMATCH"/>
    <s v="MISMATCH"/>
  </r>
  <r>
    <x v="63"/>
    <n v="1"/>
    <d v="2024-10-29T00:00:00"/>
    <d v="2024-10-29T00:00:00"/>
    <x v="7"/>
    <x v="0"/>
    <s v="01-02-2024"/>
    <d v="2024-01-02T00:00:00"/>
    <n v="-301"/>
    <s v="INVALID_SHIPPING"/>
    <s v="CUST-6604"/>
    <s v="Rohan Mehta"/>
    <s v="Rohan Mehta"/>
    <s v="Home Office"/>
    <x v="3"/>
    <s v="East"/>
    <x v="1"/>
    <s v="OK"/>
    <s v="West Bengal"/>
    <s v="West Bengal"/>
    <s v="Kolkata"/>
    <s v="Kolkata"/>
    <s v="Furniture"/>
    <x v="1"/>
    <s v="Furnishings"/>
    <x v="3"/>
    <s v="Prime Furnishings 952"/>
    <s v="First Class"/>
    <x v="2"/>
    <s v="OK"/>
    <n v="3"/>
    <n v="4302.8900000000003"/>
    <n v="0.05"/>
    <n v="0.05"/>
    <s v="OK"/>
    <n v="12263.24"/>
    <n v="8925.57"/>
    <n v="3337.67"/>
    <n v="12263.236500000001"/>
    <n v="3337.6665000000012"/>
    <x v="62"/>
    <s v="Paid"/>
    <x v="0"/>
    <s v="OK"/>
    <s v="Completed"/>
    <x v="0"/>
    <s v="OK"/>
    <s v="INVALID"/>
    <s v="MATCH"/>
    <s v="MATCH"/>
  </r>
  <r>
    <x v="64"/>
    <n v="1"/>
    <d v="2024-08-15T00:00:00"/>
    <d v="2024-08-15T00:00:00"/>
    <x v="1"/>
    <x v="0"/>
    <s v="12/29/2024"/>
    <d v="2024-12-29T00:00:00"/>
    <n v="136"/>
    <s v="OK"/>
    <s v="CUST-4337"/>
    <s v="Aditi Sen"/>
    <s v="Aditi Sen"/>
    <s v="Small Business"/>
    <x v="1"/>
    <s v="East"/>
    <x v="1"/>
    <s v="OK"/>
    <s v="Odisha"/>
    <s v="Odisha"/>
    <s v="Bhubaneswar"/>
    <s v="Bhubaneswar"/>
    <s v="Furniture"/>
    <x v="1"/>
    <s v="Bookcases"/>
    <x v="9"/>
    <s v="Prime Bookcases 631"/>
    <s v="Same Day"/>
    <x v="1"/>
    <s v="OK"/>
    <n v="2"/>
    <n v="537.54"/>
    <n v="0.25"/>
    <n v="0.25"/>
    <s v="OK"/>
    <n v="806.31"/>
    <n v="498.5"/>
    <n v="307.81"/>
    <n v="806.31"/>
    <n v="307.80999999999995"/>
    <x v="63"/>
    <s v="Paid"/>
    <x v="0"/>
    <s v="OK"/>
    <s v="Completed"/>
    <x v="0"/>
    <s v="OK"/>
    <s v="CLEAN"/>
    <s v="MATCH"/>
    <s v="MATCH"/>
  </r>
  <r>
    <x v="65"/>
    <n v="1"/>
    <d v="2024-10-18T00:00:00"/>
    <d v="2024-10-18T00:00:00"/>
    <x v="7"/>
    <x v="0"/>
    <s v="2024-04-27"/>
    <d v="2024-04-27T00:00:00"/>
    <n v="-174"/>
    <s v="INVALID_SHIPPING"/>
    <s v="CUST-7128"/>
    <s v="Vikram Iyer"/>
    <s v="Vikram Iyer"/>
    <s v="Corporate"/>
    <x v="2"/>
    <s v="South"/>
    <x v="2"/>
    <s v="OK"/>
    <s v="Kerala"/>
    <s v="Kerala"/>
    <s v="Kochi"/>
    <s v="Kochi"/>
    <s v="Office Supplies"/>
    <x v="0"/>
    <s v="Labels"/>
    <x v="5"/>
    <s v="Pro Labels 255"/>
    <s v="First Class"/>
    <x v="2"/>
    <s v="OK"/>
    <n v="2"/>
    <n v="2250.4699999999998"/>
    <n v="0"/>
    <n v="0"/>
    <s v="OK"/>
    <n v="4500.9399999999996"/>
    <n v="2607.73"/>
    <n v="1893.21"/>
    <n v="4500.9399999999996"/>
    <n v="1893.2099999999996"/>
    <x v="64"/>
    <s v="Refunded"/>
    <x v="2"/>
    <s v="REFUNDED_PAYMENT"/>
    <s v="Cancelled"/>
    <x v="2"/>
    <s v="EXCLUDE_FROM_SALES"/>
    <s v="INVALID"/>
    <s v="MATCH"/>
    <s v="MATCH"/>
  </r>
  <r>
    <x v="66"/>
    <n v="1"/>
    <d v="2024-10-01T00:00:00"/>
    <d v="2024-10-01T00:00:00"/>
    <x v="7"/>
    <x v="0"/>
    <s v="01 Sep 2025"/>
    <d v="2025-09-01T00:00:00"/>
    <n v="335"/>
    <s v="OK"/>
    <s v="CUST-5213"/>
    <s v="Sneha Kapoor"/>
    <s v="Sneha Kapoor"/>
    <s v="Consumer"/>
    <x v="0"/>
    <m/>
    <x v="4"/>
    <s v="MISSING_REGION"/>
    <s v="Gujarat"/>
    <s v="Gujarat"/>
    <s v="Ahmedabad"/>
    <s v="Ahmedabad"/>
    <s v="Technology"/>
    <x v="2"/>
    <s v="Accessories"/>
    <x v="4"/>
    <s v="Max Accessories 451"/>
    <s v="Standard Class"/>
    <x v="3"/>
    <s v="OK"/>
    <n v="3"/>
    <n v="3829.48"/>
    <n v="0.05"/>
    <n v="0.05"/>
    <s v="OK"/>
    <n v="10914.02"/>
    <n v="6548.74"/>
    <n v="4365.28"/>
    <n v="10914.018"/>
    <n v="4365.2780000000002"/>
    <x v="65"/>
    <s v="Paid"/>
    <x v="0"/>
    <s v="OK"/>
    <s v="Completed"/>
    <x v="0"/>
    <s v="OK"/>
    <s v="WARNING"/>
    <s v="MATCH"/>
    <s v="MATCH"/>
  </r>
  <r>
    <x v="67"/>
    <n v="1"/>
    <d v="2024-02-12T00:00:00"/>
    <d v="2024-02-12T00:00:00"/>
    <x v="11"/>
    <x v="0"/>
    <s v="07-02-2025"/>
    <d v="2025-07-02T00:00:00"/>
    <n v="506"/>
    <s v="OK"/>
    <s v="CUST-4989"/>
    <s v="Isha Nair"/>
    <s v="Isha Nair"/>
    <s v="Home Office"/>
    <x v="3"/>
    <s v="South"/>
    <x v="2"/>
    <s v="OK"/>
    <s v="Tamil Nadu"/>
    <s v="Tamil Nadu"/>
    <s v="Chennai"/>
    <s v="Chennai"/>
    <s v="Furniture"/>
    <x v="1"/>
    <s v="Tables"/>
    <x v="1"/>
    <s v="Classic Tables 752"/>
    <s v="Standard Class"/>
    <x v="3"/>
    <s v="OK"/>
    <n v="3"/>
    <n v="1089.1500000000001"/>
    <n v="0.25"/>
    <n v="0.25"/>
    <s v="OK"/>
    <n v="2450.59"/>
    <n v="1639.89"/>
    <n v="810.7"/>
    <n v="2450.5875000000001"/>
    <n v="810.69749999999999"/>
    <x v="66"/>
    <s v="Paid"/>
    <x v="0"/>
    <s v="OK"/>
    <s v="Completed"/>
    <x v="0"/>
    <s v="OK"/>
    <s v="CLEAN"/>
    <s v="MATCH"/>
    <s v="MATCH"/>
  </r>
  <r>
    <x v="68"/>
    <n v="1"/>
    <d v="2024-09-25T00:00:00"/>
    <d v="2024-09-25T00:00:00"/>
    <x v="5"/>
    <x v="0"/>
    <s v="13 Nov 2024"/>
    <d v="2024-11-13T00:00:00"/>
    <n v="49"/>
    <s v="OK"/>
    <s v="CUST-2927"/>
    <s v="Neha Gupta"/>
    <s v="Neha Gupta"/>
    <s v="Small Business"/>
    <x v="1"/>
    <s v="North"/>
    <x v="0"/>
    <s v="OK"/>
    <s v="Rajasthan"/>
    <s v="Rajasthan"/>
    <s v="Jaipur"/>
    <s v="Jaipur"/>
    <s v="Technology"/>
    <x v="2"/>
    <s v="Accessories"/>
    <x v="4"/>
    <s v="Eco Accessories 452"/>
    <s v="Second Class"/>
    <x v="0"/>
    <s v="OK"/>
    <n v="1"/>
    <n v="4388.3999999999996"/>
    <n v="0.1"/>
    <n v="0.1"/>
    <s v="OK"/>
    <n v="3949.56"/>
    <n v="3186.73"/>
    <n v="762.83"/>
    <n v="3949.56"/>
    <n v="762.82999999999993"/>
    <x v="67"/>
    <s v="Pending"/>
    <x v="1"/>
    <s v="OK"/>
    <s v="Cancelled"/>
    <x v="2"/>
    <s v="EXCLUDE_FROM_SALES"/>
    <s v="CLEAN"/>
    <s v="MATCH"/>
    <s v="MATCH"/>
  </r>
  <r>
    <x v="69"/>
    <n v="1"/>
    <d v="2024-12-27T00:00:00"/>
    <d v="2024-12-27T00:00:00"/>
    <x v="4"/>
    <x v="0"/>
    <s v="04/14/2024"/>
    <d v="2024-04-14T00:00:00"/>
    <n v="-257"/>
    <s v="INVALID_SHIPPING"/>
    <s v="CUST-7764"/>
    <s v="Kabir Singh"/>
    <s v="Kabir Singh"/>
    <s v="Corporate"/>
    <x v="2"/>
    <s v="South"/>
    <x v="2"/>
    <s v="OK"/>
    <s v="Tamil Nadu"/>
    <s v="Tamil Nadu"/>
    <s v="Chennai"/>
    <s v="Chennai"/>
    <s v="Office Supplies"/>
    <x v="0"/>
    <s v="Binders"/>
    <x v="11"/>
    <s v="Classic Binders 203"/>
    <s v="Same Day"/>
    <x v="1"/>
    <s v="OK"/>
    <n v="2"/>
    <n v="446.34"/>
    <n v="0.15"/>
    <n v="0.15"/>
    <s v="OK"/>
    <n v="758.78"/>
    <n v="490.74"/>
    <n v="268.04000000000002"/>
    <n v="758.77799999999991"/>
    <n v="268.0379999999999"/>
    <x v="68"/>
    <s v="Paid"/>
    <x v="0"/>
    <s v="OK"/>
    <s v="Cancelled"/>
    <x v="2"/>
    <s v="EXCLUDE_FROM_SALES"/>
    <s v="INVALID"/>
    <s v="MATCH"/>
    <s v="MATCH"/>
  </r>
  <r>
    <x v="70"/>
    <n v="1"/>
    <d v="2024-02-15T00:00:00"/>
    <d v="2024-02-15T00:00:00"/>
    <x v="11"/>
    <x v="0"/>
    <s v="27 Aug 2025"/>
    <d v="2025-08-27T00:00:00"/>
    <n v="559"/>
    <s v="OK"/>
    <s v="CUST-9608"/>
    <s v="Mira Das"/>
    <s v="Mira Das"/>
    <s v="Home Office"/>
    <x v="3"/>
    <s v="South"/>
    <x v="2"/>
    <s v="OK"/>
    <s v="Tamil Nadu"/>
    <s v="Tamil Nadu"/>
    <s v="Chennai"/>
    <s v="Chennai"/>
    <s v="Technology"/>
    <x v="2"/>
    <s v="Machines"/>
    <x v="12"/>
    <s v="Elite Machines 705"/>
    <s v="Standard Class"/>
    <x v="3"/>
    <s v="OK"/>
    <n v="9"/>
    <n v="3324.55"/>
    <s v="70%"/>
    <n v="0.7"/>
    <s v="OK"/>
    <n v="25432.81"/>
    <n v="20370.16"/>
    <n v="5062.6499999999996"/>
    <n v="8976.2850000000017"/>
    <n v="-11393.874999999998"/>
    <x v="69"/>
    <s v="Paid"/>
    <x v="0"/>
    <s v="OK"/>
    <s v="Completed"/>
    <x v="0"/>
    <s v="OK"/>
    <s v="CLEAN"/>
    <s v="MISMATCH"/>
    <s v="MISMATCH"/>
  </r>
  <r>
    <x v="71"/>
    <n v="1"/>
    <d v="2024-10-06T00:00:00"/>
    <d v="2024-10-06T00:00:00"/>
    <x v="7"/>
    <x v="0"/>
    <s v="2025-04-23"/>
    <d v="2025-04-23T00:00:00"/>
    <n v="199"/>
    <s v="OK"/>
    <s v="CUST-9135"/>
    <s v="Vikram  Iyer"/>
    <s v="Vikram Iyer"/>
    <s v="Home Office"/>
    <x v="3"/>
    <s v="South"/>
    <x v="2"/>
    <s v="OK"/>
    <s v="Andhra Pradesh"/>
    <s v="Andhra Pradesh"/>
    <s v="Vijayawada"/>
    <s v="Vijayawada"/>
    <s v="Technology"/>
    <x v="2"/>
    <s v="Copiers"/>
    <x v="6"/>
    <s v="Pro Copiers 208"/>
    <s v="Same Day"/>
    <x v="1"/>
    <s v="OK"/>
    <n v="5"/>
    <n v="1580.27"/>
    <n v="0.2"/>
    <n v="0.2"/>
    <s v="OK"/>
    <n v="6321.08"/>
    <n v="4407.22"/>
    <n v="1913.86"/>
    <n v="6321.0800000000008"/>
    <n v="1913.8600000000006"/>
    <x v="70"/>
    <s v="Paid"/>
    <x v="0"/>
    <s v="OK"/>
    <s v="Completed"/>
    <x v="0"/>
    <s v="OK"/>
    <s v="CLEAN"/>
    <s v="MATCH"/>
    <s v="MATCH"/>
  </r>
  <r>
    <x v="72"/>
    <n v="1"/>
    <d v="2024-12-06T00:00:00"/>
    <d v="2024-12-06T00:00:00"/>
    <x v="4"/>
    <x v="0"/>
    <s v="07 Feb 2024"/>
    <d v="2024-02-07T00:00:00"/>
    <n v="-303"/>
    <s v="INVALID_SHIPPING"/>
    <s v="CUST-7861"/>
    <s v="Aditi Sen"/>
    <s v="Aditi Sen"/>
    <s v="Small Business"/>
    <x v="1"/>
    <s v="South"/>
    <x v="2"/>
    <s v="OK"/>
    <s v="Kerala"/>
    <s v="Kerala"/>
    <s v="Kochi"/>
    <s v="Kochi"/>
    <s v="Furniture"/>
    <x v="1"/>
    <s v="Chairs"/>
    <x v="10"/>
    <s v="Elite Chairs 921"/>
    <s v="Standard Class"/>
    <x v="3"/>
    <s v="OK"/>
    <n v="8"/>
    <n v="314.05"/>
    <n v="0.25"/>
    <n v="0.25"/>
    <s v="OK"/>
    <n v="1884.3"/>
    <n v="1517.69"/>
    <n v="366.61"/>
    <n v="1884.3000000000002"/>
    <n v="366.61000000000013"/>
    <x v="71"/>
    <s v="Refunded"/>
    <x v="2"/>
    <s v="REFUNDED_PAYMENT"/>
    <s v="Returned"/>
    <x v="1"/>
    <s v="RETURNED_ORDER"/>
    <s v="INVALID"/>
    <s v="MATCH"/>
    <s v="MATCH"/>
  </r>
  <r>
    <x v="73"/>
    <n v="1"/>
    <d v="2024-10-08T00:00:00"/>
    <d v="2024-10-08T00:00:00"/>
    <x v="7"/>
    <x v="0"/>
    <s v="04/03/2025"/>
    <d v="2025-04-03T00:00:00"/>
    <n v="177"/>
    <s v="OK"/>
    <s v="CUST-6096"/>
    <s v="Sneha Kapoor"/>
    <s v="Sneha Kapoor"/>
    <s v="Small Business"/>
    <x v="1"/>
    <s v="East"/>
    <x v="1"/>
    <s v="OK"/>
    <s v="Bihar"/>
    <s v="Bihar"/>
    <s v="Patna"/>
    <s v="Patna"/>
    <s v="Technology"/>
    <x v="2"/>
    <s v="Phones"/>
    <x v="8"/>
    <s v="Prime Phones 540"/>
    <s v="Standard Class"/>
    <x v="3"/>
    <s v="OK"/>
    <n v="1"/>
    <n v="1823.67"/>
    <n v="0.2"/>
    <n v="0.2"/>
    <s v="OK"/>
    <n v="1458.94"/>
    <n v="893.2"/>
    <n v="565.74"/>
    <n v="1458.9360000000001"/>
    <n v="565.7360000000001"/>
    <x v="72"/>
    <s v="Paid"/>
    <x v="0"/>
    <s v="OK"/>
    <s v="Returned"/>
    <x v="1"/>
    <s v="RETURNED_ORDER"/>
    <s v="CLEAN"/>
    <s v="MATCH"/>
    <s v="MATCH"/>
  </r>
  <r>
    <x v="74"/>
    <n v="1"/>
    <d v="2024-11-30T00:00:00"/>
    <d v="2024-11-30T00:00:00"/>
    <x v="2"/>
    <x v="0"/>
    <s v="2025-03-01"/>
    <d v="2025-03-01T00:00:00"/>
    <n v="91"/>
    <s v="OK"/>
    <s v="CUST-1721"/>
    <s v="Ananya Rao"/>
    <s v="Ananya Rao"/>
    <s v="Small Business"/>
    <x v="1"/>
    <s v="East"/>
    <x v="1"/>
    <s v="OK"/>
    <s v="Assam"/>
    <s v="Assam"/>
    <s v="Guwahati"/>
    <s v="Guwahati"/>
    <s v="Furniture"/>
    <x v="1"/>
    <s v="Chairs"/>
    <x v="10"/>
    <s v="Max Chairs 786"/>
    <s v="Second Class"/>
    <x v="0"/>
    <s v="OK"/>
    <n v="3"/>
    <n v="170.35"/>
    <n v="0"/>
    <n v="0"/>
    <s v="OK"/>
    <n v="511.05"/>
    <n v="367.18"/>
    <n v="143.87"/>
    <n v="511.04999999999995"/>
    <n v="143.86999999999995"/>
    <x v="73"/>
    <s v="Paid"/>
    <x v="0"/>
    <s v="OK"/>
    <s v="Completed"/>
    <x v="0"/>
    <s v="OK"/>
    <s v="CLEAN"/>
    <s v="MATCH"/>
    <s v="MATCH"/>
  </r>
  <r>
    <x v="75"/>
    <n v="3"/>
    <d v="2024-05-24T00:00:00"/>
    <d v="2024-05-24T00:00:00"/>
    <x v="3"/>
    <x v="0"/>
    <s v="08/27/2025"/>
    <d v="2025-08-27T00:00:00"/>
    <n v="460"/>
    <s v="OK"/>
    <s v="CUST-1007"/>
    <s v="Sneha Kapoor"/>
    <s v="Sneha Kapoor"/>
    <s v="Small Business"/>
    <x v="1"/>
    <s v="North"/>
    <x v="0"/>
    <s v="OK"/>
    <s v="Punjab"/>
    <s v="Punjab"/>
    <s v="Ludhiana"/>
    <s v="Ludhiana"/>
    <s v="Technology"/>
    <x v="2"/>
    <s v="Copiers"/>
    <x v="6"/>
    <s v="Max Copiers 970"/>
    <s v="Same Day"/>
    <x v="1"/>
    <s v="OK"/>
    <n v="1"/>
    <n v="634.13"/>
    <n v="0"/>
    <n v="0"/>
    <s v="OK"/>
    <n v="634.13"/>
    <n v="453.35"/>
    <n v="180.78"/>
    <n v="634.13"/>
    <n v="180.77999999999997"/>
    <x v="74"/>
    <s v="Refunded"/>
    <x v="2"/>
    <s v="REFUNDED_PAYMENT"/>
    <s v="Cancelled"/>
    <x v="2"/>
    <s v="EXCLUDE_FROM_SALES"/>
    <s v="CLEAN"/>
    <s v="MATCH"/>
    <s v="MATCH"/>
  </r>
  <r>
    <x v="75"/>
    <n v="3"/>
    <d v="2024-05-24T00:00:00"/>
    <d v="2024-05-24T00:00:00"/>
    <x v="3"/>
    <x v="0"/>
    <s v="11-11-2024"/>
    <d v="2024-11-11T00:00:00"/>
    <n v="171"/>
    <s v="OK"/>
    <s v="CUST-1007"/>
    <s v="Sneha Kapoor"/>
    <s v="Sneha Kapoor"/>
    <s v="Small Business"/>
    <x v="1"/>
    <s v="North"/>
    <x v="0"/>
    <s v="OK"/>
    <s v="Punjab"/>
    <s v="Punjab"/>
    <s v="Ludhiana"/>
    <s v="Ludhiana"/>
    <s v="Technology"/>
    <x v="2"/>
    <s v="Copiers"/>
    <x v="6"/>
    <s v="Max Copiers 970"/>
    <s v="Same Day"/>
    <x v="1"/>
    <s v="OK"/>
    <n v="1"/>
    <n v="634.13"/>
    <n v="0"/>
    <n v="0"/>
    <s v="OK"/>
    <n v="634.13"/>
    <n v="453.35"/>
    <n v="180.78"/>
    <n v="634.13"/>
    <n v="180.77999999999997"/>
    <x v="74"/>
    <s v="Refunded"/>
    <x v="2"/>
    <s v="REFUNDED_PAYMENT"/>
    <s v="Cancelled"/>
    <x v="2"/>
    <s v="EXCLUDE_FROM_SALES"/>
    <s v="CLEAN"/>
    <s v="MATCH"/>
    <s v="MATCH"/>
  </r>
  <r>
    <x v="75"/>
    <n v="3"/>
    <d v="2024-05-24T00:00:00"/>
    <d v="2024-05-24T00:00:00"/>
    <x v="3"/>
    <x v="0"/>
    <s v="12-07-2025"/>
    <d v="2025-12-07T00:00:00"/>
    <n v="562"/>
    <s v="OK"/>
    <s v="CUST-1007"/>
    <s v="Sneha Kapoor"/>
    <s v="Sneha Kapoor"/>
    <s v="Small Business"/>
    <x v="1"/>
    <s v="North"/>
    <x v="0"/>
    <s v="OK"/>
    <s v="Punjab"/>
    <s v="Punjab"/>
    <s v="Ludhiana"/>
    <s v="Ludhiana"/>
    <s v="Technology"/>
    <x v="2"/>
    <s v="Copiers"/>
    <x v="6"/>
    <s v="Max Copiers 970"/>
    <s v="Same Day"/>
    <x v="1"/>
    <s v="OK"/>
    <n v="1"/>
    <n v="634.13"/>
    <n v="0"/>
    <n v="0"/>
    <s v="OK"/>
    <n v="808.67"/>
    <n v="453.35"/>
    <n v="180.78"/>
    <n v="634.13"/>
    <n v="180.77999999999997"/>
    <x v="74"/>
    <s v="Refunded"/>
    <x v="2"/>
    <s v="REFUNDED_PAYMENT"/>
    <s v="Returned"/>
    <x v="1"/>
    <s v="RETURNED_ORDER"/>
    <s v="CLEAN"/>
    <s v="MISMATCH"/>
    <s v="MATCH"/>
  </r>
  <r>
    <x v="76"/>
    <n v="1"/>
    <d v="2024-07-21T00:00:00"/>
    <d v="2024-07-21T00:00:00"/>
    <x v="0"/>
    <x v="0"/>
    <s v="21-07-2025"/>
    <d v="2025-07-21T00:00:00"/>
    <n v="365"/>
    <s v="OK"/>
    <s v="CUST-4450"/>
    <s v="Isha Nair"/>
    <s v="Isha Nair"/>
    <s v="Corporate"/>
    <x v="2"/>
    <s v="South"/>
    <x v="2"/>
    <s v="OK"/>
    <s v="Karnataka"/>
    <s v="Karnataka"/>
    <s v="Bengaluru"/>
    <s v="Bengaluru"/>
    <s v="Technology"/>
    <x v="2"/>
    <s v="Copiers"/>
    <x v="6"/>
    <s v="Pro Copiers 769"/>
    <s v="Standard Class"/>
    <x v="3"/>
    <s v="OK"/>
    <n v="9"/>
    <n v="465.06"/>
    <n v="-0.15"/>
    <n v="-0.15"/>
    <s v="Invalid Negative Discount"/>
    <n v="4185.54"/>
    <n v="3443.74"/>
    <n v="741.8"/>
    <s v="INVALID"/>
    <s v="INVALID"/>
    <x v="12"/>
    <s v="Paid"/>
    <x v="0"/>
    <s v="OK"/>
    <s v="Completed"/>
    <x v="0"/>
    <s v="OK"/>
    <s v="INVALID"/>
    <s v="INVALID"/>
    <s v="INVALID"/>
  </r>
  <r>
    <x v="77"/>
    <n v="1"/>
    <d v="2024-12-13T00:00:00"/>
    <d v="2024-12-13T00:00:00"/>
    <x v="4"/>
    <x v="0"/>
    <s v="2025-10-03"/>
    <d v="2025-10-03T00:00:00"/>
    <n v="294"/>
    <s v="OK"/>
    <s v="CUST-9328"/>
    <s v="Neha Gupta"/>
    <s v="Neha Gupta"/>
    <s v="Small Business"/>
    <x v="1"/>
    <s v="East"/>
    <x v="1"/>
    <s v="OK"/>
    <s v="Odisha"/>
    <s v="Odisha"/>
    <s v="Bhubaneswar"/>
    <s v="Bhubaneswar"/>
    <s v="Furniture"/>
    <x v="1"/>
    <s v="Furnishings"/>
    <x v="3"/>
    <s v="Prime Furnishings 710"/>
    <s v="Standard Class"/>
    <x v="3"/>
    <s v="OK"/>
    <n v="5"/>
    <n v="923.45"/>
    <n v="0.05"/>
    <n v="0.05"/>
    <s v="OK"/>
    <n v="4386.3900000000003"/>
    <n v="3366.88"/>
    <n v="1019.51"/>
    <n v="4386.3874999999998"/>
    <n v="1019.5074999999997"/>
    <x v="75"/>
    <s v="Paid"/>
    <x v="0"/>
    <s v="OK"/>
    <s v="Returned"/>
    <x v="1"/>
    <s v="RETURNED_ORDER"/>
    <s v="CLEAN"/>
    <s v="MATCH"/>
    <s v="MATCH"/>
  </r>
  <r>
    <x v="78"/>
    <n v="1"/>
    <d v="2024-07-19T00:00:00"/>
    <d v="2024-07-19T00:00:00"/>
    <x v="0"/>
    <x v="0"/>
    <s v="2024-08-14"/>
    <d v="2024-08-14T00:00:00"/>
    <n v="26"/>
    <s v="OK"/>
    <s v="CUST-2588"/>
    <s v="Isha Nair"/>
    <s v="Isha Nair"/>
    <s v="Small Business"/>
    <x v="1"/>
    <s v="West"/>
    <x v="3"/>
    <s v="OK"/>
    <s v="Goa"/>
    <s v="Goa"/>
    <s v="Panaji"/>
    <s v="Panaji"/>
    <s v="Office Supplies"/>
    <x v="0"/>
    <s v="Binders"/>
    <x v="11"/>
    <s v="Elite Binders 723"/>
    <s v="Standard Class"/>
    <x v="3"/>
    <s v="OK"/>
    <n v="7"/>
    <n v="2741.29"/>
    <n v="0.05"/>
    <n v="0.05"/>
    <s v="OK"/>
    <n v="18229.580000000002"/>
    <n v="15139.15"/>
    <n v="3090.43"/>
    <n v="18229.5785"/>
    <n v="3090.4285"/>
    <x v="76"/>
    <s v="Paid"/>
    <x v="0"/>
    <s v="OK"/>
    <s v="Completed"/>
    <x v="0"/>
    <s v="OK"/>
    <s v="CLEAN"/>
    <s v="MATCH"/>
    <s v="MATCH"/>
  </r>
  <r>
    <x v="79"/>
    <n v="1"/>
    <d v="2024-01-27T00:00:00"/>
    <d v="2024-01-27T00:00:00"/>
    <x v="9"/>
    <x v="0"/>
    <s v="17-03-2025"/>
    <d v="2025-03-17T00:00:00"/>
    <n v="415"/>
    <s v="OK"/>
    <s v="CUST-5435"/>
    <s v="Arjun Bose"/>
    <s v="Arjun Bose"/>
    <s v="Consumer"/>
    <x v="0"/>
    <s v="West"/>
    <x v="3"/>
    <s v="OK"/>
    <s v="Gujarat"/>
    <s v="Gujarat"/>
    <s v="Ahmedabad"/>
    <s v="Ahmedabad"/>
    <s v="Office Supplies"/>
    <x v="0"/>
    <s v="Labels"/>
    <x v="5"/>
    <s v="Smart Labels 878"/>
    <s v="Same Day"/>
    <x v="1"/>
    <s v="OK"/>
    <n v="5"/>
    <n v="218.42"/>
    <n v="0.2"/>
    <n v="0.2"/>
    <s v="OK"/>
    <n v="873.68"/>
    <n v="661.72"/>
    <n v="211.96"/>
    <n v="873.68"/>
    <n v="211.95999999999992"/>
    <x v="77"/>
    <s v="Pending"/>
    <x v="1"/>
    <s v="OK"/>
    <s v="Cancelled"/>
    <x v="2"/>
    <s v="EXCLUDE_FROM_SALES"/>
    <s v="CLEAN"/>
    <s v="MATCH"/>
    <s v="MATCH"/>
  </r>
  <r>
    <x v="80"/>
    <n v="1"/>
    <d v="2024-04-11T00:00:00"/>
    <d v="2024-04-11T00:00:00"/>
    <x v="6"/>
    <x v="0"/>
    <s v="04-08-2024"/>
    <d v="2024-04-08T00:00:00"/>
    <n v="-3"/>
    <s v="INVALID_SHIPPING"/>
    <s v="CUST-3602"/>
    <s v="Kabir Singh"/>
    <s v="Kabir Singh"/>
    <s v="Corporate"/>
    <x v="2"/>
    <s v="East"/>
    <x v="1"/>
    <s v="OK"/>
    <s v="Assam"/>
    <s v="Assam"/>
    <s v="Guwahati"/>
    <s v="Guwahati"/>
    <s v="Technology"/>
    <x v="2"/>
    <s v="Machines"/>
    <x v="12"/>
    <s v="Classic Machines 886"/>
    <s v="First Class"/>
    <x v="2"/>
    <s v="OK"/>
    <n v="2"/>
    <n v="533.08000000000004"/>
    <n v="0"/>
    <n v="0"/>
    <s v="OK"/>
    <n v="1066.1600000000001"/>
    <n v="656.3"/>
    <n v="409.86"/>
    <n v="1066.1600000000001"/>
    <n v="409.86000000000013"/>
    <x v="78"/>
    <s v="Failed"/>
    <x v="3"/>
    <s v="EXCLUDE_FROM_SALES"/>
    <s v="Cancelled"/>
    <x v="2"/>
    <s v="EXCLUDE_FROM_SALES"/>
    <s v="INVALID"/>
    <s v="MATCH"/>
    <s v="MATCH"/>
  </r>
  <r>
    <x v="81"/>
    <n v="2"/>
    <d v="2024-12-13T00:00:00"/>
    <d v="2024-12-13T00:00:00"/>
    <x v="4"/>
    <x v="0"/>
    <s v="29-10-2024"/>
    <d v="2024-10-29T00:00:00"/>
    <n v="-45"/>
    <s v="INVALID_SHIPPING"/>
    <s v="CUST-9441"/>
    <s v="Karan Malhotra"/>
    <s v="Karan Malhotra"/>
    <s v="Consumer"/>
    <x v="0"/>
    <s v="West"/>
    <x v="3"/>
    <s v="OK"/>
    <s v="Goa"/>
    <s v="Goa"/>
    <s v="Panaji"/>
    <s v="Panaji"/>
    <s v="Technology"/>
    <x v="2"/>
    <s v="Phones"/>
    <x v="8"/>
    <s v="Prime Phones 419"/>
    <s v="Second Class"/>
    <x v="0"/>
    <s v="OK"/>
    <n v="8"/>
    <n v="3372.15"/>
    <n v="0.15"/>
    <n v="0.15"/>
    <s v="OK"/>
    <n v="22930.62"/>
    <n v="16875.55"/>
    <n v="6055.07"/>
    <n v="22930.62"/>
    <n v="6055.07"/>
    <x v="79"/>
    <s v="Paid"/>
    <x v="0"/>
    <s v="OK"/>
    <s v="Completed"/>
    <x v="0"/>
    <s v="OK"/>
    <s v="INVALID"/>
    <s v="MATCH"/>
    <s v="MATCH"/>
  </r>
  <r>
    <x v="81"/>
    <n v="2"/>
    <d v="2024-12-13T00:00:00"/>
    <d v="2024-12-13T00:00:00"/>
    <x v="4"/>
    <x v="0"/>
    <s v="2024-10-03"/>
    <d v="2024-10-03T00:00:00"/>
    <n v="-71"/>
    <s v="INVALID_SHIPPING"/>
    <s v="CUST-9441"/>
    <s v="Karan Malhotra"/>
    <s v="Karan Malhotra"/>
    <s v="Consumer"/>
    <x v="0"/>
    <s v="West"/>
    <x v="3"/>
    <s v="OK"/>
    <s v="Goa"/>
    <s v="Goa"/>
    <s v="Panaji"/>
    <s v="Panaji"/>
    <s v="Technology"/>
    <x v="2"/>
    <s v="Phones"/>
    <x v="8"/>
    <s v="Prime Phones 419"/>
    <s v="Second Class"/>
    <x v="0"/>
    <s v="OK"/>
    <n v="8"/>
    <n v="3372.15"/>
    <n v="0.15"/>
    <n v="0.15"/>
    <s v="OK"/>
    <n v="22930.62"/>
    <n v="16875.55"/>
    <n v="6055.07"/>
    <n v="22930.62"/>
    <n v="6055.07"/>
    <x v="79"/>
    <s v="Paid"/>
    <x v="0"/>
    <s v="OK"/>
    <s v="Completed"/>
    <x v="0"/>
    <s v="OK"/>
    <s v="INVALID"/>
    <s v="MATCH"/>
    <s v="MATCH"/>
  </r>
  <r>
    <x v="82"/>
    <n v="1"/>
    <d v="2024-01-20T00:00:00"/>
    <d v="2024-01-20T00:00:00"/>
    <x v="9"/>
    <x v="0"/>
    <s v="08/05/2024"/>
    <d v="2024-08-05T00:00:00"/>
    <n v="198"/>
    <s v="OK"/>
    <s v="CUST-7173"/>
    <s v="Diya Patel"/>
    <s v="Diya Patel"/>
    <s v="Home Office"/>
    <x v="3"/>
    <s v="East"/>
    <x v="1"/>
    <s v="OK"/>
    <s v="Jharkhand"/>
    <s v="Jharkhand"/>
    <s v="Ranchi"/>
    <s v="Ranchi"/>
    <s v="Technology"/>
    <x v="2"/>
    <s v="Machines"/>
    <x v="12"/>
    <s v="Basic Machines 185"/>
    <s v="Standard Class"/>
    <x v="3"/>
    <s v="OK"/>
    <n v="8"/>
    <n v="4003.05"/>
    <n v="0.25"/>
    <n v="0.25"/>
    <s v="OK"/>
    <n v="24018.3"/>
    <n v="14070.78"/>
    <n v="9947.52"/>
    <n v="24018.300000000003"/>
    <n v="9947.5200000000023"/>
    <x v="80"/>
    <s v="Paid"/>
    <x v="0"/>
    <s v="OK"/>
    <s v="Completed"/>
    <x v="0"/>
    <s v="OK"/>
    <s v="CLEAN"/>
    <s v="MATCH"/>
    <s v="MATCH"/>
  </r>
  <r>
    <x v="83"/>
    <n v="1"/>
    <d v="2024-05-31T00:00:00"/>
    <d v="2024-05-31T00:00:00"/>
    <x v="3"/>
    <x v="0"/>
    <s v="01 Jul 2024"/>
    <d v="2024-07-01T00:00:00"/>
    <n v="31"/>
    <s v="OK"/>
    <s v="CUST-2149"/>
    <s v="Mira Das"/>
    <s v="Mira Das"/>
    <s v="Corporate"/>
    <x v="2"/>
    <s v="South"/>
    <x v="2"/>
    <s v="OK"/>
    <s v="Karnataka"/>
    <s v="Karnataka"/>
    <s v="Bengaluru"/>
    <s v="Bengaluru"/>
    <s v="Furniture"/>
    <x v="1"/>
    <s v="Bookcases"/>
    <x v="9"/>
    <s v="Elite Bookcases 696"/>
    <s v="Same Day"/>
    <x v="1"/>
    <s v="OK"/>
    <n v="3"/>
    <n v="2914.55"/>
    <n v="0"/>
    <n v="0"/>
    <s v="OK"/>
    <n v="8743.65"/>
    <n v="6603.76"/>
    <n v="2139.89"/>
    <n v="8743.6500000000015"/>
    <n v="2139.8900000000012"/>
    <x v="81"/>
    <s v="Paid"/>
    <x v="0"/>
    <s v="OK"/>
    <s v="Completed"/>
    <x v="0"/>
    <s v="OK"/>
    <s v="CLEAN"/>
    <s v="MATCH"/>
    <s v="MATCH"/>
  </r>
  <r>
    <x v="84"/>
    <n v="1"/>
    <d v="2024-03-23T00:00:00"/>
    <d v="2024-03-23T00:00:00"/>
    <x v="10"/>
    <x v="0"/>
    <s v="2024-08-03"/>
    <d v="2024-08-03T00:00:00"/>
    <n v="133"/>
    <s v="OK"/>
    <s v="CUST-3314"/>
    <s v="Priya Menon"/>
    <s v="Priya Menon"/>
    <s v="Corporate"/>
    <x v="2"/>
    <s v="North"/>
    <x v="0"/>
    <s v="OK"/>
    <s v="Delhi"/>
    <s v="Delhi"/>
    <s v="New Delhi"/>
    <s v="New Delhi"/>
    <s v="Furniture"/>
    <x v="1"/>
    <s v="Bookcases"/>
    <x v="9"/>
    <s v="Elite Bookcases 772"/>
    <s v="Same Day"/>
    <x v="1"/>
    <s v="OK"/>
    <n v="7"/>
    <n v="634.29"/>
    <n v="0.1"/>
    <n v="0.1"/>
    <s v="OK"/>
    <n v="3996.03"/>
    <n v="2859.51"/>
    <n v="1136.52"/>
    <n v="3996.027"/>
    <n v="1136.5169999999998"/>
    <x v="82"/>
    <s v="Paid"/>
    <x v="0"/>
    <s v="OK"/>
    <s v="Returned"/>
    <x v="1"/>
    <s v="RETURNED_ORDER"/>
    <s v="CLEAN"/>
    <s v="MATCH"/>
    <s v="MATCH"/>
  </r>
  <r>
    <x v="85"/>
    <n v="2"/>
    <d v="2024-03-30T00:00:00"/>
    <d v="2024-03-30T00:00:00"/>
    <x v="10"/>
    <x v="0"/>
    <s v="27 Mar 2024"/>
    <d v="2024-03-27T00:00:00"/>
    <n v="-3"/>
    <s v="INVALID_SHIPPING"/>
    <s v="CUST-8944"/>
    <s v="Aditi Sen"/>
    <s v="Aditi Sen"/>
    <s v="Home Office"/>
    <x v="3"/>
    <s v="North"/>
    <x v="0"/>
    <s v="OK"/>
    <s v="Rajasthan"/>
    <s v="Rajasthan"/>
    <s v="Jaipur"/>
    <s v="Jaipur"/>
    <s v="Technology"/>
    <x v="2"/>
    <s v="Phones"/>
    <x v="8"/>
    <s v="Classic Phones 142"/>
    <s v="Second Class"/>
    <x v="0"/>
    <s v="OK"/>
    <n v="5"/>
    <n v="907.54"/>
    <n v="0.15"/>
    <n v="0.15"/>
    <s v="OK"/>
    <n v="3857.04"/>
    <n v="2769.26"/>
    <n v="1087.78"/>
    <n v="3857.0449999999996"/>
    <n v="1087.7849999999994"/>
    <x v="83"/>
    <s v="Paid"/>
    <x v="0"/>
    <s v="OK"/>
    <s v="Completed"/>
    <x v="0"/>
    <s v="OK"/>
    <s v="INVALID"/>
    <s v="MISMATCH"/>
    <s v="MISMATCH"/>
  </r>
  <r>
    <x v="85"/>
    <n v="2"/>
    <d v="2024-03-30T00:00:00"/>
    <d v="2024-03-30T00:00:00"/>
    <x v="10"/>
    <x v="0"/>
    <s v="05 Sep 2024"/>
    <d v="2024-09-05T00:00:00"/>
    <n v="159"/>
    <s v="OK"/>
    <s v="CUST-8944"/>
    <s v="Aditi Sen"/>
    <s v="Aditi Sen"/>
    <s v="Home Office"/>
    <x v="3"/>
    <s v="North"/>
    <x v="0"/>
    <s v="OK"/>
    <s v="Rajasthan"/>
    <s v="Rajasthan"/>
    <s v="Jaipur"/>
    <s v="Jaipur"/>
    <s v="Technology"/>
    <x v="2"/>
    <s v="Phones"/>
    <x v="8"/>
    <s v="Classic Phones 142"/>
    <s v="Second Class"/>
    <x v="0"/>
    <s v="OK"/>
    <n v="5"/>
    <n v="907.54"/>
    <n v="0.15"/>
    <n v="0.15"/>
    <s v="OK"/>
    <n v="4099.6899999999996"/>
    <n v="2769.26"/>
    <n v="1087.78"/>
    <n v="3857.0449999999996"/>
    <n v="1087.7849999999994"/>
    <x v="83"/>
    <s v="Paid"/>
    <x v="0"/>
    <s v="OK"/>
    <s v="Returned"/>
    <x v="1"/>
    <s v="RETURNED_ORDER"/>
    <s v="CLEAN"/>
    <s v="MISMATCH"/>
    <s v="MISMATCH"/>
  </r>
  <r>
    <x v="86"/>
    <n v="1"/>
    <d v="2024-03-24T00:00:00"/>
    <d v="2024-03-24T00:00:00"/>
    <x v="10"/>
    <x v="0"/>
    <s v="29 Aug 2025"/>
    <d v="2025-08-29T00:00:00"/>
    <n v="523"/>
    <s v="OK"/>
    <s v="CUST-3144"/>
    <s v="Priya Menon"/>
    <s v="Priya Menon"/>
    <s v="Consumer"/>
    <x v="0"/>
    <s v="West"/>
    <x v="3"/>
    <s v="OK"/>
    <s v="Gujarat"/>
    <s v="Gujarat"/>
    <s v="Ahmedabad"/>
    <s v="Ahmedabad"/>
    <s v="Office Supplies"/>
    <x v="0"/>
    <s v="Paper"/>
    <x v="0"/>
    <s v="Pro Paper 575"/>
    <s v="Second Class"/>
    <x v="0"/>
    <s v="OK"/>
    <n v="1"/>
    <n v="3409.5"/>
    <n v="0.1"/>
    <n v="0.1"/>
    <s v="OK"/>
    <n v="3068.55"/>
    <n v="1916.16"/>
    <n v="1152.3900000000001"/>
    <n v="3068.55"/>
    <n v="1152.3900000000001"/>
    <x v="84"/>
    <s v="Paid"/>
    <x v="0"/>
    <s v="OK"/>
    <s v="Returned"/>
    <x v="1"/>
    <s v="RETURNED_ORDER"/>
    <s v="CLEAN"/>
    <s v="MATCH"/>
    <s v="MATCH"/>
  </r>
  <r>
    <x v="87"/>
    <n v="1"/>
    <d v="2024-06-07T00:00:00"/>
    <d v="2024-06-07T00:00:00"/>
    <x v="8"/>
    <x v="0"/>
    <s v="03/08/2025"/>
    <d v="2025-03-08T00:00:00"/>
    <n v="274"/>
    <s v="OK"/>
    <s v="CUST-6747"/>
    <s v="Kabir Singh"/>
    <s v="Kabir Singh"/>
    <s v="Small Business"/>
    <x v="1"/>
    <s v="South"/>
    <x v="2"/>
    <s v="OK"/>
    <s v="Telangana"/>
    <s v="Telangana"/>
    <s v="Hyderabad"/>
    <s v="Hyderabad"/>
    <s v="Technology"/>
    <x v="2"/>
    <s v="Accessories"/>
    <x v="4"/>
    <s v="Elite Accessories 905"/>
    <s v="First Class"/>
    <x v="2"/>
    <s v="OK"/>
    <n v="7"/>
    <n v="2147.9899999999998"/>
    <n v="0.25"/>
    <n v="0.25"/>
    <s v="OK"/>
    <n v="11276.95"/>
    <n v="6908.76"/>
    <n v="4368.1899999999996"/>
    <n v="11276.947499999998"/>
    <n v="4368.1874999999982"/>
    <x v="85"/>
    <s v="Refunded"/>
    <x v="2"/>
    <s v="REFUNDED_PAYMENT"/>
    <s v="Returned"/>
    <x v="1"/>
    <s v="RETURNED_ORDER"/>
    <s v="CLEAN"/>
    <s v="MATCH"/>
    <s v="MATCH"/>
  </r>
  <r>
    <x v="88"/>
    <n v="1"/>
    <d v="2024-12-23T00:00:00"/>
    <d v="2024-12-23T00:00:00"/>
    <x v="4"/>
    <x v="0"/>
    <s v="01/26/2025"/>
    <d v="2025-01-26T00:00:00"/>
    <n v="34"/>
    <s v="OK"/>
    <s v="CUST-2692"/>
    <s v="Priya Menon"/>
    <s v="Priya Menon"/>
    <s v="Home Office"/>
    <x v="3"/>
    <s v="West"/>
    <x v="3"/>
    <s v="OK"/>
    <s v="Goa"/>
    <s v="Goa"/>
    <s v="Panaji"/>
    <s v="Panaji"/>
    <s v="Furniture"/>
    <x v="1"/>
    <s v="Furnishings"/>
    <x v="3"/>
    <s v="Classic Furnishings 743"/>
    <s v="First Class"/>
    <x v="2"/>
    <s v="OK"/>
    <n v="8"/>
    <n v="386.1"/>
    <n v="0.1"/>
    <n v="0.1"/>
    <s v="OK"/>
    <n v="2779.92"/>
    <n v="1744.05"/>
    <n v="1035.8699999999999"/>
    <n v="2779.92"/>
    <n v="1035.8700000000001"/>
    <x v="86"/>
    <s v="Paid"/>
    <x v="0"/>
    <s v="OK"/>
    <s v="Completed"/>
    <x v="0"/>
    <s v="OK"/>
    <s v="CLEAN"/>
    <s v="MATCH"/>
    <s v="MATCH"/>
  </r>
  <r>
    <x v="89"/>
    <n v="1"/>
    <d v="2024-01-30T00:00:00"/>
    <d v="2024-01-30T00:00:00"/>
    <x v="9"/>
    <x v="0"/>
    <s v="13-01-2024"/>
    <d v="2024-01-13T00:00:00"/>
    <n v="-17"/>
    <s v="INVALID_SHIPPING"/>
    <s v="CUST-5876"/>
    <s v="Aarav Sharma"/>
    <s v="Aarav Sharma"/>
    <s v="Small Business"/>
    <x v="1"/>
    <s v="West"/>
    <x v="3"/>
    <s v="OK"/>
    <s v="Rajasthan"/>
    <s v="Rajasthan"/>
    <s v="Udaipur"/>
    <s v="Udaipur"/>
    <s v="Technology"/>
    <x v="2"/>
    <s v="Copiers"/>
    <x v="6"/>
    <s v="Eco Copiers 381"/>
    <s v="Same Day"/>
    <x v="1"/>
    <s v="OK"/>
    <n v="7"/>
    <n v="2527.61"/>
    <n v="0.25"/>
    <n v="0.25"/>
    <s v="OK"/>
    <n v="13269.95"/>
    <n v="8977.1"/>
    <n v="4292.8500000000004"/>
    <n v="13269.952499999999"/>
    <n v="4292.8524999999991"/>
    <x v="87"/>
    <s v="Paid"/>
    <x v="0"/>
    <s v="OK"/>
    <s v="Completed"/>
    <x v="0"/>
    <s v="OK"/>
    <s v="INVALID"/>
    <s v="MATCH"/>
    <s v="MATCH"/>
  </r>
  <r>
    <x v="90"/>
    <n v="1"/>
    <d v="2024-03-04T00:00:00"/>
    <d v="2024-03-04T00:00:00"/>
    <x v="10"/>
    <x v="0"/>
    <s v="09 Sep 2024"/>
    <d v="2024-09-09T00:00:00"/>
    <n v="189"/>
    <s v="OK"/>
    <s v="CUST-4661"/>
    <s v="Arjun Bose"/>
    <s v="Arjun Bose"/>
    <s v="Consumer"/>
    <x v="0"/>
    <m/>
    <x v="4"/>
    <s v="MISSING_REGION"/>
    <s v="Gujarat"/>
    <s v="Gujarat"/>
    <s v="Ahmedabad"/>
    <s v="Ahmedabad"/>
    <s v="Furniture"/>
    <x v="1"/>
    <s v="Bookcases"/>
    <x v="9"/>
    <s v="Max Bookcases 595"/>
    <s v="First Class"/>
    <x v="2"/>
    <s v="OK"/>
    <n v="1"/>
    <n v="1554.12"/>
    <n v="0.1"/>
    <n v="0.1"/>
    <s v="OK"/>
    <n v="1398.71"/>
    <n v="1056.92"/>
    <n v="341.79"/>
    <n v="1398.7079999999999"/>
    <n v="341.78799999999978"/>
    <x v="88"/>
    <s v="Paid"/>
    <x v="0"/>
    <s v="OK"/>
    <s v="Completed"/>
    <x v="0"/>
    <s v="OK"/>
    <s v="WARNING"/>
    <s v="MATCH"/>
    <s v="MATCH"/>
  </r>
  <r>
    <x v="91"/>
    <n v="1"/>
    <d v="2024-06-27T00:00:00"/>
    <d v="2024-06-27T00:00:00"/>
    <x v="8"/>
    <x v="0"/>
    <s v="09/10/2025"/>
    <d v="2025-09-10T00:00:00"/>
    <n v="440"/>
    <s v="OK"/>
    <s v="CUST-6011"/>
    <s v="Neha Gupta"/>
    <s v="Neha Gupta"/>
    <s v="Home Office"/>
    <x v="3"/>
    <m/>
    <x v="4"/>
    <s v="MISSING_REGION"/>
    <s v="Madhya Pradesh"/>
    <s v="Madhya Pradesh"/>
    <s v="Indore"/>
    <s v="Indore"/>
    <s v="Technology"/>
    <x v="2"/>
    <s v="Copiers"/>
    <x v="6"/>
    <s v="Max Copiers 992"/>
    <s v="Standard Class"/>
    <x v="3"/>
    <s v="OK"/>
    <n v="2"/>
    <n v="3859.11"/>
    <n v="0"/>
    <n v="0"/>
    <s v="OK"/>
    <n v="7718.22"/>
    <n v="5355.93"/>
    <n v="2362.29"/>
    <n v="7718.22"/>
    <n v="2362.29"/>
    <x v="89"/>
    <s v="Pending"/>
    <x v="1"/>
    <s v="OK"/>
    <s v="Returned"/>
    <x v="1"/>
    <s v="RETURNED_ORDER"/>
    <s v="WARNING"/>
    <s v="MATCH"/>
    <s v="MATCH"/>
  </r>
  <r>
    <x v="92"/>
    <n v="1"/>
    <d v="2024-06-14T00:00:00"/>
    <d v="2024-06-14T00:00:00"/>
    <x v="8"/>
    <x v="0"/>
    <s v="07-06-2024"/>
    <d v="2024-07-06T00:00:00"/>
    <n v="22"/>
    <s v="OK"/>
    <s v="CUST-6160"/>
    <s v="Kabir Singh"/>
    <s v="Kabir Singh"/>
    <s v="Small Business"/>
    <x v="1"/>
    <s v="South"/>
    <x v="2"/>
    <s v="OK"/>
    <s v="Kerala"/>
    <s v="Kerala"/>
    <s v="Kochi"/>
    <s v="Kochi"/>
    <s v="Furniture"/>
    <x v="1"/>
    <s v="Tables"/>
    <x v="1"/>
    <s v="Pro Tables 407"/>
    <s v="Second Class"/>
    <x v="0"/>
    <s v="OK"/>
    <n v="6"/>
    <n v="1088.04"/>
    <n v="0.1"/>
    <n v="0.1"/>
    <s v="OK"/>
    <n v="5875.42"/>
    <n v="4380.55"/>
    <n v="1494.87"/>
    <n v="5875.4160000000002"/>
    <n v="1494.866"/>
    <x v="90"/>
    <s v="Pending"/>
    <x v="1"/>
    <s v="OK"/>
    <s v="Returned"/>
    <x v="1"/>
    <s v="RETURNED_ORDER"/>
    <s v="CLEAN"/>
    <s v="MATCH"/>
    <s v="MATCH"/>
  </r>
  <r>
    <x v="93"/>
    <n v="1"/>
    <d v="2024-12-02T00:00:00"/>
    <d v="2024-12-02T00:00:00"/>
    <x v="4"/>
    <x v="0"/>
    <s v="2025-08-11"/>
    <d v="2025-08-11T00:00:00"/>
    <n v="252"/>
    <s v="OK"/>
    <s v="CUST-7764"/>
    <s v="Priya Menon"/>
    <s v="Priya Menon"/>
    <s v="Consumer"/>
    <x v="0"/>
    <s v="South"/>
    <x v="2"/>
    <s v="OK"/>
    <s v="Tamil Nadu"/>
    <s v="Tamil Nadu"/>
    <s v="Chennai"/>
    <s v="Chennai"/>
    <s v="Furniture"/>
    <x v="1"/>
    <s v="Bookcases"/>
    <x v="9"/>
    <s v="Classic Bookcases 847"/>
    <s v="Same Day"/>
    <x v="1"/>
    <s v="OK"/>
    <n v="1"/>
    <n v="2599.12"/>
    <n v="0.15"/>
    <n v="0.15"/>
    <s v="OK"/>
    <n v="2209.25"/>
    <n v="1523.78"/>
    <n v="685.47"/>
    <n v="2209.252"/>
    <n v="685.47199999999998"/>
    <x v="91"/>
    <s v="Paid"/>
    <x v="0"/>
    <s v="OK"/>
    <s v="Completed"/>
    <x v="0"/>
    <s v="OK"/>
    <s v="CLEAN"/>
    <s v="MATCH"/>
    <s v="MATCH"/>
  </r>
  <r>
    <x v="94"/>
    <n v="1"/>
    <d v="2024-10-22T00:00:00"/>
    <d v="2024-10-22T00:00:00"/>
    <x v="7"/>
    <x v="0"/>
    <s v="02/01/2024"/>
    <d v="2024-02-01T00:00:00"/>
    <n v="-264"/>
    <s v="INVALID_SHIPPING"/>
    <s v="CUST-1142"/>
    <s v="Rohan Mehta"/>
    <s v="Rohan Mehta"/>
    <s v="Small Business"/>
    <x v="1"/>
    <s v="South"/>
    <x v="2"/>
    <s v="OK"/>
    <s v="Andhra Pradesh"/>
    <s v="Andhra Pradesh"/>
    <s v="Vijayawada"/>
    <s v="Vijayawada"/>
    <s v="Furniture"/>
    <x v="1"/>
    <s v="Bookcases"/>
    <x v="9"/>
    <s v="Pro Bookcases 430"/>
    <s v="Standard Class"/>
    <x v="3"/>
    <s v="OK"/>
    <n v="3"/>
    <n v="915.84"/>
    <n v="0.15"/>
    <n v="0.15"/>
    <s v="OK"/>
    <n v="2335.39"/>
    <n v="1466.15"/>
    <n v="869.24"/>
    <n v="2335.3919999999998"/>
    <n v="869.24199999999973"/>
    <x v="92"/>
    <s v="Paid"/>
    <x v="0"/>
    <s v="OK"/>
    <s v="Completed"/>
    <x v="0"/>
    <s v="OK"/>
    <s v="INVALID"/>
    <s v="MATCH"/>
    <s v="MATCH"/>
  </r>
  <r>
    <x v="95"/>
    <n v="1"/>
    <d v="2024-09-09T00:00:00"/>
    <d v="2024-09-09T00:00:00"/>
    <x v="5"/>
    <x v="0"/>
    <s v="11-01-2025"/>
    <d v="2025-11-01T00:00:00"/>
    <n v="418"/>
    <s v="OK"/>
    <s v="CUST-2324"/>
    <s v="Neha Gupta"/>
    <s v="Neha Gupta"/>
    <s v="Home Office"/>
    <x v="3"/>
    <s v="South"/>
    <x v="2"/>
    <s v="OK"/>
    <s v="Telangana"/>
    <s v="Telangana"/>
    <s v="Hyderabad"/>
    <s v="Hyderabad"/>
    <s v="Furniture"/>
    <x v="1"/>
    <s v="Bookcases"/>
    <x v="9"/>
    <s v="Max Bookcases 881"/>
    <s v="First Class"/>
    <x v="2"/>
    <s v="OK"/>
    <n v="1"/>
    <n v="4199.54"/>
    <n v="0.05"/>
    <n v="0.05"/>
    <s v="OK"/>
    <n v="3989.56"/>
    <n v="2381.38"/>
    <n v="1608.18"/>
    <n v="3989.5629999999996"/>
    <n v="1608.1829999999995"/>
    <x v="93"/>
    <s v="Paid"/>
    <x v="0"/>
    <s v="OK"/>
    <s v="Completed"/>
    <x v="0"/>
    <s v="OK"/>
    <s v="CLEAN"/>
    <s v="MATCH"/>
    <s v="MATCH"/>
  </r>
  <r>
    <x v="96"/>
    <n v="1"/>
    <d v="2024-09-03T00:00:00"/>
    <d v="2024-09-03T00:00:00"/>
    <x v="5"/>
    <x v="0"/>
    <s v="18 Sep 2025"/>
    <d v="2025-09-18T00:00:00"/>
    <n v="380"/>
    <s v="OK"/>
    <s v="CUST-4830"/>
    <s v="Neha Gupta"/>
    <s v="Neha Gupta"/>
    <s v="Small Business"/>
    <x v="1"/>
    <s v="West"/>
    <x v="3"/>
    <s v="OK"/>
    <s v="Goa"/>
    <s v="Goa"/>
    <s v="Panaji"/>
    <s v="Panaji"/>
    <s v="Furniture"/>
    <x v="1"/>
    <s v="Furnishings"/>
    <x v="3"/>
    <s v="Pro Furnishings 108"/>
    <s v="Second Class"/>
    <x v="0"/>
    <s v="OK"/>
    <n v="8"/>
    <n v="4472.84"/>
    <n v="0"/>
    <n v="0"/>
    <s v="OK"/>
    <n v="35997.620000000003"/>
    <n v="26424.41"/>
    <n v="9358.31"/>
    <n v="35782.720000000001"/>
    <n v="9358.3100000000013"/>
    <x v="94"/>
    <s v="Pending"/>
    <x v="1"/>
    <s v="OK"/>
    <s v="Returned"/>
    <x v="1"/>
    <s v="RETURNED_ORDER"/>
    <s v="CLEAN"/>
    <s v="MISMATCH"/>
    <s v="MATCH"/>
  </r>
  <r>
    <x v="97"/>
    <n v="1"/>
    <d v="2024-11-22T00:00:00"/>
    <d v="2024-11-22T00:00:00"/>
    <x v="2"/>
    <x v="0"/>
    <s v="26-06-2024"/>
    <d v="2024-06-26T00:00:00"/>
    <n v="-149"/>
    <s v="INVALID_SHIPPING"/>
    <s v="CUST-4598"/>
    <s v="Mira Das"/>
    <s v="Mira Das"/>
    <s v="Home Office"/>
    <x v="3"/>
    <s v="East"/>
    <x v="1"/>
    <s v="OK"/>
    <s v="Bihar"/>
    <s v="Bihar"/>
    <s v="Patna"/>
    <s v="Patna"/>
    <s v="Furniture"/>
    <x v="1"/>
    <s v="Chairs"/>
    <x v="10"/>
    <s v="Max Chairs 148"/>
    <s v="Standard Class"/>
    <x v="3"/>
    <s v="OK"/>
    <n v="4"/>
    <n v="3422.99"/>
    <n v="0.25"/>
    <n v="0.25"/>
    <s v="OK"/>
    <n v="10268.969999999999"/>
    <n v="6470.92"/>
    <n v="3798.05"/>
    <n v="10268.969999999999"/>
    <n v="3798.0499999999993"/>
    <x v="95"/>
    <s v="Paid"/>
    <x v="0"/>
    <s v="OK"/>
    <s v="Completed"/>
    <x v="0"/>
    <s v="OK"/>
    <s v="INVALID"/>
    <s v="MATCH"/>
    <s v="MATCH"/>
  </r>
  <r>
    <x v="98"/>
    <n v="1"/>
    <d v="2024-05-02T00:00:00"/>
    <d v="2024-05-02T00:00:00"/>
    <x v="3"/>
    <x v="0"/>
    <s v="2025-07-16"/>
    <d v="2025-07-16T00:00:00"/>
    <n v="440"/>
    <s v="OK"/>
    <s v="CUST-6153"/>
    <s v="Priya Menon"/>
    <s v="Priya Menon"/>
    <s v="Home Office"/>
    <x v="3"/>
    <s v="North"/>
    <x v="0"/>
    <s v="OK"/>
    <s v="Punjab"/>
    <s v="Punjab"/>
    <s v="Ludhiana"/>
    <s v="Ludhiana"/>
    <s v="Technology"/>
    <x v="2"/>
    <s v="Copiers"/>
    <x v="6"/>
    <s v="Prime Copiers 440"/>
    <s v="Second Class"/>
    <x v="0"/>
    <s v="OK"/>
    <n v="1"/>
    <n v="2312.25"/>
    <n v="0.25"/>
    <n v="0.25"/>
    <s v="OK"/>
    <n v="1734.19"/>
    <n v="1386.07"/>
    <n v="348.12"/>
    <n v="1734.1875"/>
    <n v="348.11750000000006"/>
    <x v="96"/>
    <s v="Paid"/>
    <x v="0"/>
    <s v="OK"/>
    <s v="Completed"/>
    <x v="0"/>
    <s v="OK"/>
    <s v="CLEAN"/>
    <s v="MATCH"/>
    <s v="MATCH"/>
  </r>
  <r>
    <x v="99"/>
    <n v="1"/>
    <d v="2024-01-27T00:00:00"/>
    <d v="2024-01-27T00:00:00"/>
    <x v="9"/>
    <x v="0"/>
    <s v="05/10/2025"/>
    <d v="2025-05-10T00:00:00"/>
    <n v="469"/>
    <s v="OK"/>
    <s v="CUST-5580"/>
    <s v="Arjun Bose"/>
    <s v="Arjun Bose"/>
    <s v="Small Business"/>
    <x v="1"/>
    <s v="East"/>
    <x v="1"/>
    <s v="OK"/>
    <s v="Bihar"/>
    <s v="Bihar"/>
    <s v="Patna"/>
    <s v="Patna"/>
    <s v="Technology"/>
    <x v="2"/>
    <s v="Machines"/>
    <x v="12"/>
    <s v="Basic Machines 584"/>
    <s v="Same Day"/>
    <x v="1"/>
    <s v="OK"/>
    <n v="7"/>
    <n v="2673.42"/>
    <n v="0.15"/>
    <n v="0.15"/>
    <s v="OK"/>
    <n v="15906.85"/>
    <n v="11014.46"/>
    <n v="4892.3900000000003"/>
    <n v="15906.849000000002"/>
    <n v="4892.3890000000029"/>
    <x v="97"/>
    <s v="Paid"/>
    <x v="0"/>
    <s v="OK"/>
    <s v="Returned"/>
    <x v="1"/>
    <s v="RETURNED_ORDER"/>
    <s v="CLEAN"/>
    <s v="MATCH"/>
    <s v="MATCH"/>
  </r>
  <r>
    <x v="100"/>
    <n v="1"/>
    <d v="2024-06-01T00:00:00"/>
    <d v="2024-06-01T00:00:00"/>
    <x v="8"/>
    <x v="0"/>
    <s v="02/08/2025"/>
    <d v="2025-02-08T00:00:00"/>
    <n v="252"/>
    <s v="OK"/>
    <s v="CUST-4399"/>
    <s v="Sneha Kapoor"/>
    <s v="Sneha Kapoor"/>
    <s v="Home Office"/>
    <x v="3"/>
    <m/>
    <x v="4"/>
    <s v="MISSING_REGION"/>
    <s v="Bihar"/>
    <s v="Bihar"/>
    <s v="Patna"/>
    <s v="Patna"/>
    <s v="Office Supplies"/>
    <x v="0"/>
    <s v="Art"/>
    <x v="2"/>
    <s v="Classic Art 573"/>
    <s v="Same Day"/>
    <x v="1"/>
    <s v="OK"/>
    <n v="8"/>
    <n v="3879.95"/>
    <n v="0"/>
    <n v="0"/>
    <s v="OK"/>
    <n v="31039.599999999999"/>
    <n v="20866.72"/>
    <n v="10172.879999999999"/>
    <n v="31039.599999999999"/>
    <n v="10172.879999999997"/>
    <x v="98"/>
    <s v="Paid"/>
    <x v="0"/>
    <s v="OK"/>
    <s v="Completed"/>
    <x v="0"/>
    <s v="OK"/>
    <s v="WARNING"/>
    <s v="MATCH"/>
    <s v="MATCH"/>
  </r>
  <r>
    <x v="101"/>
    <n v="1"/>
    <d v="2024-09-30T00:00:00"/>
    <d v="2024-09-30T00:00:00"/>
    <x v="5"/>
    <x v="0"/>
    <s v="29-06-2024"/>
    <d v="2024-06-29T00:00:00"/>
    <n v="-93"/>
    <s v="INVALID_SHIPPING"/>
    <s v="CUST-3092"/>
    <s v="Isha Nair"/>
    <s v="Isha Nair"/>
    <s v="Corporate"/>
    <x v="2"/>
    <s v="South"/>
    <x v="2"/>
    <s v="OK"/>
    <s v="Telangana"/>
    <s v="Telangana"/>
    <s v="Hyderabad"/>
    <s v="Hyderabad"/>
    <s v="Office Supplies"/>
    <x v="0"/>
    <s v="Art"/>
    <x v="2"/>
    <s v="Eco Art 854"/>
    <s v="Standard Class"/>
    <x v="3"/>
    <s v="OK"/>
    <n v="4"/>
    <n v="3281.74"/>
    <n v="0"/>
    <n v="0"/>
    <s v="OK"/>
    <n v="13126.96"/>
    <n v="10732.44"/>
    <n v="2394.52"/>
    <n v="13126.96"/>
    <n v="2394.5199999999986"/>
    <x v="99"/>
    <s v="Paid"/>
    <x v="0"/>
    <s v="OK"/>
    <s v="Completed"/>
    <x v="0"/>
    <s v="OK"/>
    <s v="INVALID"/>
    <s v="MATCH"/>
    <s v="MATCH"/>
  </r>
  <r>
    <x v="102"/>
    <n v="1"/>
    <d v="2024-03-15T00:00:00"/>
    <d v="2024-03-15T00:00:00"/>
    <x v="10"/>
    <x v="0"/>
    <s v="28 Feb 2024"/>
    <d v="2024-02-28T00:00:00"/>
    <n v="-16"/>
    <s v="INVALID_SHIPPING"/>
    <s v="CUST-1778"/>
    <s v="Ananya Rao"/>
    <s v="Ananya Rao"/>
    <s v="Small Business"/>
    <x v="1"/>
    <s v="South"/>
    <x v="2"/>
    <s v="OK"/>
    <s v="Tamil Nadu"/>
    <s v="Tamil Nadu"/>
    <s v="Chennai"/>
    <s v="Chennai"/>
    <s v="Furniture"/>
    <x v="1"/>
    <s v="Furnishings"/>
    <x v="3"/>
    <s v="Classic Furnishings 996"/>
    <s v="Standard Class"/>
    <x v="3"/>
    <s v="OK"/>
    <n v="4"/>
    <n v="3186.3"/>
    <n v="0.25"/>
    <n v="0.25"/>
    <s v="OK"/>
    <n v="9558.9"/>
    <n v="5516.76"/>
    <n v="4042.14"/>
    <n v="9558.9000000000015"/>
    <n v="4042.1400000000012"/>
    <x v="100"/>
    <s v="Refunded"/>
    <x v="2"/>
    <s v="REFUNDED_PAYMENT"/>
    <s v="Returned"/>
    <x v="1"/>
    <s v="RETURNED_ORDER"/>
    <s v="INVALID"/>
    <s v="MATCH"/>
    <s v="MATCH"/>
  </r>
  <r>
    <x v="103"/>
    <n v="1"/>
    <d v="2024-08-26T00:00:00"/>
    <d v="2024-08-26T00:00:00"/>
    <x v="1"/>
    <x v="0"/>
    <s v="2024-11-04"/>
    <d v="2024-11-04T00:00:00"/>
    <n v="70"/>
    <s v="OK"/>
    <s v="CUST-3787"/>
    <s v="Mira Das"/>
    <s v="Mira Das"/>
    <s v="Home Office"/>
    <x v="3"/>
    <s v="North"/>
    <x v="0"/>
    <s v="OK"/>
    <s v="Uttar Pradesh"/>
    <s v="Uttar Pradesh"/>
    <s v="Noida"/>
    <s v="Noida"/>
    <s v="Office Supplies"/>
    <x v="0"/>
    <s v="Binders"/>
    <x v="11"/>
    <s v="Prime Binders 735"/>
    <s v="First Class"/>
    <x v="2"/>
    <s v="OK"/>
    <n v="7"/>
    <n v="844.59"/>
    <n v="0.1"/>
    <n v="0.1"/>
    <s v="OK"/>
    <n v="5320.92"/>
    <n v="3041.5"/>
    <n v="2279.42"/>
    <n v="5320.9170000000004"/>
    <n v="2279.4170000000004"/>
    <x v="101"/>
    <s v="Paid"/>
    <x v="0"/>
    <s v="OK"/>
    <s v="Completed"/>
    <x v="0"/>
    <s v="OK"/>
    <s v="CLEAN"/>
    <s v="MATCH"/>
    <s v="MATCH"/>
  </r>
  <r>
    <x v="104"/>
    <n v="1"/>
    <d v="2024-10-16T00:00:00"/>
    <d v="2024-10-16T00:00:00"/>
    <x v="7"/>
    <x v="0"/>
    <s v="08/23/2024"/>
    <d v="2024-08-23T00:00:00"/>
    <n v="-54"/>
    <s v="INVALID_SHIPPING"/>
    <s v="CUST-4121"/>
    <s v="Ananya Rao"/>
    <s v="Ananya Rao"/>
    <s v="Home Office"/>
    <x v="3"/>
    <s v="East"/>
    <x v="1"/>
    <s v="OK"/>
    <s v="Bihar"/>
    <s v="Bihar"/>
    <s v="Patna"/>
    <s v="Patna"/>
    <s v="Technology"/>
    <x v="2"/>
    <s v="Machines"/>
    <x v="12"/>
    <s v="Basic Machines 575"/>
    <s v="Standard Class"/>
    <x v="3"/>
    <s v="OK"/>
    <n v="7"/>
    <n v="775.77"/>
    <n v="0"/>
    <n v="0"/>
    <s v="OK"/>
    <n v="5430.39"/>
    <n v="3707.66"/>
    <n v="1722.73"/>
    <n v="5430.3899999999994"/>
    <n v="1722.7299999999996"/>
    <x v="102"/>
    <s v="Paid"/>
    <x v="0"/>
    <s v="OK"/>
    <s v="Completed"/>
    <x v="0"/>
    <s v="OK"/>
    <s v="INVALID"/>
    <s v="MATCH"/>
    <s v="MATCH"/>
  </r>
  <r>
    <x v="105"/>
    <n v="1"/>
    <d v="2024-02-04T00:00:00"/>
    <d v="2024-02-04T00:00:00"/>
    <x v="11"/>
    <x v="0"/>
    <s v="08/27/2025"/>
    <d v="2025-08-27T00:00:00"/>
    <n v="570"/>
    <s v="OK"/>
    <s v="CUST-1358"/>
    <s v="Vikram Iyer"/>
    <s v="Vikram Iyer"/>
    <s v="Corporate"/>
    <x v="2"/>
    <s v="West"/>
    <x v="3"/>
    <s v="OK"/>
    <s v="Madhya Pradesh"/>
    <s v="Madhya Pradesh"/>
    <s v="Indore"/>
    <s v="Indore"/>
    <s v="Furniture"/>
    <x v="1"/>
    <s v="Bookcases"/>
    <x v="9"/>
    <s v="Max Bookcases 472"/>
    <s v="Standard Class"/>
    <x v="3"/>
    <s v="OK"/>
    <n v="2"/>
    <n v="888.98"/>
    <n v="0"/>
    <n v="0"/>
    <s v="OK"/>
    <n v="1777.96"/>
    <n v="1021.16"/>
    <n v="756.8"/>
    <n v="1777.96"/>
    <n v="756.80000000000007"/>
    <x v="103"/>
    <s v="Refunded"/>
    <x v="2"/>
    <s v="REFUNDED_PAYMENT"/>
    <s v="Returned"/>
    <x v="1"/>
    <s v="RETURNED_ORDER"/>
    <s v="CLEAN"/>
    <s v="MATCH"/>
    <s v="MATCH"/>
  </r>
  <r>
    <x v="106"/>
    <n v="1"/>
    <d v="2024-05-11T00:00:00"/>
    <d v="2024-05-11T00:00:00"/>
    <x v="3"/>
    <x v="0"/>
    <s v="2024-10-24"/>
    <d v="2024-10-24T00:00:00"/>
    <n v="166"/>
    <s v="OK"/>
    <s v="CUST-4968"/>
    <s v="Arjun Bose"/>
    <s v="Arjun Bose"/>
    <s v="Consumer"/>
    <x v="0"/>
    <m/>
    <x v="4"/>
    <s v="MISSING_REGION"/>
    <s v="Punjab"/>
    <s v="Punjab"/>
    <s v="Ludhiana"/>
    <s v="Ludhiana"/>
    <s v="Office Supplies"/>
    <x v="0"/>
    <s v="Labels"/>
    <x v="5"/>
    <s v="Smart Labels 475"/>
    <s v="Second Class"/>
    <x v="0"/>
    <s v="OK"/>
    <n v="2"/>
    <n v="1003.17"/>
    <n v="0.2"/>
    <n v="0.2"/>
    <s v="OK"/>
    <n v="1605.07"/>
    <n v="1337.28"/>
    <n v="267.79000000000002"/>
    <n v="1605.0720000000001"/>
    <n v="267.79200000000014"/>
    <x v="104"/>
    <s v="Paid"/>
    <x v="0"/>
    <s v="OK"/>
    <s v="Completed"/>
    <x v="0"/>
    <s v="OK"/>
    <s v="WARNING"/>
    <s v="MATCH"/>
    <s v="MATCH"/>
  </r>
  <r>
    <x v="107"/>
    <n v="1"/>
    <d v="2024-07-19T00:00:00"/>
    <d v="2024-07-19T00:00:00"/>
    <x v="0"/>
    <x v="0"/>
    <s v="2025-06-30"/>
    <d v="2025-06-30T00:00:00"/>
    <n v="346"/>
    <s v="OK"/>
    <s v="CUST-2778"/>
    <s v="Vikram Iyer"/>
    <s v="Vikram Iyer"/>
    <s v="Consumer"/>
    <x v="0"/>
    <s v="South"/>
    <x v="2"/>
    <s v="OK"/>
    <s v="Tamil Nadu"/>
    <s v="Tamil Nadu"/>
    <s v="Chennai"/>
    <s v="Chennai"/>
    <s v="Furniture"/>
    <x v="1"/>
    <s v="Tables"/>
    <x v="1"/>
    <s v="Basic Tables 417"/>
    <s v="First Class"/>
    <x v="2"/>
    <s v="OK"/>
    <n v="7"/>
    <n v="3608.43"/>
    <n v="0.05"/>
    <n v="0.05"/>
    <s v="OK"/>
    <n v="23996.06"/>
    <n v="20167.28"/>
    <n v="3828.78"/>
    <n v="23996.059499999996"/>
    <n v="3828.7794999999969"/>
    <x v="105"/>
    <s v="Paid"/>
    <x v="0"/>
    <s v="OK"/>
    <s v="Completed"/>
    <x v="0"/>
    <s v="OK"/>
    <s v="CLEAN"/>
    <s v="MATCH"/>
    <s v="MATCH"/>
  </r>
  <r>
    <x v="108"/>
    <n v="1"/>
    <d v="2024-10-19T00:00:00"/>
    <d v="2024-10-19T00:00:00"/>
    <x v="7"/>
    <x v="0"/>
    <s v="14-01-2024"/>
    <d v="2024-01-14T00:00:00"/>
    <n v="-279"/>
    <s v="INVALID_SHIPPING"/>
    <s v="CUST-7410"/>
    <s v="Sneha Kapoor"/>
    <s v="Sneha Kapoor"/>
    <s v="Small Business"/>
    <x v="1"/>
    <s v="South"/>
    <x v="2"/>
    <s v="OK"/>
    <s v="Tamil Nadu"/>
    <s v="Tamil Nadu"/>
    <s v="Chennai"/>
    <s v="Chennai"/>
    <s v="Furniture"/>
    <x v="1"/>
    <s v="Bookcases"/>
    <x v="9"/>
    <s v="Prime Bookcases 602"/>
    <s v="Second Class"/>
    <x v="0"/>
    <s v="OK"/>
    <n v="6"/>
    <n v="4308.3999999999996"/>
    <n v="0.65"/>
    <n v="0.65"/>
    <s v="OK"/>
    <n v="25850.400000000001"/>
    <n v="19397.68"/>
    <n v="6452.72"/>
    <n v="9047.64"/>
    <n v="-10350.040000000001"/>
    <x v="106"/>
    <s v="Paid"/>
    <x v="0"/>
    <s v="OK"/>
    <s v="Completed"/>
    <x v="0"/>
    <s v="OK"/>
    <s v="INVALID"/>
    <s v="MISMATCH"/>
    <s v="MISMATCH"/>
  </r>
  <r>
    <x v="109"/>
    <n v="1"/>
    <d v="2024-09-12T00:00:00"/>
    <d v="2024-09-12T00:00:00"/>
    <x v="5"/>
    <x v="0"/>
    <s v="12-02-2024"/>
    <d v="2024-12-02T00:00:00"/>
    <n v="81"/>
    <s v="OK"/>
    <s v="CUST-7115"/>
    <s v="Isha Nair"/>
    <s v="Isha Nair"/>
    <s v="Home Office"/>
    <x v="3"/>
    <s v="West"/>
    <x v="3"/>
    <s v="OK"/>
    <s v="Gujarat"/>
    <s v="Gujarat"/>
    <s v="Ahmedabad"/>
    <s v="Ahmedabad"/>
    <s v="Furniture"/>
    <x v="1"/>
    <s v="Chairs"/>
    <x v="10"/>
    <s v="Eco Chairs 438"/>
    <s v="First Class"/>
    <x v="2"/>
    <s v="OK"/>
    <n v="4"/>
    <n v="2191.0300000000002"/>
    <n v="0"/>
    <n v="0"/>
    <s v="OK"/>
    <n v="8764.1200000000008"/>
    <n v="7220.05"/>
    <n v="1544.07"/>
    <n v="8764.1200000000008"/>
    <n v="1544.0700000000006"/>
    <x v="107"/>
    <s v="Paid"/>
    <x v="0"/>
    <s v="OK"/>
    <s v="Completed"/>
    <x v="0"/>
    <s v="OK"/>
    <s v="CLEAN"/>
    <s v="MATCH"/>
    <s v="MATCH"/>
  </r>
  <r>
    <x v="110"/>
    <n v="1"/>
    <d v="2024-06-23T00:00:00"/>
    <d v="2024-06-23T00:00:00"/>
    <x v="8"/>
    <x v="0"/>
    <s v="30 Sep 2024"/>
    <d v="2024-09-30T00:00:00"/>
    <n v="99"/>
    <s v="OK"/>
    <s v="CUST-9853"/>
    <s v="Priya Menon"/>
    <s v="Priya Menon"/>
    <s v="Small Business"/>
    <x v="1"/>
    <s v="North"/>
    <x v="0"/>
    <s v="OK"/>
    <s v="Punjab"/>
    <s v="Punjab"/>
    <s v="Ludhiana"/>
    <s v="Ludhiana"/>
    <s v="Technology"/>
    <x v="2"/>
    <s v="Copiers"/>
    <x v="6"/>
    <s v="Prime Copiers 142"/>
    <s v="Same Day"/>
    <x v="1"/>
    <s v="OK"/>
    <n v="6"/>
    <n v="1956.63"/>
    <n v="0.2"/>
    <n v="0.2"/>
    <s v="OK"/>
    <n v="9391.82"/>
    <n v="6013.22"/>
    <n v="3378.6"/>
    <n v="9391.8240000000005"/>
    <n v="3378.6040000000003"/>
    <x v="108"/>
    <s v="Refunded"/>
    <x v="2"/>
    <s v="REFUNDED_PAYMENT"/>
    <s v="Returned"/>
    <x v="1"/>
    <s v="RETURNED_ORDER"/>
    <s v="CLEAN"/>
    <s v="MATCH"/>
    <s v="MATCH"/>
  </r>
  <r>
    <x v="111"/>
    <n v="1"/>
    <d v="2024-01-22T00:00:00"/>
    <d v="2024-01-22T00:00:00"/>
    <x v="9"/>
    <x v="0"/>
    <s v="01-01-2025"/>
    <d v="2025-01-01T00:00:00"/>
    <n v="345"/>
    <s v="OK"/>
    <s v="CUST-8028"/>
    <s v="Kabir Singh"/>
    <s v="Kabir Singh"/>
    <s v="Home Office"/>
    <x v="3"/>
    <s v="North"/>
    <x v="0"/>
    <s v="OK"/>
    <s v="Uttar Pradesh"/>
    <s v="Uttar Pradesh"/>
    <s v="Noida"/>
    <s v="Noida"/>
    <s v="Office Supplies"/>
    <x v="0"/>
    <s v="Storage"/>
    <x v="7"/>
    <s v="Elite Storage 915"/>
    <s v="First Class"/>
    <x v="2"/>
    <s v="OK"/>
    <n v="3"/>
    <n v="1212.03"/>
    <n v="0.1"/>
    <n v="0.1"/>
    <s v="OK"/>
    <n v="3272.48"/>
    <n v="2517.44"/>
    <n v="755.04"/>
    <n v="3272.4810000000002"/>
    <n v="755.04100000000017"/>
    <x v="109"/>
    <s v="Paid"/>
    <x v="0"/>
    <s v="OK"/>
    <s v="Completed"/>
    <x v="0"/>
    <s v="OK"/>
    <s v="CLEAN"/>
    <s v="MATCH"/>
    <s v="MATCH"/>
  </r>
  <r>
    <x v="112"/>
    <n v="1"/>
    <d v="2024-06-05T00:00:00"/>
    <d v="2024-06-05T00:00:00"/>
    <x v="8"/>
    <x v="0"/>
    <s v="19 Feb 2025"/>
    <d v="2025-02-19T00:00:00"/>
    <n v="259"/>
    <s v="OK"/>
    <s v="CUST-7820"/>
    <s v="Sneha Kapoor"/>
    <s v="Sneha Kapoor"/>
    <s v="Consumer"/>
    <x v="0"/>
    <s v="West"/>
    <x v="3"/>
    <s v="OK"/>
    <s v="Gujarat"/>
    <s v="Gujarat"/>
    <s v="Ahmedabad"/>
    <s v="Ahmedabad"/>
    <s v="Office Supplies"/>
    <x v="0"/>
    <s v="Art"/>
    <x v="2"/>
    <s v="Classic Art 968"/>
    <s v="Second Class"/>
    <x v="0"/>
    <s v="OK"/>
    <n v="1"/>
    <n v="1184.58"/>
    <n v="0.05"/>
    <n v="0.05"/>
    <s v="OK"/>
    <n v="1125.3499999999999"/>
    <n v="676.97"/>
    <n v="448.38"/>
    <n v="1125.3509999999999"/>
    <n v="448.38099999999986"/>
    <x v="110"/>
    <s v="Failed"/>
    <x v="3"/>
    <s v="EXCLUDE_FROM_SALES"/>
    <s v="Cancelled"/>
    <x v="2"/>
    <s v="EXCLUDE_FROM_SALES"/>
    <s v="CLEAN"/>
    <s v="MATCH"/>
    <s v="MATCH"/>
  </r>
  <r>
    <x v="113"/>
    <n v="1"/>
    <d v="2024-12-03T00:00:00"/>
    <d v="2024-12-03T00:00:00"/>
    <x v="4"/>
    <x v="0"/>
    <s v="17 Feb 2024"/>
    <d v="2024-02-17T00:00:00"/>
    <n v="-290"/>
    <s v="INVALID_SHIPPING"/>
    <s v="CUST-4536"/>
    <s v="Rahul Verma"/>
    <s v="Rahul Verma"/>
    <s v="Home Office"/>
    <x v="3"/>
    <s v="East"/>
    <x v="1"/>
    <s v="OK"/>
    <s v="Bihar"/>
    <s v="Bihar"/>
    <s v="Patna"/>
    <s v="Patna"/>
    <s v="Technology"/>
    <x v="2"/>
    <s v="Machines"/>
    <x v="12"/>
    <s v="Prime Machines 806"/>
    <m/>
    <x v="4"/>
    <s v="MISSING_SHIP_MODE"/>
    <n v="6"/>
    <n v="2185.58"/>
    <n v="0.25"/>
    <n v="0.25"/>
    <s v="OK"/>
    <n v="9835.11"/>
    <n v="5437.64"/>
    <n v="4397.47"/>
    <n v="9835.11"/>
    <n v="4397.47"/>
    <x v="111"/>
    <s v="Paid"/>
    <x v="0"/>
    <s v="OK"/>
    <s v="Completed"/>
    <x v="0"/>
    <s v="OK"/>
    <s v="INVALID"/>
    <s v="MATCH"/>
    <s v="MATCH"/>
  </r>
  <r>
    <x v="114"/>
    <n v="1"/>
    <d v="2024-03-28T00:00:00"/>
    <d v="2024-03-28T00:00:00"/>
    <x v="10"/>
    <x v="0"/>
    <s v="2024-06-18"/>
    <d v="2024-06-18T00:00:00"/>
    <n v="82"/>
    <s v="OK"/>
    <s v="CUST-3384"/>
    <s v="Sneha Kapoor"/>
    <s v="Sneha Kapoor"/>
    <s v="Corporate"/>
    <x v="2"/>
    <s v="West"/>
    <x v="3"/>
    <s v="OK"/>
    <s v="Rajasthan"/>
    <s v="Rajasthan"/>
    <s v="Udaipur"/>
    <s v="Udaipur"/>
    <s v="Technology"/>
    <x v="2"/>
    <s v="Accessories"/>
    <x v="4"/>
    <s v="Max Accessories 186"/>
    <s v="Second Class"/>
    <x v="0"/>
    <s v="OK"/>
    <n v="1"/>
    <n v="570.34"/>
    <n v="0.15"/>
    <n v="0.15"/>
    <s v="OK"/>
    <n v="484.79"/>
    <n v="333.54"/>
    <n v="151.25"/>
    <n v="484.78899999999999"/>
    <n v="151.24899999999997"/>
    <x v="112"/>
    <s v="Paid"/>
    <x v="0"/>
    <s v="OK"/>
    <s v="Completed"/>
    <x v="0"/>
    <s v="OK"/>
    <s v="CLEAN"/>
    <s v="MATCH"/>
    <s v="MATCH"/>
  </r>
  <r>
    <x v="115"/>
    <n v="1"/>
    <d v="2024-10-07T00:00:00"/>
    <d v="2024-10-07T00:00:00"/>
    <x v="7"/>
    <x v="0"/>
    <s v="19 Jun 2024"/>
    <d v="2024-06-19T00:00:00"/>
    <n v="-110"/>
    <s v="INVALID_SHIPPING"/>
    <s v="CUST-3362"/>
    <s v="Aarav Sharma"/>
    <s v="Aarav Sharma"/>
    <s v="Home Office"/>
    <x v="3"/>
    <s v="West"/>
    <x v="3"/>
    <s v="OK"/>
    <s v="Goa"/>
    <s v="Goa"/>
    <s v="Panaji"/>
    <s v="Panaji"/>
    <s v="Furniture"/>
    <x v="1"/>
    <s v="Bookcases"/>
    <x v="9"/>
    <s v="Eco Bookcases 671"/>
    <s v="Second Class"/>
    <x v="0"/>
    <s v="OK"/>
    <n v="2"/>
    <n v="1095.45"/>
    <n v="0.2"/>
    <n v="0.2"/>
    <s v="OK"/>
    <n v="1752.72"/>
    <n v="996.41"/>
    <n v="756.31"/>
    <n v="1752.7200000000003"/>
    <n v="756.31000000000029"/>
    <x v="113"/>
    <s v="Paid"/>
    <x v="0"/>
    <s v="OK"/>
    <s v="Completed"/>
    <x v="0"/>
    <s v="OK"/>
    <s v="INVALID"/>
    <s v="MATCH"/>
    <s v="MATCH"/>
  </r>
  <r>
    <x v="116"/>
    <n v="1"/>
    <d v="2024-03-15T00:00:00"/>
    <d v="2024-03-15T00:00:00"/>
    <x v="10"/>
    <x v="0"/>
    <s v="2024-08-18"/>
    <d v="2024-08-18T00:00:00"/>
    <n v="156"/>
    <s v="OK"/>
    <s v="CUST-3076"/>
    <s v="Kabir Singh"/>
    <s v="Kabir Singh"/>
    <s v="Home Office"/>
    <x v="3"/>
    <s v="South"/>
    <x v="2"/>
    <s v="OK"/>
    <s v="Karnataka"/>
    <s v="Karnataka"/>
    <s v="Bengaluru"/>
    <s v="Bengaluru"/>
    <s v="Technology"/>
    <x v="2"/>
    <s v="Machines"/>
    <x v="12"/>
    <s v="Classic Machines 944"/>
    <s v="Second Class"/>
    <x v="0"/>
    <s v="OK"/>
    <n v="1"/>
    <n v="4131.3599999999997"/>
    <n v="0"/>
    <n v="0"/>
    <s v="OK"/>
    <n v="4131.3599999999997"/>
    <n v="2937.07"/>
    <n v="1194.29"/>
    <n v="4131.3599999999997"/>
    <n v="1194.2899999999995"/>
    <x v="114"/>
    <s v="Failed"/>
    <x v="3"/>
    <s v="EXCLUDE_FROM_SALES"/>
    <s v="Returned"/>
    <x v="1"/>
    <s v="RETURNED_ORDER"/>
    <s v="CLEAN"/>
    <s v="MATCH"/>
    <s v="MATCH"/>
  </r>
  <r>
    <x v="117"/>
    <n v="1"/>
    <d v="2024-05-16T00:00:00"/>
    <d v="2024-05-16T00:00:00"/>
    <x v="3"/>
    <x v="0"/>
    <s v="08/26/2025"/>
    <d v="2025-08-26T00:00:00"/>
    <n v="467"/>
    <s v="OK"/>
    <s v="CUST-2222"/>
    <s v="Rohan Mehta"/>
    <s v="Rohan Mehta"/>
    <s v="Corporate"/>
    <x v="2"/>
    <s v="East"/>
    <x v="1"/>
    <s v="OK"/>
    <s v="West Bengal"/>
    <s v="West Bengal"/>
    <s v="Kolkata"/>
    <s v="Kolkata"/>
    <s v="Technology"/>
    <x v="2"/>
    <s v="Copiers"/>
    <x v="6"/>
    <s v="Basic Copiers 222"/>
    <s v="Second Class"/>
    <x v="0"/>
    <s v="OK"/>
    <n v="8"/>
    <n v="4221.95"/>
    <n v="0.2"/>
    <n v="0.2"/>
    <s v="OK"/>
    <n v="27020.48"/>
    <n v="22885.24"/>
    <n v="4135.24"/>
    <n v="27020.48"/>
    <n v="4135.239999999998"/>
    <x v="115"/>
    <s v="Paid"/>
    <x v="0"/>
    <s v="OK"/>
    <s v="Completed"/>
    <x v="0"/>
    <s v="OK"/>
    <s v="CLEAN"/>
    <s v="MATCH"/>
    <s v="MATCH"/>
  </r>
  <r>
    <x v="118"/>
    <n v="1"/>
    <d v="2024-09-21T00:00:00"/>
    <d v="2024-09-21T00:00:00"/>
    <x v="5"/>
    <x v="0"/>
    <s v="04-12-2024"/>
    <d v="2024-04-12T00:00:00"/>
    <n v="-162"/>
    <s v="INVALID_SHIPPING"/>
    <s v="CUST-3610"/>
    <s v="Ananya Rao"/>
    <s v="Ananya Rao"/>
    <s v="Small Business"/>
    <x v="1"/>
    <s v="East"/>
    <x v="1"/>
    <s v="OK"/>
    <s v="Odisha"/>
    <s v="Odisha"/>
    <s v="Bhubaneswar"/>
    <s v="Bhubaneswar"/>
    <s v="Technology"/>
    <x v="2"/>
    <s v="Phones"/>
    <x v="8"/>
    <s v="Max Phones 329"/>
    <s v="Same Day"/>
    <x v="1"/>
    <s v="OK"/>
    <n v="2"/>
    <n v="214.5"/>
    <n v="0.15"/>
    <n v="0.15"/>
    <s v="OK"/>
    <n v="364.65"/>
    <n v="280.74"/>
    <n v="83.91"/>
    <n v="364.65"/>
    <n v="83.909999999999968"/>
    <x v="116"/>
    <s v="Paid"/>
    <x v="0"/>
    <s v="OK"/>
    <s v="Completed"/>
    <x v="0"/>
    <s v="OK"/>
    <s v="INVALID"/>
    <s v="MATCH"/>
    <s v="MATCH"/>
  </r>
  <r>
    <x v="119"/>
    <n v="1"/>
    <d v="2024-05-15T00:00:00"/>
    <d v="2024-05-15T00:00:00"/>
    <x v="3"/>
    <x v="0"/>
    <s v="25 May 2024"/>
    <d v="2024-05-25T00:00:00"/>
    <n v="10"/>
    <s v="OK"/>
    <s v="CUST-9136"/>
    <s v="Isha Nair"/>
    <s v="Isha Nair"/>
    <s v="Small Business"/>
    <x v="1"/>
    <s v="East"/>
    <x v="1"/>
    <s v="OK"/>
    <s v="Bihar"/>
    <s v="Bihar"/>
    <s v="Patna"/>
    <s v="Patna"/>
    <s v="Technology"/>
    <x v="2"/>
    <s v="Accessories"/>
    <x v="4"/>
    <s v="Classic Accessories 840"/>
    <s v="Second Class"/>
    <x v="0"/>
    <s v="OK"/>
    <n v="4"/>
    <n v="4332.7299999999996"/>
    <n v="0.2"/>
    <n v="0.2"/>
    <s v="OK"/>
    <n v="13864.74"/>
    <n v="11294.06"/>
    <n v="2570.6799999999998"/>
    <n v="13864.735999999999"/>
    <n v="2570.6759999999995"/>
    <x v="117"/>
    <s v="Paid"/>
    <x v="0"/>
    <s v="OK"/>
    <s v="Completed"/>
    <x v="0"/>
    <s v="OK"/>
    <s v="CLEAN"/>
    <s v="MATCH"/>
    <s v="MATCH"/>
  </r>
  <r>
    <x v="120"/>
    <n v="1"/>
    <d v="2024-03-17T00:00:00"/>
    <d v="2024-03-17T00:00:00"/>
    <x v="10"/>
    <x v="0"/>
    <s v="07/24/2024"/>
    <d v="2024-07-24T00:00:00"/>
    <n v="129"/>
    <s v="OK"/>
    <s v="CUST-1301"/>
    <s v="Rahul Verma"/>
    <s v="Rahul Verma"/>
    <s v="Consumer"/>
    <x v="0"/>
    <s v="North"/>
    <x v="0"/>
    <s v="OK"/>
    <s v="Haryana"/>
    <s v="Haryana"/>
    <s v="Gurugram"/>
    <s v="Gurugram"/>
    <s v="Technology"/>
    <x v="2"/>
    <s v="Accessories"/>
    <x v="4"/>
    <s v="Classic Accessories 757"/>
    <s v="First Class"/>
    <x v="2"/>
    <s v="OK"/>
    <n v="3"/>
    <n v="248.18"/>
    <n v="0.05"/>
    <n v="0.05"/>
    <s v="OK"/>
    <n v="707.31"/>
    <n v="569"/>
    <n v="138.31"/>
    <n v="707.31299999999999"/>
    <n v="138.31299999999999"/>
    <x v="118"/>
    <s v="Paid"/>
    <x v="0"/>
    <s v="OK"/>
    <s v="Completed"/>
    <x v="0"/>
    <s v="OK"/>
    <s v="CLEAN"/>
    <s v="MATCH"/>
    <s v="MATCH"/>
  </r>
  <r>
    <x v="121"/>
    <n v="1"/>
    <d v="2024-03-01T00:00:00"/>
    <d v="2024-03-01T00:00:00"/>
    <x v="10"/>
    <x v="0"/>
    <s v="18-07-2025"/>
    <d v="2025-07-18T00:00:00"/>
    <n v="504"/>
    <s v="OK"/>
    <s v="CUST-8603"/>
    <s v="Mira Das"/>
    <s v="Mira Das"/>
    <s v="Consumer"/>
    <x v="0"/>
    <s v="West"/>
    <x v="3"/>
    <s v="OK"/>
    <s v="Madhya Pradesh"/>
    <s v="Madhya Pradesh"/>
    <s v="Indore"/>
    <s v="Indore"/>
    <s v="Office Supplies"/>
    <x v="0"/>
    <s v="Paper"/>
    <x v="0"/>
    <s v="Prime Paper 286"/>
    <s v="First Class"/>
    <x v="2"/>
    <s v="OK"/>
    <n v="8"/>
    <n v="3202.4"/>
    <n v="0.25"/>
    <n v="0.25"/>
    <s v="OK"/>
    <n v="19214.400000000001"/>
    <n v="10916.01"/>
    <n v="8298.39"/>
    <n v="19214.400000000001"/>
    <n v="8298.3900000000012"/>
    <x v="119"/>
    <s v="Paid"/>
    <x v="0"/>
    <s v="OK"/>
    <s v="Completed"/>
    <x v="0"/>
    <s v="OK"/>
    <s v="CLEAN"/>
    <s v="MATCH"/>
    <s v="MATCH"/>
  </r>
  <r>
    <x v="122"/>
    <n v="1"/>
    <d v="2024-06-18T00:00:00"/>
    <d v="2024-06-18T00:00:00"/>
    <x v="8"/>
    <x v="0"/>
    <s v="26 Sep 2025"/>
    <d v="2025-09-26T00:00:00"/>
    <n v="465"/>
    <s v="OK"/>
    <s v="CUST-1472"/>
    <s v="Rahul Verma"/>
    <s v="Rahul Verma"/>
    <s v="Consumer"/>
    <x v="0"/>
    <s v="East"/>
    <x v="1"/>
    <s v="OK"/>
    <s v="Bihar"/>
    <s v="Bihar"/>
    <s v="Patna"/>
    <s v="Patna"/>
    <s v="Technology"/>
    <x v="2"/>
    <s v="Machines"/>
    <x v="12"/>
    <s v="Elite Machines 290"/>
    <s v="First Class"/>
    <x v="2"/>
    <s v="OK"/>
    <n v="2"/>
    <n v="121.49"/>
    <s v="85%"/>
    <n v="0.85"/>
    <s v="OK"/>
    <n v="242.98"/>
    <n v="161.41999999999999"/>
    <n v="81.56"/>
    <n v="36.447000000000003"/>
    <n v="-124.97299999999998"/>
    <x v="120"/>
    <s v="Paid"/>
    <x v="0"/>
    <s v="OK"/>
    <s v="Completed"/>
    <x v="0"/>
    <s v="OK"/>
    <s v="CLEAN"/>
    <s v="MISMATCH"/>
    <s v="MISMATCH"/>
  </r>
  <r>
    <x v="123"/>
    <n v="1"/>
    <d v="2024-03-09T00:00:00"/>
    <d v="2024-03-09T00:00:00"/>
    <x v="10"/>
    <x v="0"/>
    <s v="26-01-2025"/>
    <d v="2025-01-26T00:00:00"/>
    <n v="323"/>
    <s v="OK"/>
    <s v="CUST-1031"/>
    <s v="Sneha Kapoor"/>
    <s v="Sneha Kapoor"/>
    <s v="Consumer"/>
    <x v="0"/>
    <s v="South"/>
    <x v="2"/>
    <s v="OK"/>
    <s v="Kerala"/>
    <s v="Kerala"/>
    <s v="Kochi"/>
    <s v="Kochi"/>
    <s v="Office Supplies"/>
    <x v="0"/>
    <s v="Storage"/>
    <x v="7"/>
    <s v="Elite Storage 925"/>
    <s v="First Class"/>
    <x v="2"/>
    <s v="OK"/>
    <n v="4"/>
    <n v="2810.17"/>
    <n v="0.15"/>
    <n v="0.15"/>
    <s v="OK"/>
    <n v="9554.58"/>
    <n v="6068.47"/>
    <n v="3486.11"/>
    <n v="9554.5779999999995"/>
    <n v="3486.1079999999993"/>
    <x v="121"/>
    <s v="Refunded"/>
    <x v="2"/>
    <s v="REFUNDED_PAYMENT"/>
    <s v="Cancelled"/>
    <x v="2"/>
    <s v="EXCLUDE_FROM_SALES"/>
    <s v="CLEAN"/>
    <s v="MATCH"/>
    <s v="MATCH"/>
  </r>
  <r>
    <x v="124"/>
    <n v="1"/>
    <d v="2024-02-09T00:00:00"/>
    <d v="2024-02-09T00:00:00"/>
    <x v="11"/>
    <x v="0"/>
    <s v="16 Dec 2024"/>
    <d v="2024-12-16T00:00:00"/>
    <n v="311"/>
    <s v="OK"/>
    <s v="CUST-1266"/>
    <s v="Mira Das"/>
    <s v="Mira Das"/>
    <s v="Corporate"/>
    <x v="2"/>
    <s v="West"/>
    <x v="3"/>
    <s v="OK"/>
    <s v="Goa"/>
    <s v="Goa"/>
    <s v="Panaji"/>
    <s v="Panaji"/>
    <s v="Technology"/>
    <x v="2"/>
    <s v="Phones"/>
    <x v="8"/>
    <s v="Classic Phones 548"/>
    <s v="Standard Class"/>
    <x v="3"/>
    <s v="OK"/>
    <n v="6"/>
    <n v="1032.47"/>
    <n v="0.15"/>
    <n v="0.15"/>
    <s v="OK"/>
    <n v="5265.6"/>
    <n v="4293.1099999999997"/>
    <n v="787.57"/>
    <n v="5265.5969999999998"/>
    <n v="972.48700000000008"/>
    <x v="122"/>
    <s v="Paid"/>
    <x v="0"/>
    <s v="OK"/>
    <s v="Completed"/>
    <x v="0"/>
    <s v="OK"/>
    <s v="CLEAN"/>
    <s v="MATCH"/>
    <s v="MISMATCH"/>
  </r>
  <r>
    <x v="125"/>
    <n v="1"/>
    <d v="2024-05-07T00:00:00"/>
    <d v="2024-05-07T00:00:00"/>
    <x v="3"/>
    <x v="0"/>
    <s v="25-07-2024"/>
    <d v="2024-07-25T00:00:00"/>
    <n v="79"/>
    <s v="OK"/>
    <s v="CUST-2819"/>
    <s v="Ananya Rao"/>
    <s v="Ananya Rao"/>
    <s v="Small Business"/>
    <x v="1"/>
    <s v="West"/>
    <x v="3"/>
    <s v="OK"/>
    <s v="Goa"/>
    <s v="Goa"/>
    <s v="Panaji"/>
    <s v="Panaji"/>
    <s v="Office Supplies"/>
    <x v="0"/>
    <s v="Binders"/>
    <x v="11"/>
    <s v="Prime Binders 507"/>
    <s v="First Class"/>
    <x v="2"/>
    <s v="OK"/>
    <n v="3"/>
    <n v="577.75"/>
    <n v="0.15"/>
    <n v="0.15"/>
    <s v="OK"/>
    <n v="1473.26"/>
    <n v="899.86"/>
    <n v="573.4"/>
    <n v="1473.2625"/>
    <n v="573.40250000000003"/>
    <x v="123"/>
    <s v="Paid"/>
    <x v="0"/>
    <s v="OK"/>
    <s v="Completed"/>
    <x v="0"/>
    <s v="OK"/>
    <s v="CLEAN"/>
    <s v="MATCH"/>
    <s v="MATCH"/>
  </r>
  <r>
    <x v="126"/>
    <n v="1"/>
    <d v="2024-04-24T00:00:00"/>
    <d v="2024-04-24T00:00:00"/>
    <x v="6"/>
    <x v="0"/>
    <s v="02 Feb 2024"/>
    <d v="2024-02-02T00:00:00"/>
    <n v="-82"/>
    <s v="INVALID_SHIPPING"/>
    <s v="CUST-1076"/>
    <s v="Karan Malhotra"/>
    <s v="Karan Malhotra"/>
    <s v="Small Business"/>
    <x v="1"/>
    <s v="South"/>
    <x v="2"/>
    <s v="OK"/>
    <s v="Telangana"/>
    <s v="Telangana"/>
    <s v="Hyderabad"/>
    <s v="Hyderabad"/>
    <s v="Office Supplies"/>
    <x v="0"/>
    <s v="Labels"/>
    <x v="5"/>
    <s v="Smart Labels 914"/>
    <s v="Second Class"/>
    <x v="0"/>
    <s v="OK"/>
    <n v="1"/>
    <n v="3194.37"/>
    <n v="0.15"/>
    <n v="0.15"/>
    <s v="OK"/>
    <n v="2715.21"/>
    <n v="1551.55"/>
    <n v="1163.6600000000001"/>
    <n v="2715.2145"/>
    <n v="1163.6645000000001"/>
    <x v="124"/>
    <s v="Paid"/>
    <x v="0"/>
    <s v="OK"/>
    <s v="Completed"/>
    <x v="0"/>
    <s v="OK"/>
    <s v="INVALID"/>
    <s v="MATCH"/>
    <s v="MATCH"/>
  </r>
  <r>
    <x v="127"/>
    <n v="1"/>
    <d v="2024-05-28T00:00:00"/>
    <d v="2024-05-28T00:00:00"/>
    <x v="3"/>
    <x v="0"/>
    <s v="2025-10-04"/>
    <d v="2025-10-04T00:00:00"/>
    <n v="494"/>
    <s v="OK"/>
    <s v="CUST-3434"/>
    <s v="Neha Gupta"/>
    <s v="Neha Gupta"/>
    <s v="Small Business"/>
    <x v="1"/>
    <s v="North"/>
    <x v="0"/>
    <s v="OK"/>
    <s v="Rajasthan"/>
    <s v="Rajasthan"/>
    <s v="Jaipur"/>
    <s v="Jaipur"/>
    <s v="Office Supplies"/>
    <x v="0"/>
    <s v="Paper"/>
    <x v="0"/>
    <s v="Eco Paper 937"/>
    <s v="Standard Class"/>
    <x v="3"/>
    <s v="OK"/>
    <n v="8"/>
    <n v="1540.33"/>
    <n v="0.1"/>
    <n v="0.1"/>
    <s v="OK"/>
    <n v="11090.38"/>
    <n v="8840.9500000000007"/>
    <n v="2249.4299999999998"/>
    <n v="11090.376"/>
    <n v="2249.4259999999995"/>
    <x v="125"/>
    <s v="Paid"/>
    <x v="0"/>
    <s v="OK"/>
    <s v="Completed"/>
    <x v="0"/>
    <s v="OK"/>
    <s v="CLEAN"/>
    <s v="MATCH"/>
    <s v="MATCH"/>
  </r>
  <r>
    <x v="128"/>
    <n v="1"/>
    <d v="2024-02-05T00:00:00"/>
    <d v="2024-02-05T00:00:00"/>
    <x v="11"/>
    <x v="0"/>
    <s v="04 Nov 2024"/>
    <d v="2024-11-04T00:00:00"/>
    <n v="273"/>
    <s v="OK"/>
    <s v="CUST-9139"/>
    <s v="Ananya Rao"/>
    <s v="Ananya Rao"/>
    <s v="Corporate"/>
    <x v="2"/>
    <s v="North"/>
    <x v="0"/>
    <s v="OK"/>
    <s v="Rajasthan"/>
    <s v="Rajasthan"/>
    <s v="Jaipur"/>
    <s v="Jaipur"/>
    <s v="Office  Supplies"/>
    <x v="0"/>
    <s v="Labels"/>
    <x v="5"/>
    <s v="Max Labels 370"/>
    <s v="First Class"/>
    <x v="2"/>
    <s v="OK"/>
    <n v="7"/>
    <n v="2183.38"/>
    <n v="0.25"/>
    <n v="0.25"/>
    <s v="OK"/>
    <n v="11462.74"/>
    <n v="7163.54"/>
    <n v="4299.2"/>
    <n v="11462.744999999999"/>
    <n v="4299.204999999999"/>
    <x v="126"/>
    <s v="Refunded"/>
    <x v="2"/>
    <s v="REFUNDED_PAYMENT"/>
    <s v="Cancelled"/>
    <x v="2"/>
    <s v="EXCLUDE_FROM_SALES"/>
    <s v="CLEAN"/>
    <s v="MISMATCH"/>
    <s v="MISMATCH"/>
  </r>
  <r>
    <x v="129"/>
    <n v="1"/>
    <d v="2024-10-14T00:00:00"/>
    <d v="2024-10-14T00:00:00"/>
    <x v="7"/>
    <x v="0"/>
    <s v="12/18/2024"/>
    <d v="2024-12-18T00:00:00"/>
    <n v="65"/>
    <s v="OK"/>
    <s v="CUST-3710"/>
    <s v="Vikram Iyer"/>
    <s v="Vikram Iyer"/>
    <s v="Corporate"/>
    <x v="2"/>
    <s v="South"/>
    <x v="2"/>
    <s v="OK"/>
    <s v="Karnataka"/>
    <s v="Karnataka"/>
    <s v="Bengaluru"/>
    <s v="Bengaluru"/>
    <s v="Furniture"/>
    <x v="1"/>
    <s v="Bookcases"/>
    <x v="9"/>
    <s v="Smart Bookcases 328"/>
    <m/>
    <x v="4"/>
    <s v="MISSING_SHIP_MODE"/>
    <n v="8"/>
    <n v="3904.59"/>
    <n v="0"/>
    <n v="0"/>
    <s v="OK"/>
    <n v="31236.720000000001"/>
    <n v="26377.7"/>
    <n v="4859.0200000000004"/>
    <n v="31236.720000000001"/>
    <n v="4859.0200000000004"/>
    <x v="127"/>
    <s v="Paid"/>
    <x v="0"/>
    <s v="OK"/>
    <s v="Completed"/>
    <x v="0"/>
    <s v="OK"/>
    <s v="WARNING"/>
    <s v="MATCH"/>
    <s v="MATCH"/>
  </r>
  <r>
    <x v="130"/>
    <n v="1"/>
    <d v="2024-02-09T00:00:00"/>
    <d v="2024-02-09T00:00:00"/>
    <x v="11"/>
    <x v="0"/>
    <s v="2025-07-14"/>
    <d v="2025-07-14T00:00:00"/>
    <n v="521"/>
    <s v="OK"/>
    <s v="CUST-9754"/>
    <s v="Kabir Singh"/>
    <s v="Kabir Singh"/>
    <s v="Home Office"/>
    <x v="3"/>
    <s v="North"/>
    <x v="0"/>
    <s v="OK"/>
    <s v="Delhi"/>
    <s v="Delhi"/>
    <s v="New Delhi"/>
    <s v="New Delhi"/>
    <s v="Furniture"/>
    <x v="1"/>
    <s v="Furnishings"/>
    <x v="3"/>
    <s v="Eco Furnishings 981"/>
    <s v="First Class"/>
    <x v="2"/>
    <s v="OK"/>
    <n v="9"/>
    <n v="1353.61"/>
    <n v="0.1"/>
    <n v="0.1"/>
    <s v="OK"/>
    <n v="10964.24"/>
    <n v="9262.4699999999993"/>
    <n v="1701.77"/>
    <n v="10964.241"/>
    <n v="1701.7710000000006"/>
    <x v="128"/>
    <s v="Paid"/>
    <x v="0"/>
    <s v="OK"/>
    <s v="Completed"/>
    <x v="0"/>
    <s v="OK"/>
    <s v="CLEAN"/>
    <s v="MATCH"/>
    <s v="MATCH"/>
  </r>
  <r>
    <x v="131"/>
    <n v="1"/>
    <d v="2024-02-11T00:00:00"/>
    <d v="2024-02-11T00:00:00"/>
    <x v="11"/>
    <x v="0"/>
    <s v="2025-08-24"/>
    <d v="2025-08-24T00:00:00"/>
    <n v="560"/>
    <s v="OK"/>
    <s v="CUST-6256"/>
    <s v="Rahul Verma"/>
    <s v="Rahul Verma"/>
    <s v="Small Business"/>
    <x v="1"/>
    <s v="West"/>
    <x v="3"/>
    <s v="OK"/>
    <s v="Rajasthan"/>
    <s v="Rajasthan"/>
    <s v="Udaipur"/>
    <s v="Udaipur"/>
    <s v="Office Supplies"/>
    <x v="0"/>
    <s v="Storage"/>
    <x v="7"/>
    <s v="Basic Storage 195"/>
    <s v="Standard Class"/>
    <x v="3"/>
    <s v="OK"/>
    <n v="6"/>
    <n v="2671.29"/>
    <n v="0.05"/>
    <n v="0.05"/>
    <s v="OK"/>
    <n v="15226.35"/>
    <n v="11145.28"/>
    <n v="4081.07"/>
    <n v="15226.352999999999"/>
    <n v="4081.0729999999985"/>
    <x v="129"/>
    <s v="Paid"/>
    <x v="0"/>
    <s v="OK"/>
    <s v="Completed"/>
    <x v="0"/>
    <s v="OK"/>
    <s v="CLEAN"/>
    <s v="MATCH"/>
    <s v="MATCH"/>
  </r>
  <r>
    <x v="132"/>
    <n v="1"/>
    <d v="2024-10-14T00:00:00"/>
    <d v="2024-10-14T00:00:00"/>
    <x v="7"/>
    <x v="0"/>
    <s v="15-02-2025"/>
    <d v="2025-02-15T00:00:00"/>
    <n v="124"/>
    <s v="OK"/>
    <s v="CUST-7113"/>
    <s v="Priya Menon"/>
    <s v="Priya Menon"/>
    <s v="Corporate"/>
    <x v="2"/>
    <s v="North"/>
    <x v="0"/>
    <s v="OK"/>
    <s v="Uttar Pradesh"/>
    <s v="Uttar Pradesh"/>
    <s v="Noida"/>
    <s v="Noida"/>
    <s v="Furniture"/>
    <x v="1"/>
    <s v="Bookcases"/>
    <x v="9"/>
    <s v="Elite Bookcases 907"/>
    <s v="First Class"/>
    <x v="2"/>
    <s v="OK"/>
    <n v="6"/>
    <n v="4062.78"/>
    <n v="0"/>
    <n v="0"/>
    <s v="OK"/>
    <n v="24376.68"/>
    <n v="18533.39"/>
    <n v="5843.29"/>
    <n v="24376.68"/>
    <n v="5843.2900000000009"/>
    <x v="130"/>
    <s v="Paid"/>
    <x v="0"/>
    <s v="OK"/>
    <s v="Completed"/>
    <x v="0"/>
    <s v="OK"/>
    <s v="CLEAN"/>
    <s v="MATCH"/>
    <s v="MATCH"/>
  </r>
  <r>
    <x v="133"/>
    <n v="1"/>
    <d v="2024-08-27T00:00:00"/>
    <d v="2024-08-27T00:00:00"/>
    <x v="1"/>
    <x v="0"/>
    <s v="2025-01-09"/>
    <d v="2025-01-09T00:00:00"/>
    <n v="135"/>
    <s v="OK"/>
    <s v="CUST-3827"/>
    <s v="Mira Das"/>
    <s v="Mira Das"/>
    <s v="Consumer"/>
    <x v="0"/>
    <s v="North"/>
    <x v="0"/>
    <s v="OK"/>
    <s v="Haryana"/>
    <s v="Haryana"/>
    <s v="Gurugram"/>
    <s v="Gurugram"/>
    <s v="Technology"/>
    <x v="2"/>
    <s v="Copiers"/>
    <x v="6"/>
    <s v="Smart Copiers 471"/>
    <s v="Standard Class"/>
    <x v="3"/>
    <s v="OK"/>
    <n v="9"/>
    <n v="2330.3000000000002"/>
    <n v="0"/>
    <n v="0"/>
    <s v="OK"/>
    <n v="20972.7"/>
    <n v="13504.88"/>
    <n v="7467.82"/>
    <n v="20972.7"/>
    <n v="7467.8200000000015"/>
    <x v="131"/>
    <s v="Paid"/>
    <x v="0"/>
    <s v="OK"/>
    <s v="Completed"/>
    <x v="0"/>
    <s v="OK"/>
    <s v="CLEAN"/>
    <s v="MATCH"/>
    <s v="MATCH"/>
  </r>
  <r>
    <x v="134"/>
    <n v="1"/>
    <d v="2024-12-01T00:00:00"/>
    <d v="2024-12-01T00:00:00"/>
    <x v="4"/>
    <x v="0"/>
    <s v="26-01-2024"/>
    <d v="2024-01-26T00:00:00"/>
    <n v="-310"/>
    <s v="INVALID_SHIPPING"/>
    <s v="CUST-2375"/>
    <s v="Arjun Bose"/>
    <s v="Arjun Bose"/>
    <s v="Consumer"/>
    <x v="0"/>
    <s v="South"/>
    <x v="2"/>
    <s v="OK"/>
    <s v="Andhra Pradesh"/>
    <s v="Andhra Pradesh"/>
    <s v="Vijayawada"/>
    <s v="Vijayawada"/>
    <s v="Office Supplies"/>
    <x v="0"/>
    <s v="Storage"/>
    <x v="7"/>
    <s v="Prime Storage 625"/>
    <s v="First Class"/>
    <x v="2"/>
    <s v="OK"/>
    <n v="7"/>
    <n v="4005.05"/>
    <n v="0.55000000000000004"/>
    <n v="0.55000000000000004"/>
    <s v="OK"/>
    <n v="26633.58"/>
    <n v="18838.75"/>
    <n v="7794.83"/>
    <n v="12615.907499999999"/>
    <n v="-6222.8425000000007"/>
    <x v="132"/>
    <s v="Paid"/>
    <x v="0"/>
    <s v="OK"/>
    <s v="Completed"/>
    <x v="0"/>
    <s v="OK"/>
    <s v="INVALID"/>
    <s v="MISMATCH"/>
    <s v="MISMATCH"/>
  </r>
  <r>
    <x v="135"/>
    <n v="1"/>
    <d v="2024-09-21T00:00:00"/>
    <d v="2024-09-21T00:00:00"/>
    <x v="5"/>
    <x v="0"/>
    <s v="07-03-2025"/>
    <d v="2025-07-03T00:00:00"/>
    <n v="285"/>
    <s v="OK"/>
    <s v="CUST-2233"/>
    <s v="Kabir Singh"/>
    <s v="Kabir Singh"/>
    <s v="Corporate"/>
    <x v="2"/>
    <s v="South"/>
    <x v="2"/>
    <s v="OK"/>
    <s v="Karnataka"/>
    <s v="Karnataka"/>
    <s v="Bengaluru"/>
    <s v="Bengaluru"/>
    <s v="Technology"/>
    <x v="2"/>
    <s v="Machines"/>
    <x v="12"/>
    <s v="Smart Machines 801"/>
    <s v="First Class"/>
    <x v="2"/>
    <s v="OK"/>
    <n v="2"/>
    <n v="1960.06"/>
    <n v="0.2"/>
    <n v="0.2"/>
    <s v="OK"/>
    <n v="3136.1"/>
    <n v="2279.4899999999998"/>
    <n v="856.61"/>
    <n v="3136.096"/>
    <n v="856.60600000000022"/>
    <x v="133"/>
    <s v="Paid"/>
    <x v="0"/>
    <s v="OK"/>
    <s v="Completed"/>
    <x v="0"/>
    <s v="OK"/>
    <s v="CLEAN"/>
    <s v="MATCH"/>
    <s v="MATCH"/>
  </r>
  <r>
    <x v="136"/>
    <n v="1"/>
    <d v="2024-12-17T00:00:00"/>
    <d v="2024-12-17T00:00:00"/>
    <x v="4"/>
    <x v="0"/>
    <s v="01 Jun 2024"/>
    <d v="2024-06-01T00:00:00"/>
    <n v="-199"/>
    <s v="INVALID_SHIPPING"/>
    <s v="CUST-9778"/>
    <s v="Aarav Sharma"/>
    <s v="Aarav Sharma"/>
    <s v="Corporate"/>
    <x v="2"/>
    <s v="South"/>
    <x v="2"/>
    <s v="OK"/>
    <s v="Telangana"/>
    <s v="Telangana"/>
    <s v="Hyderabad"/>
    <s v="Hyderabad"/>
    <s v="Office Supplies"/>
    <x v="0"/>
    <s v="Binders"/>
    <x v="11"/>
    <s v="Max Binders 170"/>
    <s v="First Class"/>
    <x v="2"/>
    <s v="OK"/>
    <n v="9"/>
    <n v="2315.1"/>
    <n v="0"/>
    <n v="0"/>
    <s v="OK"/>
    <n v="20835.900000000001"/>
    <n v="13928.19"/>
    <n v="6907.71"/>
    <n v="20835.899999999998"/>
    <n v="6907.7099999999973"/>
    <x v="134"/>
    <s v="Paid"/>
    <x v="0"/>
    <s v="OK"/>
    <s v="Completed"/>
    <x v="0"/>
    <s v="OK"/>
    <s v="INVALID"/>
    <s v="MATCH"/>
    <s v="MATCH"/>
  </r>
  <r>
    <x v="137"/>
    <n v="1"/>
    <d v="2024-08-23T00:00:00"/>
    <d v="2024-08-23T00:00:00"/>
    <x v="1"/>
    <x v="0"/>
    <s v="2024-03-29"/>
    <d v="2024-03-29T00:00:00"/>
    <n v="-147"/>
    <s v="INVALID_SHIPPING"/>
    <s v="CUST-6008"/>
    <s v="Neha Gupta"/>
    <s v="Neha Gupta"/>
    <s v="Consumer"/>
    <x v="0"/>
    <s v="South"/>
    <x v="2"/>
    <s v="OK"/>
    <s v="Telangana"/>
    <s v="Telangana"/>
    <s v="Hyderabad"/>
    <s v="Hyderabad"/>
    <s v="Furniture"/>
    <x v="1"/>
    <s v="Bookcases"/>
    <x v="9"/>
    <s v="Eco Bookcases 768"/>
    <s v="Same Day"/>
    <x v="1"/>
    <s v="OK"/>
    <n v="6"/>
    <n v="1021.89"/>
    <n v="0"/>
    <n v="0"/>
    <s v="OK"/>
    <n v="6131.34"/>
    <n v="4060.88"/>
    <n v="2070.46"/>
    <n v="6131.34"/>
    <n v="2070.46"/>
    <x v="135"/>
    <s v="Paid"/>
    <x v="0"/>
    <s v="OK"/>
    <s v="Completed"/>
    <x v="0"/>
    <s v="OK"/>
    <s v="INVALID"/>
    <s v="MATCH"/>
    <s v="MATCH"/>
  </r>
  <r>
    <x v="138"/>
    <n v="1"/>
    <d v="2024-10-18T00:00:00"/>
    <d v="2024-10-18T00:00:00"/>
    <x v="7"/>
    <x v="0"/>
    <s v="26 Mar 2024"/>
    <d v="2024-03-26T00:00:00"/>
    <n v="-206"/>
    <s v="INVALID_SHIPPING"/>
    <s v="CUST-1704"/>
    <s v="Neha Gupta"/>
    <s v="Neha Gupta"/>
    <s v="Home Office"/>
    <x v="3"/>
    <s v="South"/>
    <x v="2"/>
    <s v="OK"/>
    <s v="Kerala"/>
    <s v="Kerala"/>
    <s v="Kochi"/>
    <s v="Kochi"/>
    <s v="Furniture"/>
    <x v="1"/>
    <s v="Chairs"/>
    <x v="10"/>
    <s v="Pro Chairs 316"/>
    <s v="Second Class"/>
    <x v="0"/>
    <s v="OK"/>
    <n v="3"/>
    <n v="3275.93"/>
    <n v="0"/>
    <n v="0"/>
    <s v="OK"/>
    <n v="9827.7900000000009"/>
    <n v="5478.28"/>
    <n v="4349.51"/>
    <n v="9827.7899999999991"/>
    <n v="4349.5099999999993"/>
    <x v="136"/>
    <s v="Paid"/>
    <x v="0"/>
    <s v="OK"/>
    <s v="Completed"/>
    <x v="0"/>
    <s v="OK"/>
    <s v="INVALID"/>
    <s v="MATCH"/>
    <s v="MATCH"/>
  </r>
  <r>
    <x v="139"/>
    <n v="1"/>
    <d v="2024-04-05T00:00:00"/>
    <d v="2024-04-05T00:00:00"/>
    <x v="6"/>
    <x v="0"/>
    <s v="2024-03-26"/>
    <d v="2024-03-26T00:00:00"/>
    <n v="-10"/>
    <s v="INVALID_SHIPPING"/>
    <s v="CUST-1827"/>
    <s v="Ananya Rao"/>
    <s v="Ananya Rao"/>
    <s v="Corporate"/>
    <x v="2"/>
    <s v="North"/>
    <x v="0"/>
    <s v="OK"/>
    <s v="Punjab"/>
    <s v="Punjab"/>
    <s v="Ludhiana"/>
    <s v="Ludhiana"/>
    <s v="Technology"/>
    <x v="2"/>
    <s v="Machines"/>
    <x v="12"/>
    <s v="Classic Machines 819"/>
    <s v="Same Day"/>
    <x v="1"/>
    <s v="OK"/>
    <n v="3"/>
    <n v="231.95"/>
    <n v="0.25"/>
    <n v="0.25"/>
    <s v="OK"/>
    <n v="521.89"/>
    <n v="444.52"/>
    <n v="77.37"/>
    <n v="521.88749999999993"/>
    <n v="77.36749999999995"/>
    <x v="137"/>
    <s v="Refunded"/>
    <x v="2"/>
    <s v="REFUNDED_PAYMENT"/>
    <s v="Cancelled"/>
    <x v="2"/>
    <s v="EXCLUDE_FROM_SALES"/>
    <s v="INVALID"/>
    <s v="MATCH"/>
    <s v="MATCH"/>
  </r>
  <r>
    <x v="140"/>
    <n v="1"/>
    <d v="2024-07-25T00:00:00"/>
    <d v="2024-07-25T00:00:00"/>
    <x v="0"/>
    <x v="0"/>
    <s v="2024-06-15"/>
    <d v="2024-06-15T00:00:00"/>
    <n v="-40"/>
    <s v="INVALID_SHIPPING"/>
    <s v="CUST-6663"/>
    <s v="Rahul Verma"/>
    <s v="Rahul Verma"/>
    <s v="Corporate"/>
    <x v="2"/>
    <s v="North"/>
    <x v="0"/>
    <s v="OK"/>
    <s v="Rajasthan"/>
    <s v="Rajasthan"/>
    <s v="Jaipur"/>
    <s v="Jaipur"/>
    <s v="Technology"/>
    <x v="2"/>
    <s v="Accessories"/>
    <x v="4"/>
    <s v="Smart Accessories 572"/>
    <s v="Second Class"/>
    <x v="0"/>
    <s v="OK"/>
    <n v="8"/>
    <n v="2493.4"/>
    <n v="0.25"/>
    <n v="0.25"/>
    <s v="OK"/>
    <n v="14960.4"/>
    <n v="12500.84"/>
    <n v="2459.56"/>
    <n v="14960.400000000001"/>
    <n v="2459.5600000000013"/>
    <x v="138"/>
    <s v="Paid"/>
    <x v="0"/>
    <s v="OK"/>
    <s v="Completed"/>
    <x v="0"/>
    <s v="OK"/>
    <s v="INVALID"/>
    <s v="MATCH"/>
    <s v="MATCH"/>
  </r>
  <r>
    <x v="141"/>
    <n v="1"/>
    <d v="2024-02-06T00:00:00"/>
    <d v="2024-02-06T00:00:00"/>
    <x v="11"/>
    <x v="0"/>
    <s v="04/13/2025"/>
    <d v="2025-04-13T00:00:00"/>
    <n v="432"/>
    <s v="OK"/>
    <s v="CUST-6278"/>
    <s v="Rohan Mehta"/>
    <s v="Rohan Mehta"/>
    <s v="Home Office"/>
    <x v="3"/>
    <s v="East"/>
    <x v="1"/>
    <s v="OK"/>
    <s v="Odisha"/>
    <s v="Odisha"/>
    <s v="Bhubaneswar"/>
    <s v="Bhubaneswar"/>
    <s v="Office Supplies"/>
    <x v="0"/>
    <s v="Labels"/>
    <x v="5"/>
    <s v="Basic Labels 432"/>
    <s v="Second Class"/>
    <x v="0"/>
    <s v="OK"/>
    <n v="9"/>
    <n v="787.91"/>
    <n v="0.15"/>
    <n v="0.15"/>
    <s v="OK"/>
    <n v="6027.51"/>
    <n v="4883.82"/>
    <n v="1143.69"/>
    <n v="6027.5114999999996"/>
    <n v="1143.6914999999999"/>
    <x v="139"/>
    <s v="Paid"/>
    <x v="0"/>
    <s v="OK"/>
    <s v="Completed"/>
    <x v="0"/>
    <s v="OK"/>
    <s v="CLEAN"/>
    <s v="MATCH"/>
    <s v="MATCH"/>
  </r>
  <r>
    <x v="142"/>
    <n v="2"/>
    <d v="2024-02-21T00:00:00"/>
    <d v="2024-02-21T00:00:00"/>
    <x v="11"/>
    <x v="0"/>
    <s v="08/01/2025"/>
    <d v="2025-08-01T00:00:00"/>
    <n v="527"/>
    <s v="OK"/>
    <s v="CUST-5351"/>
    <s v="Arjun Bose"/>
    <s v="Arjun Bose"/>
    <s v="Small Business"/>
    <x v="1"/>
    <s v="East"/>
    <x v="1"/>
    <s v="OK"/>
    <s v="West Bengal"/>
    <s v="West Bengal"/>
    <s v="Kolkata"/>
    <s v="Kolkata"/>
    <s v="Furniture"/>
    <x v="1"/>
    <s v="Furnishings"/>
    <x v="3"/>
    <s v="Prime Furnishings 781"/>
    <s v="Standard Class"/>
    <x v="3"/>
    <s v="OK"/>
    <n v="5"/>
    <n v="3373.86"/>
    <n v="0.15"/>
    <n v="0.15"/>
    <s v="OK"/>
    <n v="14338.9"/>
    <n v="11897.65"/>
    <n v="2441.25"/>
    <n v="14338.904999999999"/>
    <n v="2441.2549999999992"/>
    <x v="140"/>
    <s v="Pending"/>
    <x v="1"/>
    <s v="OK"/>
    <s v="Returned"/>
    <x v="1"/>
    <s v="RETURNED_ORDER"/>
    <s v="CLEAN"/>
    <s v="MISMATCH"/>
    <s v="MISMATCH"/>
  </r>
  <r>
    <x v="142"/>
    <n v="2"/>
    <d v="2024-02-21T00:00:00"/>
    <d v="2024-02-21T00:00:00"/>
    <x v="11"/>
    <x v="0"/>
    <s v="2024-12-30"/>
    <d v="2024-12-30T00:00:00"/>
    <n v="313"/>
    <s v="OK"/>
    <s v="CUST-5351"/>
    <s v="Arjun Bose"/>
    <s v="Arjun Bose"/>
    <s v="Small Business"/>
    <x v="1"/>
    <s v="East"/>
    <x v="1"/>
    <s v="OK"/>
    <s v="West Bengal"/>
    <s v="West Bengal"/>
    <s v="Kolkata"/>
    <s v="Kolkata"/>
    <s v="Furniture"/>
    <x v="1"/>
    <s v="Furnishings"/>
    <x v="3"/>
    <s v="Prime Furnishings 781"/>
    <s v="Standard Class"/>
    <x v="3"/>
    <s v="OK"/>
    <n v="5"/>
    <n v="3373.86"/>
    <n v="0.15"/>
    <n v="0.15"/>
    <s v="OK"/>
    <n v="14338.9"/>
    <n v="11897.65"/>
    <n v="2441.25"/>
    <n v="14338.904999999999"/>
    <n v="2441.2549999999992"/>
    <x v="140"/>
    <s v="Pending"/>
    <x v="1"/>
    <s v="OK"/>
    <s v="Returned"/>
    <x v="1"/>
    <s v="RETURNED_ORDER"/>
    <s v="CLEAN"/>
    <s v="MISMATCH"/>
    <s v="MISMATCH"/>
  </r>
  <r>
    <x v="143"/>
    <n v="1"/>
    <d v="2024-12-09T00:00:00"/>
    <d v="2024-12-09T00:00:00"/>
    <x v="4"/>
    <x v="0"/>
    <s v="13-02-2025"/>
    <d v="2025-02-13T00:00:00"/>
    <n v="66"/>
    <s v="OK"/>
    <s v="CUST-5394"/>
    <s v="Priya Menon"/>
    <s v="Priya Menon"/>
    <s v="Small Business"/>
    <x v="1"/>
    <s v="North"/>
    <x v="0"/>
    <s v="OK"/>
    <s v="Rajasthan"/>
    <s v="Rajasthan"/>
    <s v="Jaipur"/>
    <s v="Jaipur"/>
    <s v="Technology"/>
    <x v="2"/>
    <s v="Phones"/>
    <x v="8"/>
    <s v="Classic Phones 442"/>
    <s v="Same Day"/>
    <x v="1"/>
    <s v="OK"/>
    <n v="6"/>
    <n v="832.79"/>
    <n v="0.05"/>
    <n v="0.05"/>
    <s v="OK"/>
    <n v="4746.8999999999996"/>
    <n v="2825.38"/>
    <n v="1472.89"/>
    <n v="4746.9029999999993"/>
    <n v="1921.5229999999992"/>
    <x v="141"/>
    <s v="Refunded"/>
    <x v="2"/>
    <s v="REFUNDED_PAYMENT"/>
    <s v="Cancelled"/>
    <x v="2"/>
    <s v="EXCLUDE_FROM_SALES"/>
    <s v="CLEAN"/>
    <s v="MATCH"/>
    <s v="MISMATCH"/>
  </r>
  <r>
    <x v="144"/>
    <n v="1"/>
    <d v="2024-05-11T00:00:00"/>
    <d v="2024-05-11T00:00:00"/>
    <x v="3"/>
    <x v="0"/>
    <s v="30-01-2024"/>
    <d v="2024-01-30T00:00:00"/>
    <n v="-102"/>
    <s v="INVALID_SHIPPING"/>
    <s v="CUST-8411"/>
    <s v="Ananya Rao"/>
    <s v="Ananya Rao"/>
    <s v="Consumer"/>
    <x v="0"/>
    <s v="East"/>
    <x v="1"/>
    <s v="OK"/>
    <s v="West Bengal"/>
    <s v="West Bengal"/>
    <s v="Kolkata"/>
    <s v="Kolkata"/>
    <s v="Furniture"/>
    <x v="1"/>
    <s v="Tables"/>
    <x v="1"/>
    <s v="Prime Tables 481"/>
    <s v="First Class"/>
    <x v="2"/>
    <s v="OK"/>
    <n v="9"/>
    <n v="2260.61"/>
    <n v="0.05"/>
    <n v="0.05"/>
    <s v="OK"/>
    <n v="19328.22"/>
    <n v="12039.5"/>
    <n v="7288.72"/>
    <n v="19328.215500000002"/>
    <n v="7288.7155000000021"/>
    <x v="142"/>
    <s v="Paid"/>
    <x v="0"/>
    <s v="OK"/>
    <s v="Completed"/>
    <x v="0"/>
    <s v="OK"/>
    <s v="INVALID"/>
    <s v="MATCH"/>
    <s v="MATCH"/>
  </r>
  <r>
    <x v="145"/>
    <n v="1"/>
    <d v="2024-12-30T00:00:00"/>
    <d v="2024-12-30T00:00:00"/>
    <x v="4"/>
    <x v="0"/>
    <s v="2024-03-12"/>
    <d v="2024-03-12T00:00:00"/>
    <n v="-293"/>
    <s v="INVALID_SHIPPING"/>
    <s v="CUST-8467"/>
    <s v="Sneha Kapoor"/>
    <s v="Sneha Kapoor"/>
    <s v="Corporate"/>
    <x v="2"/>
    <s v="South"/>
    <x v="2"/>
    <s v="OK"/>
    <s v="Tamil Nadu"/>
    <s v="Tamil Nadu"/>
    <s v="Chennai"/>
    <s v="Chennai"/>
    <s v="Furniture"/>
    <x v="1"/>
    <s v="Tables"/>
    <x v="1"/>
    <s v="Smart Tables 774"/>
    <s v="Same Day"/>
    <x v="1"/>
    <s v="OK"/>
    <n v="2"/>
    <n v="3720.07"/>
    <n v="0.25"/>
    <n v="0.25"/>
    <s v="OK"/>
    <n v="5580.11"/>
    <n v="4307.01"/>
    <n v="1273.0999999999999"/>
    <n v="5580.1050000000005"/>
    <n v="1273.0950000000003"/>
    <x v="143"/>
    <s v="Paid"/>
    <x v="0"/>
    <s v="OK"/>
    <s v="Completed"/>
    <x v="0"/>
    <s v="OK"/>
    <s v="INVALID"/>
    <s v="MATCH"/>
    <s v="MATCH"/>
  </r>
  <r>
    <x v="146"/>
    <n v="1"/>
    <d v="2024-06-21T00:00:00"/>
    <d v="2024-06-21T00:00:00"/>
    <x v="8"/>
    <x v="0"/>
    <s v="06/27/2024"/>
    <d v="2024-06-27T00:00:00"/>
    <n v="6"/>
    <s v="OK"/>
    <s v="CUST-5174"/>
    <s v="Neha Gupta"/>
    <s v="Neha Gupta"/>
    <s v="Consumer"/>
    <x v="0"/>
    <s v="South"/>
    <x v="2"/>
    <s v="OK"/>
    <s v="Tamil Nadu"/>
    <s v="Tamil Nadu"/>
    <s v="Chennai"/>
    <s v="Chennai"/>
    <s v="Technology"/>
    <x v="2"/>
    <s v="Machines"/>
    <x v="12"/>
    <s v="Prime Machines 793"/>
    <s v="Standard Class"/>
    <x v="3"/>
    <s v="OK"/>
    <n v="8"/>
    <n v="2853.92"/>
    <n v="0.2"/>
    <n v="0.2"/>
    <s v="OK"/>
    <n v="18265.09"/>
    <n v="10437.14"/>
    <n v="7827.95"/>
    <n v="18265.088"/>
    <n v="7827.9480000000003"/>
    <x v="144"/>
    <s v="Paid"/>
    <x v="0"/>
    <s v="OK"/>
    <s v="Completed"/>
    <x v="0"/>
    <s v="OK"/>
    <s v="CLEAN"/>
    <s v="MATCH"/>
    <s v="MATCH"/>
  </r>
  <r>
    <x v="147"/>
    <n v="1"/>
    <d v="2024-05-16T00:00:00"/>
    <d v="2024-05-16T00:00:00"/>
    <x v="3"/>
    <x v="0"/>
    <s v="06/17/2024"/>
    <d v="2024-06-17T00:00:00"/>
    <n v="32"/>
    <s v="OK"/>
    <s v="CUST-4750"/>
    <s v="Diya Patel"/>
    <s v="Diya Patel"/>
    <s v="Small Business"/>
    <x v="1"/>
    <s v="East"/>
    <x v="1"/>
    <s v="OK"/>
    <s v="Bihar"/>
    <s v="Bihar"/>
    <s v="Patna"/>
    <s v="Patna"/>
    <s v="Technology"/>
    <x v="2"/>
    <s v="Copiers"/>
    <x v="6"/>
    <s v="Pro Copiers 599"/>
    <s v="Standard Class"/>
    <x v="3"/>
    <s v="OK"/>
    <n v="4"/>
    <n v="1503.07"/>
    <n v="0"/>
    <n v="0"/>
    <s v="OK"/>
    <n v="6012.28"/>
    <n v="3927.64"/>
    <n v="2084.64"/>
    <n v="6012.28"/>
    <n v="2084.64"/>
    <x v="145"/>
    <s v="Paid"/>
    <x v="0"/>
    <s v="OK"/>
    <s v="Completed"/>
    <x v="0"/>
    <s v="OK"/>
    <s v="CLEAN"/>
    <s v="MATCH"/>
    <s v="MATCH"/>
  </r>
  <r>
    <x v="148"/>
    <n v="1"/>
    <d v="2024-11-14T00:00:00"/>
    <d v="2024-11-14T00:00:00"/>
    <x v="2"/>
    <x v="0"/>
    <s v="2025-09-25"/>
    <d v="2025-09-25T00:00:00"/>
    <n v="315"/>
    <s v="OK"/>
    <s v="CUST-3974"/>
    <s v="Priya Menon"/>
    <s v="Priya Menon"/>
    <s v="Corporate"/>
    <x v="2"/>
    <s v="East"/>
    <x v="1"/>
    <s v="OK"/>
    <s v="Bihar"/>
    <s v="Bihar"/>
    <s v="Patna"/>
    <s v="Patna"/>
    <s v="Furniture"/>
    <x v="1"/>
    <s v="Bookcases"/>
    <x v="9"/>
    <s v="Basic Bookcases 570"/>
    <s v="Same Day"/>
    <x v="1"/>
    <s v="OK"/>
    <n v="1"/>
    <n v="582.37"/>
    <n v="0.15"/>
    <n v="0.15"/>
    <s v="OK"/>
    <n v="495.01"/>
    <n v="285.13"/>
    <n v="209.88"/>
    <n v="495.0145"/>
    <n v="209.8845"/>
    <x v="146"/>
    <s v="Refunded"/>
    <x v="2"/>
    <s v="REFUNDED_PAYMENT"/>
    <s v="Cancelled"/>
    <x v="2"/>
    <s v="EXCLUDE_FROM_SALES"/>
    <s v="CLEAN"/>
    <s v="MATCH"/>
    <s v="MATCH"/>
  </r>
  <r>
    <x v="149"/>
    <n v="1"/>
    <d v="2024-12-01T00:00:00"/>
    <d v="2024-12-01T00:00:00"/>
    <x v="4"/>
    <x v="0"/>
    <s v="02/11/2024"/>
    <d v="2024-02-11T00:00:00"/>
    <n v="-294"/>
    <s v="INVALID_SHIPPING"/>
    <s v="CUST-2487"/>
    <s v="Aditi Sen"/>
    <s v="Aditi Sen"/>
    <s v="Corporate"/>
    <x v="2"/>
    <s v="North"/>
    <x v="0"/>
    <s v="OK"/>
    <s v="Uttar Pradesh"/>
    <s v="Uttar Pradesh"/>
    <s v="Noida"/>
    <s v="Noida"/>
    <s v="Technology"/>
    <x v="2"/>
    <s v="Machines"/>
    <x v="12"/>
    <s v="Prime Machines 794"/>
    <s v="Same Day"/>
    <x v="1"/>
    <s v="OK"/>
    <n v="3"/>
    <n v="827.44"/>
    <n v="0"/>
    <n v="0"/>
    <s v="OK"/>
    <n v="2482.3200000000002"/>
    <n v="1520.21"/>
    <n v="962.11"/>
    <n v="2482.3200000000002"/>
    <n v="962.11000000000013"/>
    <x v="147"/>
    <s v="Paid"/>
    <x v="0"/>
    <s v="OK"/>
    <s v="Completed"/>
    <x v="0"/>
    <s v="OK"/>
    <s v="INVALID"/>
    <s v="MATCH"/>
    <s v="MATCH"/>
  </r>
  <r>
    <x v="150"/>
    <n v="1"/>
    <d v="2024-12-21T00:00:00"/>
    <d v="2024-12-21T00:00:00"/>
    <x v="4"/>
    <x v="0"/>
    <s v="03 Feb 2025"/>
    <d v="2025-02-03T00:00:00"/>
    <n v="44"/>
    <s v="OK"/>
    <s v="CUST-8009"/>
    <s v="Aditi Sen"/>
    <s v="Aditi Sen"/>
    <s v="Consumer"/>
    <x v="0"/>
    <s v="South"/>
    <x v="2"/>
    <s v="OK"/>
    <s v="Telangana"/>
    <s v="Telangana"/>
    <s v="Hyderabad"/>
    <s v="Hyderabad"/>
    <s v="Office Supplies"/>
    <x v="0"/>
    <s v="Binders"/>
    <x v="11"/>
    <s v="Max Binders 927"/>
    <s v="Standard Class"/>
    <x v="3"/>
    <s v="OK"/>
    <n v="7"/>
    <n v="1667.75"/>
    <n v="0"/>
    <n v="0"/>
    <s v="OK"/>
    <n v="11674.25"/>
    <n v="9621.19"/>
    <n v="2053.06"/>
    <n v="11674.25"/>
    <n v="2053.0599999999995"/>
    <x v="148"/>
    <s v="Failed"/>
    <x v="3"/>
    <s v="EXCLUDE_FROM_SALES"/>
    <s v="Cancelled"/>
    <x v="2"/>
    <s v="EXCLUDE_FROM_SALES"/>
    <s v="CLEAN"/>
    <s v="MATCH"/>
    <s v="MATCH"/>
  </r>
  <r>
    <x v="151"/>
    <n v="2"/>
    <d v="2024-08-18T00:00:00"/>
    <d v="2024-08-18T00:00:00"/>
    <x v="1"/>
    <x v="0"/>
    <s v="27 Mar 2025"/>
    <d v="2025-03-27T00:00:00"/>
    <n v="221"/>
    <s v="OK"/>
    <s v="CUST-7389"/>
    <s v="Arjun Bose"/>
    <s v="Arjun Bose"/>
    <s v="Consumer"/>
    <x v="0"/>
    <s v="South"/>
    <x v="2"/>
    <s v="OK"/>
    <s v="Andhra Pradesh"/>
    <s v="Andhra Pradesh"/>
    <s v="Vijayawada"/>
    <s v="Vijayawada"/>
    <s v="Furniture"/>
    <x v="1"/>
    <s v="Chairs"/>
    <x v="10"/>
    <s v="Eco Chairs 314"/>
    <s v="First Class"/>
    <x v="2"/>
    <s v="OK"/>
    <n v="7"/>
    <n v="557.21"/>
    <n v="0.1"/>
    <n v="0.1"/>
    <s v="OK"/>
    <n v="3510.42"/>
    <n v="2191.5"/>
    <n v="1213.48"/>
    <n v="3510.4230000000002"/>
    <n v="1318.9230000000002"/>
    <x v="149"/>
    <s v="Paid"/>
    <x v="0"/>
    <s v="OK"/>
    <s v="Completed"/>
    <x v="0"/>
    <s v="OK"/>
    <s v="CLEAN"/>
    <s v="MATCH"/>
    <s v="MISMATCH"/>
  </r>
  <r>
    <x v="151"/>
    <n v="2"/>
    <d v="2024-08-18T00:00:00"/>
    <d v="2024-08-18T00:00:00"/>
    <x v="1"/>
    <x v="0"/>
    <s v="24-10-2024"/>
    <d v="2024-10-24T00:00:00"/>
    <n v="67"/>
    <s v="OK"/>
    <s v="CUST-7389"/>
    <s v="Arjun Bose"/>
    <s v="Arjun Bose"/>
    <s v="Consumer"/>
    <x v="0"/>
    <s v="South"/>
    <x v="2"/>
    <s v="OK"/>
    <s v="Andhra Pradesh"/>
    <s v="Andhra Pradesh"/>
    <s v="Vijayawada"/>
    <s v="Vijayawada"/>
    <s v="Furniture"/>
    <x v="1"/>
    <s v="Chairs"/>
    <x v="10"/>
    <s v="Eco Chairs 314"/>
    <s v="First Class"/>
    <x v="2"/>
    <s v="OK"/>
    <n v="7"/>
    <n v="557.21"/>
    <n v="0.1"/>
    <n v="0.1"/>
    <s v="OK"/>
    <n v="3797.79"/>
    <n v="2191.5"/>
    <n v="1213.48"/>
    <n v="3510.4230000000002"/>
    <n v="1318.9230000000002"/>
    <x v="149"/>
    <s v="Paid"/>
    <x v="0"/>
    <s v="OK"/>
    <s v="Returned"/>
    <x v="1"/>
    <s v="RETURNED_ORDER"/>
    <s v="CLEAN"/>
    <s v="MISMATCH"/>
    <s v="MISMATCH"/>
  </r>
  <r>
    <x v="152"/>
    <n v="1"/>
    <d v="2024-04-07T00:00:00"/>
    <d v="2024-04-07T00:00:00"/>
    <x v="6"/>
    <x v="0"/>
    <s v="09/11/2024"/>
    <d v="2024-09-11T00:00:00"/>
    <n v="157"/>
    <s v="OK"/>
    <s v="CUST-4202"/>
    <s v="Rohan Mehta"/>
    <s v="Rohan Mehta"/>
    <s v="Consumer"/>
    <x v="0"/>
    <s v="South"/>
    <x v="2"/>
    <s v="OK"/>
    <s v="Kerala"/>
    <s v="Kerala"/>
    <s v="Kochi"/>
    <s v="Kochi"/>
    <s v="Technology"/>
    <x v="2"/>
    <s v="Copiers"/>
    <x v="6"/>
    <s v="Pro Copiers 406"/>
    <s v="Standard Class"/>
    <x v="3"/>
    <s v="OK"/>
    <n v="6"/>
    <n v="4246.71"/>
    <n v="0.15"/>
    <n v="0.15"/>
    <s v="OK"/>
    <n v="21658.22"/>
    <n v="15490.69"/>
    <n v="6167.53"/>
    <n v="21658.221000000001"/>
    <n v="6167.5310000000009"/>
    <x v="150"/>
    <s v="Failed"/>
    <x v="3"/>
    <s v="EXCLUDE_FROM_SALES"/>
    <s v="Returned"/>
    <x v="1"/>
    <s v="RETURNED_ORDER"/>
    <s v="CLEAN"/>
    <s v="MATCH"/>
    <s v="MATCH"/>
  </r>
  <r>
    <x v="153"/>
    <n v="1"/>
    <d v="2024-02-15T00:00:00"/>
    <d v="2024-02-15T00:00:00"/>
    <x v="11"/>
    <x v="0"/>
    <s v="04-02-2025"/>
    <d v="2025-04-02T00:00:00"/>
    <n v="412"/>
    <s v="OK"/>
    <s v="CUST-2875"/>
    <s v="Priya Menon"/>
    <s v="Priya Menon"/>
    <s v="Small Business"/>
    <x v="1"/>
    <s v="East"/>
    <x v="1"/>
    <s v="OK"/>
    <s v="West Bengal"/>
    <s v="West Bengal"/>
    <s v="Kolkata"/>
    <s v="Kolkata"/>
    <s v="Furniture"/>
    <x v="1"/>
    <s v="Furnishings"/>
    <x v="3"/>
    <s v="Eco Furnishings 678"/>
    <s v="Same Day"/>
    <x v="1"/>
    <s v="OK"/>
    <n v="1"/>
    <n v="980.51"/>
    <n v="0"/>
    <n v="0"/>
    <s v="OK"/>
    <n v="980.51"/>
    <n v="660.92"/>
    <n v="319.58999999999997"/>
    <n v="980.51"/>
    <n v="319.59000000000003"/>
    <x v="151"/>
    <s v="Paid"/>
    <x v="0"/>
    <s v="OK"/>
    <s v="Completed"/>
    <x v="0"/>
    <s v="OK"/>
    <s v="CLEAN"/>
    <s v="MATCH"/>
    <s v="MATCH"/>
  </r>
  <r>
    <x v="154"/>
    <n v="2"/>
    <d v="2024-01-22T00:00:00"/>
    <d v="2024-01-22T00:00:00"/>
    <x v="9"/>
    <x v="0"/>
    <s v="10/06/2025"/>
    <d v="2025-10-06T00:00:00"/>
    <n v="623"/>
    <s v="OK"/>
    <s v="CUST-7039"/>
    <s v="Aarav Sharma"/>
    <s v="Aarav Sharma"/>
    <s v="Small Business"/>
    <x v="1"/>
    <m/>
    <x v="4"/>
    <s v="MISSING_REGION"/>
    <s v="Assam"/>
    <s v="Assam"/>
    <s v="Guwahati"/>
    <s v="Guwahati"/>
    <s v="Furniture"/>
    <x v="1"/>
    <s v="Chairs"/>
    <x v="10"/>
    <s v="Basic Chairs 141"/>
    <s v="Second Class"/>
    <x v="0"/>
    <s v="OK"/>
    <n v="6"/>
    <n v="3391.53"/>
    <n v="-0.14000000000000001"/>
    <n v="-0.14000000000000001"/>
    <s v="Invalid Negative Discount"/>
    <n v="15261.89"/>
    <n v="8413.5300000000007"/>
    <n v="6848.36"/>
    <s v="INVALID"/>
    <s v="INVALID"/>
    <x v="12"/>
    <s v="Paid"/>
    <x v="0"/>
    <s v="OK"/>
    <s v="Completed"/>
    <x v="0"/>
    <s v="OK"/>
    <s v="INVALID"/>
    <s v="INVALID"/>
    <s v="INVALID"/>
  </r>
  <r>
    <x v="154"/>
    <n v="2"/>
    <d v="2024-01-22T00:00:00"/>
    <d v="2024-01-22T00:00:00"/>
    <x v="9"/>
    <x v="0"/>
    <s v="30-07-2025"/>
    <d v="2025-07-30T00:00:00"/>
    <n v="555"/>
    <s v="OK"/>
    <s v="CUST-7039"/>
    <s v="Aarav Sharma"/>
    <s v="Aarav Sharma"/>
    <s v="Small Business"/>
    <x v="1"/>
    <m/>
    <x v="4"/>
    <s v="MISSING_REGION"/>
    <s v="Assam"/>
    <s v="Assam"/>
    <s v="Guwahati"/>
    <s v="Guwahati"/>
    <s v="Furniture"/>
    <x v="1"/>
    <s v="Chairs"/>
    <x v="10"/>
    <s v="Basic Chairs 141"/>
    <s v="Second Class"/>
    <x v="0"/>
    <s v="OK"/>
    <n v="6"/>
    <n v="3391.53"/>
    <n v="-0.14000000000000001"/>
    <n v="-0.14000000000000001"/>
    <s v="Invalid Negative Discount"/>
    <n v="15261.89"/>
    <n v="8413.5300000000007"/>
    <n v="6848.36"/>
    <s v="INVALID"/>
    <s v="INVALID"/>
    <x v="12"/>
    <s v="Paid"/>
    <x v="0"/>
    <s v="OK"/>
    <s v="Completed"/>
    <x v="0"/>
    <s v="OK"/>
    <s v="INVALID"/>
    <s v="INVALID"/>
    <s v="INVALID"/>
  </r>
  <r>
    <x v="155"/>
    <n v="1"/>
    <d v="2024-09-04T00:00:00"/>
    <d v="2024-09-04T00:00:00"/>
    <x v="5"/>
    <x v="0"/>
    <s v="14 Mar 2024"/>
    <d v="2024-03-14T00:00:00"/>
    <n v="-174"/>
    <s v="INVALID_SHIPPING"/>
    <s v="CUST-4571"/>
    <s v="Rohan Mehta"/>
    <s v="Rohan Mehta"/>
    <s v="Small Business"/>
    <x v="1"/>
    <s v="West"/>
    <x v="3"/>
    <s v="OK"/>
    <s v="Maharashtra"/>
    <s v="Maharashtra"/>
    <s v="Mumbai"/>
    <s v="Mumbai"/>
    <s v="Office Supplies"/>
    <x v="0"/>
    <s v="Storage"/>
    <x v="7"/>
    <s v="Max Storage 564"/>
    <s v="First Class"/>
    <x v="2"/>
    <s v="OK"/>
    <n v="1"/>
    <n v="4359.12"/>
    <n v="0.05"/>
    <n v="0.05"/>
    <s v="OK"/>
    <n v="4141.16"/>
    <n v="2754.17"/>
    <n v="1386.99"/>
    <n v="4141.1639999999998"/>
    <n v="1386.9939999999997"/>
    <x v="152"/>
    <s v="Paid"/>
    <x v="0"/>
    <s v="OK"/>
    <s v="Completed"/>
    <x v="0"/>
    <s v="OK"/>
    <s v="INVALID"/>
    <s v="MATCH"/>
    <s v="MATCH"/>
  </r>
  <r>
    <x v="156"/>
    <n v="2"/>
    <d v="2024-12-23T00:00:00"/>
    <d v="2024-12-23T00:00:00"/>
    <x v="4"/>
    <x v="0"/>
    <s v="26 Sep 2025"/>
    <d v="2025-09-26T00:00:00"/>
    <n v="277"/>
    <s v="OK"/>
    <s v="CUST-4098"/>
    <s v="Aditi Sen"/>
    <s v="Aditi Sen"/>
    <s v="Consumer"/>
    <x v="0"/>
    <s v="South"/>
    <x v="2"/>
    <s v="OK"/>
    <s v="Karnataka"/>
    <s v="Karnataka"/>
    <s v="Bengaluru"/>
    <s v="Bengaluru"/>
    <s v="Technology"/>
    <x v="2"/>
    <s v="Copiers"/>
    <x v="6"/>
    <s v="Prime Copiers 961"/>
    <s v="Standard Class"/>
    <x v="3"/>
    <s v="OK"/>
    <n v="9"/>
    <n v="993.67"/>
    <n v="0"/>
    <n v="0"/>
    <s v="OK"/>
    <n v="8943.0300000000007"/>
    <n v="5165.38"/>
    <n v="3777.65"/>
    <n v="8943.0299999999988"/>
    <n v="3777.6499999999987"/>
    <x v="153"/>
    <s v="Paid"/>
    <x v="0"/>
    <s v="OK"/>
    <s v="Completed"/>
    <x v="0"/>
    <s v="OK"/>
    <s v="CLEAN"/>
    <s v="MATCH"/>
    <s v="MATCH"/>
  </r>
  <r>
    <x v="156"/>
    <n v="2"/>
    <d v="2024-12-23T00:00:00"/>
    <d v="2024-12-23T00:00:00"/>
    <x v="4"/>
    <x v="0"/>
    <s v="09/14/2025"/>
    <d v="2025-09-14T00:00:00"/>
    <n v="265"/>
    <s v="OK"/>
    <s v="CUST-4098"/>
    <s v="Aditi Sen"/>
    <s v="Aditi Sen"/>
    <s v="Consumer"/>
    <x v="0"/>
    <s v="South"/>
    <x v="2"/>
    <s v="OK"/>
    <s v="Karnataka"/>
    <s v="Karnataka"/>
    <s v="Bengaluru"/>
    <s v="Bengaluru"/>
    <s v="Technology"/>
    <x v="2"/>
    <s v="Copiers"/>
    <x v="6"/>
    <s v="Prime Copiers 961"/>
    <s v="Standard Class"/>
    <x v="3"/>
    <s v="OK"/>
    <n v="9"/>
    <n v="993.67"/>
    <n v="0"/>
    <n v="0"/>
    <s v="OK"/>
    <n v="8943.0300000000007"/>
    <n v="5165.38"/>
    <n v="3777.65"/>
    <n v="8943.0299999999988"/>
    <n v="3777.6499999999987"/>
    <x v="153"/>
    <s v="Paid"/>
    <x v="0"/>
    <s v="OK"/>
    <s v="Completed"/>
    <x v="0"/>
    <s v="OK"/>
    <s v="CLEAN"/>
    <s v="MATCH"/>
    <s v="MATCH"/>
  </r>
  <r>
    <x v="157"/>
    <n v="1"/>
    <d v="2024-01-10T00:00:00"/>
    <d v="2024-01-10T00:00:00"/>
    <x v="9"/>
    <x v="0"/>
    <s v="29-11-2024"/>
    <d v="2024-11-29T00:00:00"/>
    <n v="324"/>
    <s v="OK"/>
    <s v="CUST-9445"/>
    <s v="Karan Malhotra"/>
    <s v="Karan Malhotra"/>
    <s v="Home Office"/>
    <x v="3"/>
    <s v="East"/>
    <x v="1"/>
    <s v="OK"/>
    <s v="Assam"/>
    <s v="Assam"/>
    <s v="Guwahati"/>
    <s v="Guwahati"/>
    <s v="Furniture"/>
    <x v="1"/>
    <s v="Tables"/>
    <x v="1"/>
    <s v="Classic Tables 811"/>
    <s v="Second Class"/>
    <x v="0"/>
    <s v="OK"/>
    <n v="2"/>
    <n v="2298"/>
    <n v="0"/>
    <n v="0"/>
    <s v="OK"/>
    <n v="4596"/>
    <n v="3220.33"/>
    <n v="1375.67"/>
    <n v="4596"/>
    <n v="1375.67"/>
    <x v="154"/>
    <s v="Paid"/>
    <x v="0"/>
    <s v="OK"/>
    <s v="Completed"/>
    <x v="0"/>
    <s v="OK"/>
    <s v="CLEAN"/>
    <s v="MATCH"/>
    <s v="MATCH"/>
  </r>
  <r>
    <x v="158"/>
    <n v="1"/>
    <d v="2024-08-12T00:00:00"/>
    <d v="2024-08-12T00:00:00"/>
    <x v="1"/>
    <x v="0"/>
    <s v="26-02-2025"/>
    <d v="2025-02-26T00:00:00"/>
    <n v="198"/>
    <s v="OK"/>
    <s v="CUST-2076"/>
    <s v="Karan Malhotra"/>
    <s v="Karan Malhotra"/>
    <s v="Consumer"/>
    <x v="0"/>
    <s v="East"/>
    <x v="1"/>
    <s v="OK"/>
    <s v="Odisha"/>
    <s v="Odisha"/>
    <s v="Bhubaneswar"/>
    <s v="Bhubaneswar"/>
    <s v="Furniture"/>
    <x v="1"/>
    <s v="Tables"/>
    <x v="1"/>
    <s v="Prime Tables 542"/>
    <s v="Same Day"/>
    <x v="1"/>
    <s v="OK"/>
    <n v="3"/>
    <n v="1576.92"/>
    <n v="0"/>
    <n v="0"/>
    <s v="OK"/>
    <n v="4730.76"/>
    <n v="3139.73"/>
    <n v="1591.03"/>
    <n v="4730.76"/>
    <n v="1591.0300000000002"/>
    <x v="155"/>
    <s v="Paid"/>
    <x v="0"/>
    <s v="OK"/>
    <s v="Returned"/>
    <x v="1"/>
    <s v="RETURNED_ORDER"/>
    <s v="CLEAN"/>
    <s v="MATCH"/>
    <s v="MATCH"/>
  </r>
  <r>
    <x v="159"/>
    <n v="1"/>
    <d v="2024-02-28T00:00:00"/>
    <d v="2024-02-28T00:00:00"/>
    <x v="11"/>
    <x v="0"/>
    <s v="08/18/2025"/>
    <d v="2025-08-18T00:00:00"/>
    <n v="537"/>
    <s v="OK"/>
    <s v="CUST-5823"/>
    <s v="Priya Menon"/>
    <s v="Priya Menon"/>
    <s v="Small Business"/>
    <x v="1"/>
    <s v="North"/>
    <x v="0"/>
    <s v="OK"/>
    <s v="Delhi"/>
    <s v="Delhi"/>
    <s v="New Delhi"/>
    <s v="New Delhi"/>
    <s v="Furniture"/>
    <x v="1"/>
    <s v="Furnishings"/>
    <x v="3"/>
    <s v="Pro Furnishings 848"/>
    <s v="First Class"/>
    <x v="2"/>
    <s v="OK"/>
    <n v="7"/>
    <n v="701.8"/>
    <n v="0.1"/>
    <n v="0.1"/>
    <s v="OK"/>
    <n v="4421.34"/>
    <n v="2489.98"/>
    <n v="1931.36"/>
    <n v="4421.3399999999992"/>
    <n v="1931.3599999999992"/>
    <x v="156"/>
    <s v="Pending"/>
    <x v="1"/>
    <s v="OK"/>
    <s v="Returned"/>
    <x v="1"/>
    <s v="RETURNED_ORDER"/>
    <s v="CLEAN"/>
    <s v="MATCH"/>
    <s v="MATCH"/>
  </r>
  <r>
    <x v="160"/>
    <n v="1"/>
    <d v="2024-05-09T00:00:00"/>
    <d v="2024-05-09T00:00:00"/>
    <x v="3"/>
    <x v="0"/>
    <s v="23 Jan 2025"/>
    <d v="2025-01-23T00:00:00"/>
    <n v="259"/>
    <s v="OK"/>
    <s v="CUST-7095"/>
    <s v="Neha Gupta"/>
    <s v="Neha Gupta"/>
    <s v="Small Business"/>
    <x v="1"/>
    <s v="South"/>
    <x v="2"/>
    <s v="OK"/>
    <s v="Tamil Nadu"/>
    <s v="Tamil Nadu"/>
    <s v="Chennai"/>
    <s v="Chennai"/>
    <s v="Technology"/>
    <x v="2"/>
    <s v="Copiers"/>
    <x v="6"/>
    <s v="Prime Copiers 924"/>
    <s v="Standard Class"/>
    <x v="3"/>
    <s v="OK"/>
    <n v="3"/>
    <n v="2555.66"/>
    <n v="0.15"/>
    <n v="0.15"/>
    <s v="OK"/>
    <n v="6516.93"/>
    <n v="4511.54"/>
    <n v="2005.39"/>
    <n v="6516.9329999999991"/>
    <n v="2005.3929999999991"/>
    <x v="157"/>
    <s v="Paid"/>
    <x v="0"/>
    <s v="OK"/>
    <s v="Cancelled"/>
    <x v="2"/>
    <s v="EXCLUDE_FROM_SALES"/>
    <s v="CLEAN"/>
    <s v="MATCH"/>
    <s v="MATCH"/>
  </r>
  <r>
    <x v="161"/>
    <n v="1"/>
    <d v="2024-06-24T00:00:00"/>
    <d v="2024-06-24T00:00:00"/>
    <x v="8"/>
    <x v="0"/>
    <s v="09/13/2025"/>
    <d v="2025-09-13T00:00:00"/>
    <n v="446"/>
    <s v="OK"/>
    <s v="CUST-4805"/>
    <s v="Rohan Mehta"/>
    <s v="Rohan Mehta"/>
    <s v="Small Business"/>
    <x v="1"/>
    <s v="East"/>
    <x v="1"/>
    <s v="OK"/>
    <s v="Bihar"/>
    <s v="Bihar"/>
    <s v="Patna"/>
    <s v="Patna"/>
    <s v="Office Supplies"/>
    <x v="0"/>
    <s v="Binders"/>
    <x v="11"/>
    <s v="Classic Binders 721"/>
    <s v="Same Day"/>
    <x v="1"/>
    <s v="OK"/>
    <n v="2"/>
    <n v="4359.8999999999996"/>
    <n v="0.15"/>
    <n v="0.15"/>
    <s v="OK"/>
    <n v="7411.83"/>
    <n v="4904.63"/>
    <n v="2507.1999999999998"/>
    <n v="7411.829999999999"/>
    <n v="2507.1999999999989"/>
    <x v="158"/>
    <s v="Paid"/>
    <x v="0"/>
    <s v="OK"/>
    <s v="Completed"/>
    <x v="0"/>
    <s v="OK"/>
    <s v="CLEAN"/>
    <s v="MATCH"/>
    <s v="MATCH"/>
  </r>
  <r>
    <x v="162"/>
    <n v="1"/>
    <d v="2024-05-04T00:00:00"/>
    <d v="2024-05-04T00:00:00"/>
    <x v="3"/>
    <x v="0"/>
    <s v="09/15/2025"/>
    <d v="2025-09-15T00:00:00"/>
    <n v="499"/>
    <s v="OK"/>
    <s v="CUST-2860"/>
    <s v="Priya Menon"/>
    <s v="Priya Menon"/>
    <s v="Home Office"/>
    <x v="3"/>
    <s v="North"/>
    <x v="0"/>
    <s v="OK"/>
    <s v="Rajasthan"/>
    <s v="Rajasthan"/>
    <s v="Jaipur"/>
    <s v="Jaipur"/>
    <s v="Office Supplies"/>
    <x v="0"/>
    <s v="Binders"/>
    <x v="11"/>
    <s v="Eco Binders 153"/>
    <s v="Standard Class"/>
    <x v="3"/>
    <s v="OK"/>
    <n v="4"/>
    <n v="3228.66"/>
    <n v="0.25"/>
    <n v="0.25"/>
    <s v="OK"/>
    <n v="9685.98"/>
    <n v="7730.04"/>
    <n v="1955.94"/>
    <n v="9685.98"/>
    <n v="1955.9399999999996"/>
    <x v="159"/>
    <s v="Paid"/>
    <x v="0"/>
    <s v="OK"/>
    <s v="Completed"/>
    <x v="0"/>
    <s v="OK"/>
    <s v="CLEAN"/>
    <s v="MATCH"/>
    <s v="MATCH"/>
  </r>
  <r>
    <x v="163"/>
    <n v="1"/>
    <d v="2024-07-03T00:00:00"/>
    <d v="2024-07-03T00:00:00"/>
    <x v="0"/>
    <x v="0"/>
    <s v="02/25/2025"/>
    <d v="2025-02-25T00:00:00"/>
    <n v="237"/>
    <s v="OK"/>
    <s v="CUST-7010"/>
    <s v="Arjun Bose"/>
    <s v="Arjun Bose"/>
    <s v="Home Office"/>
    <x v="3"/>
    <s v="South"/>
    <x v="2"/>
    <s v="OK"/>
    <s v="Telangana"/>
    <s v="Telangana"/>
    <s v="Hyderabad"/>
    <s v="Hyderabad"/>
    <s v="Technology"/>
    <x v="2"/>
    <s v="Phones"/>
    <x v="8"/>
    <s v="Pro Phones 455"/>
    <s v="First Class"/>
    <x v="2"/>
    <s v="OK"/>
    <n v="2"/>
    <n v="4401.51"/>
    <n v="0.65"/>
    <n v="0.65"/>
    <s v="OK"/>
    <n v="8362.8700000000008"/>
    <n v="6541.04"/>
    <n v="1821.83"/>
    <n v="3081.0569999999998"/>
    <n v="-3459.9830000000002"/>
    <x v="160"/>
    <s v="Paid"/>
    <x v="0"/>
    <s v="OK"/>
    <s v="Completed"/>
    <x v="0"/>
    <s v="OK"/>
    <s v="CLEAN"/>
    <s v="MISMATCH"/>
    <s v="MISMATCH"/>
  </r>
  <r>
    <x v="164"/>
    <n v="1"/>
    <d v="2024-10-29T00:00:00"/>
    <d v="2024-10-29T00:00:00"/>
    <x v="7"/>
    <x v="0"/>
    <s v="10-08-2025"/>
    <d v="2025-10-08T00:00:00"/>
    <n v="344"/>
    <s v="OK"/>
    <s v="CUST-6724"/>
    <s v="Sneha Kapoor"/>
    <s v="Sneha Kapoor"/>
    <s v="Corporate"/>
    <x v="2"/>
    <s v="South"/>
    <x v="2"/>
    <s v="OK"/>
    <s v="Tamil Nadu"/>
    <s v="Tamil Nadu"/>
    <s v="Chennai"/>
    <s v="Chennai"/>
    <s v="Technology"/>
    <x v="2"/>
    <s v="Copiers"/>
    <x v="6"/>
    <s v="Prime Copiers 669"/>
    <s v="Same Day"/>
    <x v="1"/>
    <s v="OK"/>
    <n v="6"/>
    <n v="1169.92"/>
    <n v="0.15"/>
    <n v="0.15"/>
    <s v="OK"/>
    <n v="5966.59"/>
    <n v="3994.72"/>
    <n v="1971.87"/>
    <n v="5966.5920000000006"/>
    <n v="1971.8720000000008"/>
    <x v="161"/>
    <s v="Paid"/>
    <x v="0"/>
    <s v="OK"/>
    <s v="Completed"/>
    <x v="0"/>
    <s v="OK"/>
    <s v="CLEAN"/>
    <s v="MATCH"/>
    <s v="MATCH"/>
  </r>
  <r>
    <x v="165"/>
    <n v="1"/>
    <d v="2024-11-06T00:00:00"/>
    <d v="2024-11-06T00:00:00"/>
    <x v="2"/>
    <x v="0"/>
    <s v="08 May 2024"/>
    <d v="2024-05-08T00:00:00"/>
    <n v="-182"/>
    <s v="INVALID_SHIPPING"/>
    <s v="CUST-7264"/>
    <s v="Rahul Verma"/>
    <s v="Rahul Verma"/>
    <s v="Small Business"/>
    <x v="1"/>
    <s v="West"/>
    <x v="3"/>
    <s v="OK"/>
    <s v="Gujarat"/>
    <s v="Gujarat"/>
    <s v="Ahmedabad"/>
    <s v="Ahmedabad"/>
    <s v="Technology"/>
    <x v="2"/>
    <s v="Accessories"/>
    <x v="4"/>
    <s v="Max Accessories 145"/>
    <s v="Standard Class"/>
    <x v="3"/>
    <s v="OK"/>
    <n v="7"/>
    <n v="1719.05"/>
    <n v="0.1"/>
    <n v="0.1"/>
    <s v="OK"/>
    <n v="10830.02"/>
    <n v="7055.31"/>
    <n v="3774.71"/>
    <n v="10830.015000000001"/>
    <n v="3774.7050000000008"/>
    <x v="162"/>
    <s v="Paid"/>
    <x v="0"/>
    <s v="OK"/>
    <s v="Completed"/>
    <x v="0"/>
    <s v="OK"/>
    <s v="INVALID"/>
    <s v="MATCH"/>
    <s v="MATCH"/>
  </r>
  <r>
    <x v="166"/>
    <n v="1"/>
    <d v="2024-04-15T00:00:00"/>
    <d v="2024-04-15T00:00:00"/>
    <x v="6"/>
    <x v="0"/>
    <s v="04-10-2025"/>
    <d v="2025-04-10T00:00:00"/>
    <n v="360"/>
    <s v="OK"/>
    <s v="CUST-2668"/>
    <s v="Diya Patel"/>
    <s v="Diya Patel"/>
    <s v="Small Business"/>
    <x v="1"/>
    <s v="North"/>
    <x v="0"/>
    <s v="OK"/>
    <s v="Punjab"/>
    <s v="Punjab"/>
    <s v="Ludhiana"/>
    <s v="Ludhiana"/>
    <s v="Technology"/>
    <x v="2"/>
    <s v="Accessories"/>
    <x v="4"/>
    <s v="Classic Accessories 126"/>
    <s v="Second Class"/>
    <x v="0"/>
    <s v="OK"/>
    <n v="9"/>
    <n v="3893.74"/>
    <n v="0.1"/>
    <n v="0.1"/>
    <s v="OK"/>
    <n v="31539.29"/>
    <n v="22100.14"/>
    <n v="9439.15"/>
    <n v="31539.293999999998"/>
    <n v="9439.1539999999986"/>
    <x v="163"/>
    <s v="Paid"/>
    <x v="0"/>
    <s v="OK"/>
    <s v="Completed"/>
    <x v="0"/>
    <s v="OK"/>
    <s v="CLEAN"/>
    <s v="MATCH"/>
    <s v="MATCH"/>
  </r>
  <r>
    <x v="167"/>
    <n v="1"/>
    <d v="2024-06-23T00:00:00"/>
    <d v="2024-06-23T00:00:00"/>
    <x v="8"/>
    <x v="0"/>
    <s v="2024-02-03"/>
    <d v="2024-02-03T00:00:00"/>
    <n v="-141"/>
    <s v="INVALID_SHIPPING"/>
    <s v="CUST-9035"/>
    <s v="Diya Patel"/>
    <s v="Diya Patel"/>
    <s v="Home Office"/>
    <x v="3"/>
    <s v="West"/>
    <x v="3"/>
    <s v="OK"/>
    <s v="Gujarat"/>
    <s v="Gujarat"/>
    <s v="Ahmedabad"/>
    <s v="Ahmedabad"/>
    <s v="Furniture"/>
    <x v="1"/>
    <s v="Chairs"/>
    <x v="10"/>
    <s v="Elite Chairs 107"/>
    <s v="Standard Class"/>
    <x v="3"/>
    <s v="OK"/>
    <n v="2"/>
    <n v="1313.14"/>
    <n v="0.1"/>
    <n v="0.1"/>
    <s v="OK"/>
    <n v="2363.65"/>
    <n v="1876.1"/>
    <n v="487.55"/>
    <n v="2363.652"/>
    <n v="487.55200000000013"/>
    <x v="164"/>
    <s v="Pending"/>
    <x v="1"/>
    <s v="OK"/>
    <s v="Returned"/>
    <x v="1"/>
    <s v="RETURNED_ORDER"/>
    <s v="INVALID"/>
    <s v="MATCH"/>
    <s v="MATCH"/>
  </r>
  <r>
    <x v="168"/>
    <n v="1"/>
    <d v="2024-06-03T00:00:00"/>
    <d v="2024-06-03T00:00:00"/>
    <x v="8"/>
    <x v="0"/>
    <s v="03/26/2025"/>
    <d v="2025-03-26T00:00:00"/>
    <n v="296"/>
    <s v="OK"/>
    <s v="CUST-6286"/>
    <s v="Karan Malhotra"/>
    <s v="Karan Malhotra"/>
    <s v="Consumer"/>
    <x v="0"/>
    <s v="North"/>
    <x v="0"/>
    <s v="OK"/>
    <s v="Punjab"/>
    <s v="Punjab"/>
    <s v="Ludhiana"/>
    <s v="Ludhiana"/>
    <s v="Furniture"/>
    <x v="1"/>
    <s v="Furnishings"/>
    <x v="3"/>
    <s v="Pro Furnishings 991"/>
    <s v="Standard Class"/>
    <x v="3"/>
    <s v="OK"/>
    <n v="6"/>
    <n v="2403.0500000000002"/>
    <n v="0.1"/>
    <n v="0.1"/>
    <s v="OK"/>
    <n v="12976.47"/>
    <n v="10019.98"/>
    <n v="2956.49"/>
    <n v="12976.470000000001"/>
    <n v="2956.4900000000016"/>
    <x v="165"/>
    <s v="Paid"/>
    <x v="0"/>
    <s v="OK"/>
    <s v="Completed"/>
    <x v="0"/>
    <s v="OK"/>
    <s v="CLEAN"/>
    <s v="MATCH"/>
    <s v="MATCH"/>
  </r>
  <r>
    <x v="169"/>
    <n v="1"/>
    <d v="2024-01-05T00:00:00"/>
    <d v="2024-01-05T00:00:00"/>
    <x v="9"/>
    <x v="0"/>
    <s v="06/03/2024"/>
    <d v="2024-06-03T00:00:00"/>
    <n v="150"/>
    <s v="OK"/>
    <s v="CUST-7246"/>
    <s v="Ananya Rao"/>
    <s v="Ananya Rao"/>
    <s v="Consumer"/>
    <x v="0"/>
    <s v="East"/>
    <x v="1"/>
    <s v="OK"/>
    <s v="Assam"/>
    <s v="Assam"/>
    <s v="Guwahati"/>
    <s v="Guwahati"/>
    <s v="Furniture"/>
    <x v="1"/>
    <s v="Chairs"/>
    <x v="10"/>
    <s v="Eco Chairs 105"/>
    <s v="First Class"/>
    <x v="2"/>
    <s v="OK"/>
    <n v="4"/>
    <n v="4156.0600000000004"/>
    <n v="0.55000000000000004"/>
    <n v="0.55000000000000004"/>
    <s v="OK"/>
    <n v="13299.39"/>
    <n v="9851.91"/>
    <n v="3447.48"/>
    <n v="7480.9080000000004"/>
    <n v="-2371.0019999999995"/>
    <x v="166"/>
    <s v="Paid"/>
    <x v="0"/>
    <s v="OK"/>
    <s v="Cancelled"/>
    <x v="2"/>
    <s v="EXCLUDE_FROM_SALES"/>
    <s v="CLEAN"/>
    <s v="MISMATCH"/>
    <s v="MISMATCH"/>
  </r>
  <r>
    <x v="170"/>
    <n v="1"/>
    <d v="2024-07-20T00:00:00"/>
    <d v="2024-07-20T00:00:00"/>
    <x v="0"/>
    <x v="0"/>
    <s v="2024-09-30"/>
    <d v="2024-09-30T00:00:00"/>
    <n v="72"/>
    <s v="OK"/>
    <s v="CUST-8860"/>
    <s v="Ananya Rao"/>
    <s v="Ananya Rao"/>
    <s v="Consumer"/>
    <x v="0"/>
    <s v="South"/>
    <x v="2"/>
    <s v="OK"/>
    <s v="Tamil Nadu"/>
    <s v="Tamil Nadu"/>
    <s v="Chennai"/>
    <s v="Chennai"/>
    <s v="Furniture"/>
    <x v="1"/>
    <s v="Tables"/>
    <x v="1"/>
    <s v="Prime Tables 214"/>
    <s v="First Class"/>
    <x v="2"/>
    <s v="OK"/>
    <n v="7"/>
    <n v="2060.73"/>
    <n v="0.1"/>
    <n v="0.1"/>
    <s v="OK"/>
    <n v="12982.6"/>
    <n v="7246.36"/>
    <n v="5736.24"/>
    <n v="12982.599"/>
    <n v="5736.2390000000005"/>
    <x v="167"/>
    <s v="Paid"/>
    <x v="0"/>
    <s v="OK"/>
    <s v="Cancelled"/>
    <x v="2"/>
    <s v="EXCLUDE_FROM_SALES"/>
    <s v="CLEAN"/>
    <s v="MATCH"/>
    <s v="MATCH"/>
  </r>
  <r>
    <x v="171"/>
    <n v="1"/>
    <d v="2024-07-04T00:00:00"/>
    <d v="2024-07-04T00:00:00"/>
    <x v="0"/>
    <x v="0"/>
    <s v="03/19/2024"/>
    <d v="2024-03-19T00:00:00"/>
    <n v="-107"/>
    <s v="INVALID_SHIPPING"/>
    <s v="CUST-3784"/>
    <s v="Rohan Mehta"/>
    <s v="Rohan Mehta"/>
    <s v="Small Business"/>
    <x v="1"/>
    <s v="South"/>
    <x v="2"/>
    <s v="OK"/>
    <s v="Tamil Nadu"/>
    <s v="Tamil Nadu"/>
    <s v="Chennai"/>
    <s v="Chennai"/>
    <s v="Technology"/>
    <x v="2"/>
    <s v="Machines"/>
    <x v="12"/>
    <s v="Max Machines 988"/>
    <s v="First Class"/>
    <x v="2"/>
    <s v="OK"/>
    <n v="8"/>
    <n v="2034.25"/>
    <n v="0"/>
    <n v="0"/>
    <s v="OK"/>
    <n v="16274"/>
    <n v="9424.25"/>
    <n v="6849.75"/>
    <n v="16274"/>
    <n v="6849.75"/>
    <x v="168"/>
    <s v="Paid"/>
    <x v="0"/>
    <s v="OK"/>
    <s v="Completed"/>
    <x v="0"/>
    <s v="OK"/>
    <s v="INVALID"/>
    <s v="MATCH"/>
    <s v="MATCH"/>
  </r>
  <r>
    <x v="172"/>
    <n v="1"/>
    <d v="2024-04-27T00:00:00"/>
    <d v="2024-04-27T00:00:00"/>
    <x v="6"/>
    <x v="0"/>
    <s v="26-08-2024"/>
    <d v="2024-08-26T00:00:00"/>
    <n v="121"/>
    <s v="OK"/>
    <s v="CUST-3545"/>
    <s v="Mira Das"/>
    <s v="Mira Das"/>
    <s v="Corporate"/>
    <x v="2"/>
    <s v="South"/>
    <x v="2"/>
    <s v="OK"/>
    <s v="Karnataka"/>
    <s v="Karnataka"/>
    <s v="Bengaluru"/>
    <s v="Bengaluru"/>
    <s v="Office Supplies"/>
    <x v="0"/>
    <s v="Binders"/>
    <x v="11"/>
    <s v="Max Binders 425"/>
    <s v="Second Class"/>
    <x v="0"/>
    <s v="OK"/>
    <n v="5"/>
    <n v="554.04"/>
    <n v="0.1"/>
    <n v="0.1"/>
    <s v="OK"/>
    <n v="2493.1799999999998"/>
    <n v="1764"/>
    <n v="729.18"/>
    <n v="2493.1799999999998"/>
    <n v="729.17999999999984"/>
    <x v="169"/>
    <s v="Paid"/>
    <x v="0"/>
    <s v="OK"/>
    <s v="Completed"/>
    <x v="0"/>
    <s v="OK"/>
    <s v="CLEAN"/>
    <s v="MATCH"/>
    <s v="MATCH"/>
  </r>
  <r>
    <x v="173"/>
    <n v="1"/>
    <d v="2024-07-31T00:00:00"/>
    <d v="2024-07-31T00:00:00"/>
    <x v="0"/>
    <x v="0"/>
    <s v="10-09-2025"/>
    <d v="2025-10-09T00:00:00"/>
    <n v="435"/>
    <s v="OK"/>
    <s v="CUST-4851"/>
    <s v="Karan Malhotra"/>
    <s v="Karan Malhotra"/>
    <s v="Small Business"/>
    <x v="1"/>
    <s v="East"/>
    <x v="1"/>
    <s v="OK"/>
    <s v="Assam"/>
    <s v="Assam"/>
    <s v="Guwahati"/>
    <s v="Guwahati"/>
    <s v="Technology"/>
    <x v="2"/>
    <s v="Phones"/>
    <x v="8"/>
    <s v="Elite Phones 679"/>
    <s v="Standard Class"/>
    <x v="3"/>
    <s v="OK"/>
    <n v="8"/>
    <n v="2614.7399999999998"/>
    <m/>
    <n v="0"/>
    <s v="Missing Discount"/>
    <n v="15688.44"/>
    <n v="10047.33"/>
    <n v="5641.11"/>
    <n v="20917.919999999998"/>
    <n v="10870.589999999998"/>
    <x v="170"/>
    <s v="Paid"/>
    <x v="0"/>
    <s v="OK"/>
    <s v="Cancelled"/>
    <x v="2"/>
    <s v="EXCLUDE_FROM_SALES"/>
    <s v="INVALID"/>
    <s v="MISMATCH"/>
    <s v="MISMATCH"/>
  </r>
  <r>
    <x v="174"/>
    <n v="1"/>
    <d v="2024-02-07T00:00:00"/>
    <d v="2024-02-07T00:00:00"/>
    <x v="11"/>
    <x v="0"/>
    <s v="16 Oct 2024"/>
    <d v="2024-10-16T00:00:00"/>
    <n v="252"/>
    <s v="OK"/>
    <s v="CUST-7565"/>
    <s v="Rohan Mehta"/>
    <s v="Rohan Mehta"/>
    <s v="Consumer"/>
    <x v="0"/>
    <s v="North"/>
    <x v="0"/>
    <s v="OK"/>
    <s v="Delhi"/>
    <s v="Delhi"/>
    <s v="New Delhi"/>
    <s v="New Delhi"/>
    <s v="Office Supplies"/>
    <x v="0"/>
    <s v="Paper"/>
    <x v="0"/>
    <s v="Smart Paper 817"/>
    <s v="Standard Class"/>
    <x v="3"/>
    <s v="OK"/>
    <n v="9"/>
    <n v="3450.4"/>
    <n v="0.05"/>
    <n v="0.05"/>
    <s v="OK"/>
    <n v="29500.92"/>
    <n v="17989.68"/>
    <n v="11511.24"/>
    <n v="29500.920000000002"/>
    <n v="11511.240000000002"/>
    <x v="171"/>
    <s v="Pending"/>
    <x v="1"/>
    <s v="OK"/>
    <s v="Returned"/>
    <x v="1"/>
    <s v="RETURNED_ORDER"/>
    <s v="CLEAN"/>
    <s v="MATCH"/>
    <s v="MATCH"/>
  </r>
  <r>
    <x v="175"/>
    <n v="1"/>
    <d v="2024-02-16T00:00:00"/>
    <d v="2024-02-16T00:00:00"/>
    <x v="11"/>
    <x v="0"/>
    <s v="27-06-2025"/>
    <d v="2025-06-27T00:00:00"/>
    <n v="497"/>
    <s v="OK"/>
    <s v="CUST-9913"/>
    <s v="Karan Malhotra"/>
    <s v="Karan Malhotra"/>
    <s v="Corporate"/>
    <x v="2"/>
    <s v="North"/>
    <x v="0"/>
    <s v="OK"/>
    <s v="Punjab"/>
    <s v="Punjab"/>
    <s v="Ludhiana"/>
    <s v="Ludhiana"/>
    <s v="Office Supplies"/>
    <x v="0"/>
    <s v="Labels"/>
    <x v="5"/>
    <s v="Classic Labels 466"/>
    <s v="Standard Class"/>
    <x v="3"/>
    <s v="OK"/>
    <n v="2"/>
    <n v="1947.53"/>
    <n v="0.2"/>
    <n v="0.2"/>
    <s v="OK"/>
    <n v="3116.05"/>
    <n v="1956.63"/>
    <n v="1159.42"/>
    <n v="3116.0480000000002"/>
    <n v="1159.4180000000001"/>
    <x v="172"/>
    <s v="Paid"/>
    <x v="0"/>
    <s v="OK"/>
    <s v="Cancelled"/>
    <x v="2"/>
    <s v="EXCLUDE_FROM_SALES"/>
    <s v="CLEAN"/>
    <s v="MATCH"/>
    <s v="MATCH"/>
  </r>
  <r>
    <x v="176"/>
    <n v="1"/>
    <d v="2024-04-25T00:00:00"/>
    <d v="2024-04-25T00:00:00"/>
    <x v="6"/>
    <x v="0"/>
    <s v="2024-04-06"/>
    <d v="2024-04-06T00:00:00"/>
    <n v="-19"/>
    <s v="INVALID_SHIPPING"/>
    <s v="CUST-8877"/>
    <s v="Mira Das"/>
    <s v="Mira Das"/>
    <s v="Small Business"/>
    <x v="1"/>
    <s v="South"/>
    <x v="2"/>
    <s v="OK"/>
    <s v="Karnataka"/>
    <s v="Karnataka"/>
    <s v="Bengaluru"/>
    <s v="Bengaluru"/>
    <s v="Technology"/>
    <x v="2"/>
    <s v="Phones"/>
    <x v="8"/>
    <s v="Basic Phones 789"/>
    <s v="Standard Class"/>
    <x v="3"/>
    <s v="OK"/>
    <n v="3"/>
    <n v="4149.46"/>
    <n v="0.1"/>
    <n v="0.1"/>
    <s v="OK"/>
    <n v="11203.54"/>
    <n v="8452.93"/>
    <n v="2750.61"/>
    <n v="11203.542000000001"/>
    <n v="2750.612000000001"/>
    <x v="173"/>
    <s v="Paid"/>
    <x v="0"/>
    <s v="OK"/>
    <s v="Completed"/>
    <x v="0"/>
    <s v="OK"/>
    <s v="INVALID"/>
    <s v="MATCH"/>
    <s v="MATCH"/>
  </r>
  <r>
    <x v="177"/>
    <n v="1"/>
    <d v="2024-08-21T00:00:00"/>
    <d v="2024-08-21T00:00:00"/>
    <x v="1"/>
    <x v="0"/>
    <s v="2024-11-13"/>
    <d v="2024-11-13T00:00:00"/>
    <n v="84"/>
    <s v="OK"/>
    <s v="CUST-4589"/>
    <s v="Diya Patel"/>
    <s v="Diya Patel"/>
    <s v="Consumer"/>
    <x v="0"/>
    <s v="West"/>
    <x v="3"/>
    <s v="OK"/>
    <s v="Gujarat"/>
    <s v="Gujarat"/>
    <s v="Ahmedabad"/>
    <s v="Ahmedabad"/>
    <s v="Office Supplies"/>
    <x v="0"/>
    <s v="Binders"/>
    <x v="11"/>
    <s v="Prime Binders 554"/>
    <s v="First Class"/>
    <x v="2"/>
    <s v="OK"/>
    <n v="1"/>
    <n v="270.27999999999997"/>
    <n v="0"/>
    <n v="0"/>
    <s v="OK"/>
    <n v="270.27999999999997"/>
    <n v="156.34"/>
    <n v="113.94"/>
    <n v="270.27999999999997"/>
    <n v="113.93999999999997"/>
    <x v="174"/>
    <s v="Paid"/>
    <x v="0"/>
    <s v="OK"/>
    <s v="Completed"/>
    <x v="0"/>
    <s v="OK"/>
    <s v="CLEAN"/>
    <s v="MATCH"/>
    <s v="MATCH"/>
  </r>
  <r>
    <x v="178"/>
    <n v="1"/>
    <d v="2024-04-12T00:00:00"/>
    <d v="2024-04-12T00:00:00"/>
    <x v="6"/>
    <x v="0"/>
    <s v="20 Jul 2024"/>
    <d v="2024-07-20T00:00:00"/>
    <n v="99"/>
    <s v="OK"/>
    <s v="CUST-4667"/>
    <s v="Aarav Sharma"/>
    <s v="Aarav Sharma"/>
    <s v="Home Office"/>
    <x v="3"/>
    <s v="East"/>
    <x v="1"/>
    <s v="OK"/>
    <s v="West Bengal"/>
    <s v="West Bengal"/>
    <s v="Kolkata"/>
    <s v="Kolkata"/>
    <s v="Office Supplies"/>
    <x v="0"/>
    <s v="Art"/>
    <x v="2"/>
    <s v="Classic Art 299"/>
    <s v="Second Class"/>
    <x v="0"/>
    <s v="OK"/>
    <n v="3"/>
    <n v="876.14"/>
    <s v="70%"/>
    <n v="0.7"/>
    <s v="OK"/>
    <n v="2628.42"/>
    <n v="1541.54"/>
    <n v="1086.8800000000001"/>
    <n v="788.52600000000018"/>
    <n v="-753.01399999999978"/>
    <x v="175"/>
    <s v="Pending"/>
    <x v="1"/>
    <s v="OK"/>
    <s v="Returned"/>
    <x v="1"/>
    <s v="RETURNED_ORDER"/>
    <s v="CLEAN"/>
    <s v="MISMATCH"/>
    <s v="MISMATCH"/>
  </r>
  <r>
    <x v="179"/>
    <n v="1"/>
    <d v="2024-06-23T00:00:00"/>
    <d v="2024-06-23T00:00:00"/>
    <x v="8"/>
    <x v="0"/>
    <s v="02 May 2025"/>
    <d v="2025-05-02T00:00:00"/>
    <n v="313"/>
    <s v="OK"/>
    <s v="CUST-7821"/>
    <s v="Neha Gupta"/>
    <s v="Neha Gupta"/>
    <s v="Small Business"/>
    <x v="1"/>
    <s v="West"/>
    <x v="3"/>
    <s v="OK"/>
    <s v="Goa"/>
    <s v="Goa"/>
    <s v="Panaji"/>
    <s v="Panaji"/>
    <s v="Technology"/>
    <x v="2"/>
    <s v="Accessories"/>
    <x v="4"/>
    <s v="Eco Accessories 220"/>
    <s v="Same Day"/>
    <x v="1"/>
    <s v="OK"/>
    <n v="4"/>
    <n v="674.82"/>
    <n v="0"/>
    <n v="0"/>
    <s v="OK"/>
    <n v="2699.28"/>
    <n v="1759.76"/>
    <n v="939.52"/>
    <n v="2699.28"/>
    <n v="939.52000000000021"/>
    <x v="176"/>
    <s v="Failed"/>
    <x v="3"/>
    <s v="EXCLUDE_FROM_SALES"/>
    <s v="Cancelled"/>
    <x v="2"/>
    <s v="EXCLUDE_FROM_SALES"/>
    <s v="CLEAN"/>
    <s v="MATCH"/>
    <s v="MATCH"/>
  </r>
  <r>
    <x v="180"/>
    <n v="1"/>
    <d v="2024-12-11T00:00:00"/>
    <d v="2024-12-11T00:00:00"/>
    <x v="4"/>
    <x v="0"/>
    <s v="28 May 2025"/>
    <d v="2025-05-28T00:00:00"/>
    <n v="168"/>
    <s v="OK"/>
    <s v="CUST-8579"/>
    <s v="Isha Nair"/>
    <s v="Isha Nair"/>
    <s v="Consumer"/>
    <x v="0"/>
    <s v="North"/>
    <x v="0"/>
    <s v="OK"/>
    <s v="Uttar Pradesh"/>
    <s v="Uttar Pradesh"/>
    <s v="Noida"/>
    <s v="Noida"/>
    <s v="Technology"/>
    <x v="2"/>
    <s v="Phones"/>
    <x v="8"/>
    <s v="Max Phones 422"/>
    <s v="Second Class"/>
    <x v="0"/>
    <s v="OK"/>
    <n v="6"/>
    <n v="1369.48"/>
    <n v="0.15"/>
    <n v="0.15"/>
    <s v="OK"/>
    <n v="6984.35"/>
    <n v="4023.63"/>
    <n v="2960.72"/>
    <n v="6984.3480000000009"/>
    <n v="2960.7180000000008"/>
    <x v="177"/>
    <s v="Paid"/>
    <x v="0"/>
    <s v="OK"/>
    <s v="Completed"/>
    <x v="0"/>
    <s v="OK"/>
    <s v="CLEAN"/>
    <s v="MATCH"/>
    <s v="MATCH"/>
  </r>
  <r>
    <x v="181"/>
    <n v="1"/>
    <d v="2024-02-25T00:00:00"/>
    <d v="2024-02-25T00:00:00"/>
    <x v="11"/>
    <x v="0"/>
    <s v="07 May 2025"/>
    <d v="2025-05-07T00:00:00"/>
    <n v="437"/>
    <s v="OK"/>
    <s v="CUST-6909"/>
    <s v="Isha Nair"/>
    <s v="Isha Nair"/>
    <s v="Small Business"/>
    <x v="1"/>
    <s v="West"/>
    <x v="3"/>
    <s v="OK"/>
    <s v="Goa"/>
    <s v="Goa"/>
    <s v="Panaji"/>
    <s v="Panaji"/>
    <s v="Furniture"/>
    <x v="1"/>
    <s v="Furnishings"/>
    <x v="3"/>
    <s v="Eco Furnishings 897"/>
    <s v="Standard Class"/>
    <x v="3"/>
    <s v="OK"/>
    <n v="9"/>
    <n v="1331.46"/>
    <n v="0.15"/>
    <n v="0.15"/>
    <s v="OK"/>
    <n v="10185.67"/>
    <n v="6479.31"/>
    <n v="3706.36"/>
    <n v="10185.669"/>
    <n v="3706.3589999999995"/>
    <x v="178"/>
    <s v="Paid"/>
    <x v="0"/>
    <s v="OK"/>
    <s v="Completed"/>
    <x v="0"/>
    <s v="OK"/>
    <s v="CLEAN"/>
    <s v="MATCH"/>
    <s v="MATCH"/>
  </r>
  <r>
    <x v="182"/>
    <n v="1"/>
    <d v="2024-07-24T00:00:00"/>
    <d v="2024-07-24T00:00:00"/>
    <x v="0"/>
    <x v="0"/>
    <s v="04/21/2025"/>
    <d v="2025-04-21T00:00:00"/>
    <n v="271"/>
    <s v="OK"/>
    <s v="CUST-6163"/>
    <s v="Isha Nair"/>
    <s v="Isha Nair"/>
    <s v="Consumer"/>
    <x v="0"/>
    <s v="West"/>
    <x v="3"/>
    <s v="OK"/>
    <s v="Rajasthan"/>
    <s v="Rajasthan"/>
    <s v="Udaipur"/>
    <s v="Udaipur"/>
    <s v="Technology"/>
    <x v="2"/>
    <s v="Accessories"/>
    <x v="4"/>
    <s v="Classic Accessories 489"/>
    <s v="Second Class"/>
    <x v="0"/>
    <s v="OK"/>
    <n v="3"/>
    <n v="1834.55"/>
    <n v="0.2"/>
    <n v="0.2"/>
    <s v="OK"/>
    <n v="4402.92"/>
    <n v="2993.94"/>
    <n v="1408.98"/>
    <n v="4402.92"/>
    <n v="1408.98"/>
    <x v="179"/>
    <s v="Pending"/>
    <x v="1"/>
    <s v="OK"/>
    <s v="Cancelled"/>
    <x v="2"/>
    <s v="EXCLUDE_FROM_SALES"/>
    <s v="CLEAN"/>
    <s v="MATCH"/>
    <s v="MATCH"/>
  </r>
  <r>
    <x v="183"/>
    <n v="1"/>
    <d v="2024-05-16T00:00:00"/>
    <d v="2024-05-16T00:00:00"/>
    <x v="3"/>
    <x v="0"/>
    <s v="2024-10-24"/>
    <d v="2024-10-24T00:00:00"/>
    <n v="161"/>
    <s v="OK"/>
    <s v="CUST-1116"/>
    <s v="Arjun Bose"/>
    <s v="Arjun Bose"/>
    <s v="Home Office"/>
    <x v="3"/>
    <s v="North"/>
    <x v="0"/>
    <s v="OK"/>
    <s v="Punjab"/>
    <s v="Punjab"/>
    <s v="Ludhiana"/>
    <s v="Ludhiana"/>
    <s v="Technology"/>
    <x v="2"/>
    <s v="Accessories"/>
    <x v="4"/>
    <s v="Prime Accessories 335"/>
    <s v="Same Day"/>
    <x v="1"/>
    <s v="OK"/>
    <n v="1"/>
    <n v="783.09"/>
    <n v="0"/>
    <n v="0"/>
    <s v="OK"/>
    <n v="783.09"/>
    <n v="503.89"/>
    <n v="279.2"/>
    <n v="783.09"/>
    <n v="279.20000000000005"/>
    <x v="180"/>
    <s v="Failed"/>
    <x v="3"/>
    <s v="EXCLUDE_FROM_SALES"/>
    <s v="Cancelled"/>
    <x v="2"/>
    <s v="EXCLUDE_FROM_SALES"/>
    <s v="CLEAN"/>
    <s v="MATCH"/>
    <s v="MATCH"/>
  </r>
  <r>
    <x v="184"/>
    <n v="2"/>
    <d v="2024-12-04T00:00:00"/>
    <d v="2024-12-04T00:00:00"/>
    <x v="4"/>
    <x v="0"/>
    <s v="12/16/2024"/>
    <d v="2024-12-16T00:00:00"/>
    <n v="12"/>
    <s v="OK"/>
    <s v="CUST-9346"/>
    <s v="Sneha Kapoor"/>
    <s v="Sneha Kapoor"/>
    <s v="Home Office"/>
    <x v="3"/>
    <s v="East"/>
    <x v="1"/>
    <s v="OK"/>
    <s v="Odisha"/>
    <s v="Odisha"/>
    <s v="Bhubaneswar"/>
    <s v="Bhubaneswar"/>
    <s v="Office Supplies"/>
    <x v="0"/>
    <s v="Binders"/>
    <x v="11"/>
    <s v="Smart Binders 939"/>
    <s v="Second Class"/>
    <x v="0"/>
    <s v="OK"/>
    <n v="4"/>
    <n v="2685.66"/>
    <n v="0"/>
    <n v="0"/>
    <s v="OK"/>
    <n v="10742.64"/>
    <n v="6477.37"/>
    <n v="4265.2700000000004"/>
    <n v="10742.64"/>
    <n v="4265.2699999999995"/>
    <x v="181"/>
    <s v="Paid"/>
    <x v="0"/>
    <s v="OK"/>
    <s v="Returned"/>
    <x v="1"/>
    <s v="RETURNED_ORDER"/>
    <s v="CLEAN"/>
    <s v="MATCH"/>
    <s v="MATCH"/>
  </r>
  <r>
    <x v="184"/>
    <n v="2"/>
    <d v="2024-12-04T00:00:00"/>
    <d v="2024-12-04T00:00:00"/>
    <x v="4"/>
    <x v="0"/>
    <s v="28-06-2024"/>
    <d v="2024-06-28T00:00:00"/>
    <n v="-159"/>
    <s v="INVALID_SHIPPING"/>
    <s v="CUST-9346"/>
    <s v="Sneha Kapoor"/>
    <s v="Sneha Kapoor"/>
    <s v="Home Office"/>
    <x v="3"/>
    <s v="East"/>
    <x v="1"/>
    <s v="OK"/>
    <s v="Odisha"/>
    <s v="Odisha"/>
    <s v="Bhubaneswar"/>
    <s v="Bhubaneswar"/>
    <s v="Office Supplies"/>
    <x v="0"/>
    <s v="Binders"/>
    <x v="11"/>
    <s v="Smart Binders 939"/>
    <s v="Second Class"/>
    <x v="0"/>
    <s v="OK"/>
    <n v="4"/>
    <n v="2685.66"/>
    <n v="0"/>
    <n v="0"/>
    <s v="OK"/>
    <n v="10989.89"/>
    <n v="6477.37"/>
    <n v="4265.2700000000004"/>
    <n v="10742.64"/>
    <n v="4265.2699999999995"/>
    <x v="181"/>
    <s v="Paid"/>
    <x v="0"/>
    <s v="OK"/>
    <s v="Completed"/>
    <x v="0"/>
    <s v="OK"/>
    <s v="INVALID"/>
    <s v="MISMATCH"/>
    <s v="MATCH"/>
  </r>
  <r>
    <x v="185"/>
    <n v="1"/>
    <d v="2024-12-09T00:00:00"/>
    <d v="2024-12-09T00:00:00"/>
    <x v="4"/>
    <x v="0"/>
    <s v="01/31/2025"/>
    <d v="2025-01-31T00:00:00"/>
    <n v="53"/>
    <s v="OK"/>
    <s v="CUST-3062"/>
    <s v="Ananya Rao"/>
    <s v="Ananya Rao"/>
    <s v="Consumer"/>
    <x v="0"/>
    <s v="East"/>
    <x v="1"/>
    <s v="OK"/>
    <s v="Jharkhand"/>
    <s v="Jharkhand"/>
    <s v="Ranchi"/>
    <s v="Ranchi"/>
    <s v="Office Supplies"/>
    <x v="0"/>
    <s v="Storage"/>
    <x v="7"/>
    <s v="Pro Storage 563"/>
    <s v="First Class"/>
    <x v="2"/>
    <s v="OK"/>
    <n v="9"/>
    <n v="1921.47"/>
    <n v="0.25"/>
    <n v="0.25"/>
    <s v="OK"/>
    <n v="12969.92"/>
    <n v="9398.4599999999991"/>
    <n v="3571.46"/>
    <n v="12969.922500000001"/>
    <n v="3571.4625000000015"/>
    <x v="182"/>
    <s v="Paid"/>
    <x v="0"/>
    <s v="OK"/>
    <s v="Completed"/>
    <x v="0"/>
    <s v="OK"/>
    <s v="CLEAN"/>
    <s v="MATCH"/>
    <s v="MATCH"/>
  </r>
  <r>
    <x v="186"/>
    <n v="1"/>
    <d v="2024-03-17T00:00:00"/>
    <d v="2024-03-17T00:00:00"/>
    <x v="10"/>
    <x v="0"/>
    <s v="07/24/2025"/>
    <d v="2025-07-24T00:00:00"/>
    <n v="494"/>
    <s v="OK"/>
    <s v="CUST-2103"/>
    <s v="Aarav Sharma"/>
    <s v="Aarav Sharma"/>
    <s v="Consumer"/>
    <x v="0"/>
    <s v="North"/>
    <x v="0"/>
    <s v="OK"/>
    <s v="Rajasthan"/>
    <s v="Rajasthan"/>
    <s v="Jaipur"/>
    <s v="Jaipur"/>
    <s v="Technology"/>
    <x v="2"/>
    <s v="Copiers"/>
    <x v="6"/>
    <s v="Pro Copiers 999"/>
    <s v="First Class"/>
    <x v="2"/>
    <s v="OK"/>
    <n v="8"/>
    <n v="1992.57"/>
    <n v="0"/>
    <n v="0"/>
    <s v="OK"/>
    <n v="15940.56"/>
    <n v="12347.15"/>
    <n v="3593.41"/>
    <n v="15940.56"/>
    <n v="3593.41"/>
    <x v="183"/>
    <s v="Paid"/>
    <x v="0"/>
    <s v="OK"/>
    <s v="Completed"/>
    <x v="0"/>
    <s v="OK"/>
    <s v="CLEAN"/>
    <s v="MATCH"/>
    <s v="MATCH"/>
  </r>
  <r>
    <x v="187"/>
    <n v="1"/>
    <d v="2024-12-08T00:00:00"/>
    <d v="2024-12-08T00:00:00"/>
    <x v="4"/>
    <x v="0"/>
    <s v="25 Jan 2024"/>
    <d v="2024-01-25T00:00:00"/>
    <n v="-318"/>
    <s v="INVALID_SHIPPING"/>
    <s v="CUST-4599"/>
    <s v="Ananya Rao"/>
    <s v="Ananya Rao"/>
    <s v="Consumer"/>
    <x v="0"/>
    <s v="East"/>
    <x v="1"/>
    <s v="OK"/>
    <s v="Assam"/>
    <s v="Assam"/>
    <s v="Guwahati"/>
    <s v="Guwahati"/>
    <s v="Office Supplies"/>
    <x v="0"/>
    <s v="Labels"/>
    <x v="5"/>
    <s v="Classic Labels 206"/>
    <s v="Same Day"/>
    <x v="1"/>
    <s v="OK"/>
    <n v="6"/>
    <n v="1181.74"/>
    <n v="0"/>
    <n v="0"/>
    <s v="OK"/>
    <n v="7090.44"/>
    <n v="5672.27"/>
    <n v="1262.8699999999999"/>
    <n v="7090.4400000000005"/>
    <n v="1418.17"/>
    <x v="184"/>
    <s v="Paid"/>
    <x v="0"/>
    <s v="OK"/>
    <s v="Completed"/>
    <x v="0"/>
    <s v="OK"/>
    <s v="INVALID"/>
    <s v="MATCH"/>
    <s v="MISMATCH"/>
  </r>
  <r>
    <x v="188"/>
    <n v="1"/>
    <d v="2024-12-08T00:00:00"/>
    <d v="2024-12-08T00:00:00"/>
    <x v="4"/>
    <x v="0"/>
    <s v="07-04-2025"/>
    <d v="2025-07-04T00:00:00"/>
    <n v="208"/>
    <s v="OK"/>
    <s v="CUST-3066"/>
    <s v="Arjun Bose"/>
    <s v="Arjun Bose"/>
    <s v="Small Business"/>
    <x v="1"/>
    <s v="South"/>
    <x v="2"/>
    <s v="OK"/>
    <s v="Andhra Pradesh"/>
    <s v="Andhra Pradesh"/>
    <s v="Vijayawada"/>
    <s v="Vijayawada"/>
    <s v="Technology"/>
    <x v="2"/>
    <s v="Accessories"/>
    <x v="4"/>
    <s v="Eco Accessories 315"/>
    <s v="First Class"/>
    <x v="2"/>
    <s v="OK"/>
    <n v="8"/>
    <n v="4402.3599999999997"/>
    <n v="0.25"/>
    <n v="0.25"/>
    <s v="OK"/>
    <n v="26414.16"/>
    <n v="21822.53"/>
    <n v="4591.63"/>
    <n v="26414.159999999996"/>
    <n v="4591.6299999999974"/>
    <x v="185"/>
    <s v="Paid"/>
    <x v="0"/>
    <s v="OK"/>
    <s v="Completed"/>
    <x v="0"/>
    <s v="OK"/>
    <s v="CLEAN"/>
    <s v="MATCH"/>
    <s v="MATCH"/>
  </r>
  <r>
    <x v="189"/>
    <n v="1"/>
    <d v="2024-01-21T00:00:00"/>
    <d v="2024-01-21T00:00:00"/>
    <x v="9"/>
    <x v="0"/>
    <s v="06/06/2024"/>
    <d v="2024-06-06T00:00:00"/>
    <n v="137"/>
    <s v="OK"/>
    <s v="CUST-6291"/>
    <s v="Neha Gupta"/>
    <s v="Neha Gupta"/>
    <s v="Consumer"/>
    <x v="0"/>
    <s v="South"/>
    <x v="2"/>
    <s v="OK"/>
    <s v="Karnataka"/>
    <s v="Karnataka"/>
    <s v="Bengaluru"/>
    <s v="Bengaluru"/>
    <s v="Office Supplies"/>
    <x v="0"/>
    <s v="Binders"/>
    <x v="11"/>
    <s v="Smart Binders 414"/>
    <s v="Standard Class"/>
    <x v="3"/>
    <s v="OK"/>
    <n v="5"/>
    <n v="4058.08"/>
    <n v="0.1"/>
    <n v="0.1"/>
    <s v="OK"/>
    <n v="18261.36"/>
    <n v="11399.94"/>
    <n v="6861.42"/>
    <n v="18261.36"/>
    <n v="6861.42"/>
    <x v="186"/>
    <s v="Paid"/>
    <x v="0"/>
    <s v="OK"/>
    <s v="Completed"/>
    <x v="0"/>
    <s v="OK"/>
    <s v="CLEAN"/>
    <s v="MATCH"/>
    <s v="MATCH"/>
  </r>
  <r>
    <x v="190"/>
    <n v="1"/>
    <d v="2024-03-11T00:00:00"/>
    <d v="2024-03-11T00:00:00"/>
    <x v="10"/>
    <x v="0"/>
    <s v="12-03-2024"/>
    <d v="2024-12-03T00:00:00"/>
    <n v="267"/>
    <s v="OK"/>
    <s v="CUST-8025"/>
    <s v="Priya Menon"/>
    <s v="Priya Menon"/>
    <s v="Consumer"/>
    <x v="0"/>
    <s v="North"/>
    <x v="0"/>
    <s v="OK"/>
    <s v="Punjab"/>
    <s v="Punjab"/>
    <s v="Ludhiana"/>
    <s v="Ludhiana"/>
    <s v="Furniture"/>
    <x v="1"/>
    <s v="Bookcases"/>
    <x v="9"/>
    <s v="Elite Bookcases 184"/>
    <s v="Same Day"/>
    <x v="1"/>
    <s v="OK"/>
    <n v="9"/>
    <n v="3456.38"/>
    <n v="0"/>
    <n v="0"/>
    <s v="OK"/>
    <n v="31107.42"/>
    <n v="20146.66"/>
    <n v="10960.76"/>
    <n v="31107.420000000002"/>
    <n v="10960.760000000002"/>
    <x v="187"/>
    <s v="Pending"/>
    <x v="1"/>
    <s v="OK"/>
    <s v="Returned"/>
    <x v="1"/>
    <s v="RETURNED_ORDER"/>
    <s v="CLEAN"/>
    <s v="MATCH"/>
    <s v="MATCH"/>
  </r>
  <r>
    <x v="191"/>
    <n v="1"/>
    <d v="2024-09-14T00:00:00"/>
    <d v="2024-09-14T00:00:00"/>
    <x v="5"/>
    <x v="0"/>
    <s v="05 Jul 2025"/>
    <d v="2025-07-05T00:00:00"/>
    <n v="294"/>
    <s v="OK"/>
    <s v="CUST-4634"/>
    <s v="Karan Malhotra"/>
    <s v="Karan Malhotra"/>
    <s v="Consumer"/>
    <x v="0"/>
    <s v="West"/>
    <x v="3"/>
    <s v="OK"/>
    <s v="Madhya Pradesh"/>
    <s v="Madhya Pradesh"/>
    <s v="Indore"/>
    <s v="Indore"/>
    <s v="Furniture"/>
    <x v="1"/>
    <s v="Furnishings"/>
    <x v="3"/>
    <s v="Elite Furnishings 138"/>
    <s v="Second Class"/>
    <x v="0"/>
    <s v="OK"/>
    <n v="2"/>
    <n v="2765.3"/>
    <n v="0"/>
    <n v="0"/>
    <s v="OK"/>
    <n v="5530.6"/>
    <n v="4453.1099999999997"/>
    <n v="1077.49"/>
    <n v="5530.6"/>
    <n v="1077.4900000000007"/>
    <x v="188"/>
    <s v="Paid"/>
    <x v="0"/>
    <s v="OK"/>
    <s v="Completed"/>
    <x v="0"/>
    <s v="OK"/>
    <s v="CLEAN"/>
    <s v="MATCH"/>
    <s v="MATCH"/>
  </r>
  <r>
    <x v="192"/>
    <n v="1"/>
    <d v="2024-12-01T00:00:00"/>
    <d v="2024-12-01T00:00:00"/>
    <x v="4"/>
    <x v="0"/>
    <s v="08/03/2025"/>
    <d v="2025-08-03T00:00:00"/>
    <n v="245"/>
    <s v="OK"/>
    <s v="CUST-1172"/>
    <s v="Aarav Sharma"/>
    <s v="Aarav Sharma"/>
    <s v="Small Business"/>
    <x v="1"/>
    <s v="West"/>
    <x v="3"/>
    <s v="OK"/>
    <s v="Goa"/>
    <s v="Goa"/>
    <s v="Panaji"/>
    <s v="Panaji"/>
    <s v="Furniture"/>
    <x v="1"/>
    <s v="Chairs"/>
    <x v="10"/>
    <s v="Max Chairs 487"/>
    <s v="Second Class"/>
    <x v="0"/>
    <s v="OK"/>
    <n v="5"/>
    <n v="2981.49"/>
    <n v="0.2"/>
    <n v="0.2"/>
    <s v="OK"/>
    <n v="11925.96"/>
    <n v="10103.51"/>
    <n v="1822.45"/>
    <n v="11925.96"/>
    <n v="1822.4499999999989"/>
    <x v="189"/>
    <s v="Refunded"/>
    <x v="2"/>
    <s v="REFUNDED_PAYMENT"/>
    <s v="Returned"/>
    <x v="1"/>
    <s v="RETURNED_ORDER"/>
    <s v="CLEAN"/>
    <s v="MATCH"/>
    <s v="MATCH"/>
  </r>
  <r>
    <x v="193"/>
    <n v="1"/>
    <d v="2024-02-06T00:00:00"/>
    <d v="2024-02-06T00:00:00"/>
    <x v="11"/>
    <x v="0"/>
    <s v="28 Mar 2025"/>
    <d v="2025-03-28T00:00:00"/>
    <n v="416"/>
    <s v="OK"/>
    <s v="CUST-9517"/>
    <s v="Aarav Sharma"/>
    <s v="Aarav Sharma"/>
    <s v="Corporate"/>
    <x v="2"/>
    <s v="South"/>
    <x v="2"/>
    <s v="OK"/>
    <s v="Karnataka"/>
    <s v="Karnataka"/>
    <s v="Bengaluru"/>
    <s v="Bengaluru"/>
    <s v="Technology"/>
    <x v="2"/>
    <s v="Phones"/>
    <x v="8"/>
    <s v="Classic Phones 989"/>
    <s v="Same Day"/>
    <x v="1"/>
    <s v="OK"/>
    <n v="9"/>
    <n v="2860.26"/>
    <n v="0.25"/>
    <n v="0.25"/>
    <s v="OK"/>
    <n v="19306.759999999998"/>
    <n v="14442.38"/>
    <n v="4864.38"/>
    <n v="19306.755000000005"/>
    <n v="4864.3750000000055"/>
    <x v="190"/>
    <s v="Paid"/>
    <x v="0"/>
    <s v="OK"/>
    <s v="Completed"/>
    <x v="0"/>
    <s v="OK"/>
    <s v="CLEAN"/>
    <s v="MATCH"/>
    <s v="MATCH"/>
  </r>
  <r>
    <x v="194"/>
    <n v="1"/>
    <d v="2024-01-07T00:00:00"/>
    <d v="2024-01-07T00:00:00"/>
    <x v="9"/>
    <x v="0"/>
    <s v="2024-03-30"/>
    <d v="2024-03-30T00:00:00"/>
    <n v="83"/>
    <s v="OK"/>
    <s v="CUST-7644"/>
    <s v="Sneha Kapoor"/>
    <s v="Sneha Kapoor"/>
    <s v="Small Business"/>
    <x v="1"/>
    <s v="East"/>
    <x v="1"/>
    <s v="OK"/>
    <s v="Jharkhand"/>
    <s v="Jharkhand"/>
    <s v="Ranchi"/>
    <s v="Ranchi"/>
    <s v="Furniture"/>
    <x v="1"/>
    <s v="Furnishings"/>
    <x v="3"/>
    <s v="Elite Furnishings 279"/>
    <s v="Second Class"/>
    <x v="0"/>
    <s v="OK"/>
    <n v="4"/>
    <n v="3309.54"/>
    <n v="0.1"/>
    <n v="0.1"/>
    <s v="OK"/>
    <n v="11914.34"/>
    <n v="9771.24"/>
    <n v="2143.1"/>
    <n v="11914.344000000001"/>
    <n v="2143.1040000000012"/>
    <x v="191"/>
    <s v="Refunded"/>
    <x v="2"/>
    <s v="REFUNDED_PAYMENT"/>
    <s v="Returned"/>
    <x v="1"/>
    <s v="RETURNED_ORDER"/>
    <s v="CLEAN"/>
    <s v="MATCH"/>
    <s v="MATCH"/>
  </r>
  <r>
    <x v="195"/>
    <n v="1"/>
    <d v="2024-12-27T00:00:00"/>
    <d v="2024-12-27T00:00:00"/>
    <x v="4"/>
    <x v="0"/>
    <s v="2025-07-23"/>
    <d v="2025-07-23T00:00:00"/>
    <n v="208"/>
    <s v="OK"/>
    <s v="CUST-1058"/>
    <s v="Kabir Singh"/>
    <s v="Kabir Singh"/>
    <s v="Corporate"/>
    <x v="2"/>
    <s v="North"/>
    <x v="0"/>
    <s v="OK"/>
    <s v="Punjab"/>
    <s v="Punjab"/>
    <s v="Ludhiana"/>
    <s v="Ludhiana"/>
    <s v="Furniture"/>
    <x v="1"/>
    <s v="Furnishings"/>
    <x v="3"/>
    <s v="Classic Furnishings 498"/>
    <s v="Standard Class"/>
    <x v="3"/>
    <s v="OK"/>
    <n v="6"/>
    <n v="3346.78"/>
    <n v="-0.06"/>
    <n v="-0.06"/>
    <s v="Invalid Negative Discount"/>
    <n v="20080.68"/>
    <n v="12908.84"/>
    <n v="7171.84"/>
    <s v="INVALID"/>
    <s v="INVALID"/>
    <x v="12"/>
    <s v="Pending"/>
    <x v="1"/>
    <s v="OK"/>
    <s v="Cancelled"/>
    <x v="2"/>
    <s v="EXCLUDE_FROM_SALES"/>
    <s v="INVALID"/>
    <s v="INVALID"/>
    <s v="INVALID"/>
  </r>
  <r>
    <x v="196"/>
    <n v="1"/>
    <d v="2024-05-12T00:00:00"/>
    <d v="2024-05-12T00:00:00"/>
    <x v="3"/>
    <x v="0"/>
    <s v="04/26/2025"/>
    <d v="2025-04-26T00:00:00"/>
    <n v="349"/>
    <s v="OK"/>
    <s v="CUST-6414"/>
    <s v="Priya Menon"/>
    <s v="Priya Menon"/>
    <s v="Corporate"/>
    <x v="2"/>
    <s v="West"/>
    <x v="3"/>
    <s v="OK"/>
    <s v="Rajasthan"/>
    <s v="Rajasthan"/>
    <s v="Udaipur"/>
    <s v="Udaipur"/>
    <s v="Furniture"/>
    <x v="1"/>
    <s v="Tables"/>
    <x v="1"/>
    <s v="Max Tables 829"/>
    <s v="Standard Class"/>
    <x v="3"/>
    <s v="OK"/>
    <n v="5"/>
    <n v="3203.48"/>
    <n v="0"/>
    <n v="0"/>
    <s v="OK"/>
    <n v="16017.4"/>
    <n v="9557.7999999999993"/>
    <n v="6459.6"/>
    <n v="16017.4"/>
    <n v="6459.6"/>
    <x v="192"/>
    <s v="Pending"/>
    <x v="1"/>
    <s v="OK"/>
    <s v="Cancelled"/>
    <x v="2"/>
    <s v="EXCLUDE_FROM_SALES"/>
    <s v="CLEAN"/>
    <s v="MATCH"/>
    <s v="MATCH"/>
  </r>
  <r>
    <x v="197"/>
    <n v="1"/>
    <d v="2024-08-21T00:00:00"/>
    <d v="2024-08-21T00:00:00"/>
    <x v="1"/>
    <x v="0"/>
    <s v="20 May 2025"/>
    <d v="2025-05-20T00:00:00"/>
    <n v="272"/>
    <s v="OK"/>
    <s v="CUST-9571"/>
    <s v="Isha Nair"/>
    <s v="Isha Nair"/>
    <s v="Consumer"/>
    <x v="0"/>
    <s v="South"/>
    <x v="2"/>
    <s v="OK"/>
    <s v="Tamil Nadu"/>
    <s v="Tamil Nadu"/>
    <s v="Chennai"/>
    <s v="Chennai"/>
    <s v="Technology"/>
    <x v="2"/>
    <s v="Phones"/>
    <x v="8"/>
    <s v="Classic Phones 586"/>
    <s v="Same Day"/>
    <x v="1"/>
    <s v="OK"/>
    <n v="9"/>
    <n v="616.96"/>
    <n v="0.1"/>
    <n v="0.1"/>
    <s v="OK"/>
    <n v="4997.38"/>
    <n v="2971.39"/>
    <n v="2025.99"/>
    <n v="4997.3760000000002"/>
    <n v="2025.9860000000003"/>
    <x v="193"/>
    <s v="Paid"/>
    <x v="0"/>
    <s v="OK"/>
    <s v="Completed"/>
    <x v="0"/>
    <s v="OK"/>
    <s v="CLEAN"/>
    <s v="MATCH"/>
    <s v="MATCH"/>
  </r>
  <r>
    <x v="198"/>
    <n v="1"/>
    <d v="2024-06-17T00:00:00"/>
    <d v="2024-06-17T00:00:00"/>
    <x v="8"/>
    <x v="0"/>
    <s v="2024-07-16"/>
    <d v="2024-07-16T00:00:00"/>
    <n v="29"/>
    <s v="OK"/>
    <s v="CUST-3690"/>
    <s v="Sneha Kapoor"/>
    <s v="Sneha Kapoor"/>
    <s v="Small Business"/>
    <x v="1"/>
    <s v="West"/>
    <x v="3"/>
    <s v="OK"/>
    <s v="Gujarat"/>
    <s v="Gujarat"/>
    <s v="Ahmedabad"/>
    <s v="Ahmedabad"/>
    <s v="Furniture"/>
    <x v="1"/>
    <s v="Furnishings"/>
    <x v="3"/>
    <s v="Elite Furnishings 634"/>
    <s v="Standard Class"/>
    <x v="3"/>
    <s v="OK"/>
    <n v="7"/>
    <n v="3155.25"/>
    <n v="0.2"/>
    <n v="0.2"/>
    <s v="OK"/>
    <n v="17669.400000000001"/>
    <n v="13718.77"/>
    <n v="3950.63"/>
    <n v="17669.400000000001"/>
    <n v="3950.630000000001"/>
    <x v="194"/>
    <s v="Refunded"/>
    <x v="2"/>
    <s v="REFUNDED_PAYMENT"/>
    <s v="Cancelled"/>
    <x v="2"/>
    <s v="EXCLUDE_FROM_SALES"/>
    <s v="CLEAN"/>
    <s v="MATCH"/>
    <s v="MATCH"/>
  </r>
  <r>
    <x v="199"/>
    <n v="1"/>
    <d v="2024-08-23T00:00:00"/>
    <d v="2024-08-23T00:00:00"/>
    <x v="1"/>
    <x v="0"/>
    <s v="05-07-2025"/>
    <d v="2025-05-07T00:00:00"/>
    <n v="257"/>
    <s v="OK"/>
    <s v="CUST-6755"/>
    <s v="Vikram Iyer"/>
    <s v="Vikram Iyer"/>
    <s v="Consumer"/>
    <x v="0"/>
    <s v="West"/>
    <x v="3"/>
    <s v="OK"/>
    <s v="Goa"/>
    <s v="Goa"/>
    <s v="Panaji"/>
    <s v="Panaji"/>
    <s v="Technology"/>
    <x v="2"/>
    <s v="Machines"/>
    <x v="12"/>
    <s v="Elite Machines 216"/>
    <s v="Same Day"/>
    <x v="1"/>
    <s v="OK"/>
    <n v="4"/>
    <n v="491.16"/>
    <n v="0.05"/>
    <n v="0.05"/>
    <s v="OK"/>
    <n v="1866.41"/>
    <n v="1576.49"/>
    <n v="289.92"/>
    <n v="1866.4079999999999"/>
    <n v="289.91799999999989"/>
    <x v="195"/>
    <s v="Paid"/>
    <x v="0"/>
    <s v="OK"/>
    <s v="Completed"/>
    <x v="0"/>
    <s v="OK"/>
    <s v="CLEAN"/>
    <s v="MATCH"/>
    <s v="MATCH"/>
  </r>
  <r>
    <x v="200"/>
    <n v="1"/>
    <d v="2024-06-15T00:00:00"/>
    <d v="2024-06-15T00:00:00"/>
    <x v="8"/>
    <x v="0"/>
    <s v="08/14/2025"/>
    <d v="2025-08-14T00:00:00"/>
    <n v="425"/>
    <s v="OK"/>
    <s v="CUST-2203"/>
    <s v="Aditi Sen"/>
    <s v="Aditi Sen"/>
    <s v="Corporate"/>
    <x v="2"/>
    <s v="West"/>
    <x v="3"/>
    <s v="OK"/>
    <s v="Goa"/>
    <s v="Goa"/>
    <s v="Panaji"/>
    <s v="Panaji"/>
    <s v="Technology"/>
    <x v="2"/>
    <s v="Accessories"/>
    <x v="4"/>
    <s v="Basic Accessories 774"/>
    <s v="First Class"/>
    <x v="2"/>
    <s v="OK"/>
    <n v="8"/>
    <n v="1706.4"/>
    <m/>
    <n v="0"/>
    <s v="Missing Discount"/>
    <n v="12968.64"/>
    <n v="10119.61"/>
    <n v="2849.03"/>
    <n v="13651.2"/>
    <n v="3531.59"/>
    <x v="196"/>
    <s v="Paid"/>
    <x v="0"/>
    <s v="OK"/>
    <s v="Completed"/>
    <x v="0"/>
    <s v="OK"/>
    <s v="INVALID"/>
    <s v="MISMATCH"/>
    <s v="MISMATCH"/>
  </r>
  <r>
    <x v="201"/>
    <n v="1"/>
    <d v="2024-03-15T00:00:00"/>
    <d v="2024-03-15T00:00:00"/>
    <x v="10"/>
    <x v="0"/>
    <s v="18-03-2024"/>
    <d v="2024-03-18T00:00:00"/>
    <n v="3"/>
    <s v="OK"/>
    <s v="CUST-4696"/>
    <s v="Rohan Mehta"/>
    <s v="Rohan Mehta"/>
    <s v="Consumer"/>
    <x v="0"/>
    <s v="North"/>
    <x v="0"/>
    <s v="OK"/>
    <s v="Delhi"/>
    <s v="Delhi"/>
    <s v="New Delhi"/>
    <s v="New Delhi"/>
    <s v="Office Supplies"/>
    <x v="0"/>
    <s v="Art"/>
    <x v="2"/>
    <s v="Eco Art 646"/>
    <s v="Standard Class"/>
    <x v="3"/>
    <s v="OK"/>
    <n v="6"/>
    <n v="3815.09"/>
    <n v="0.15"/>
    <n v="0.15"/>
    <s v="OK"/>
    <n v="19456.96"/>
    <n v="14520.06"/>
    <n v="4936.8999999999996"/>
    <n v="19456.958999999999"/>
    <n v="4936.8989999999994"/>
    <x v="197"/>
    <s v="Failed"/>
    <x v="3"/>
    <s v="EXCLUDE_FROM_SALES"/>
    <s v="Cancelled"/>
    <x v="2"/>
    <s v="EXCLUDE_FROM_SALES"/>
    <s v="CLEAN"/>
    <s v="MATCH"/>
    <s v="MATCH"/>
  </r>
  <r>
    <x v="202"/>
    <n v="1"/>
    <d v="2024-08-15T00:00:00"/>
    <d v="2024-08-15T00:00:00"/>
    <x v="1"/>
    <x v="0"/>
    <s v="05/17/2024"/>
    <d v="2024-05-17T00:00:00"/>
    <n v="-90"/>
    <s v="INVALID_SHIPPING"/>
    <s v="CUST-8521"/>
    <s v="Ananya Rao"/>
    <s v="Ananya Rao"/>
    <s v="Small Business"/>
    <x v="1"/>
    <s v="West"/>
    <x v="3"/>
    <s v="OK"/>
    <s v="Rajasthan"/>
    <s v="Rajasthan"/>
    <s v="Udaipur"/>
    <s v="Udaipur"/>
    <s v="Technology"/>
    <x v="2"/>
    <s v="Copiers"/>
    <x v="6"/>
    <s v="Classic Copiers 505"/>
    <s v="First Class"/>
    <x v="2"/>
    <s v="OK"/>
    <n v="7"/>
    <n v="2333.81"/>
    <n v="0.2"/>
    <n v="0.2"/>
    <s v="OK"/>
    <n v="13069.34"/>
    <n v="8768.59"/>
    <n v="4300.75"/>
    <n v="13069.336000000001"/>
    <n v="4300.746000000001"/>
    <x v="198"/>
    <s v="Paid"/>
    <x v="0"/>
    <s v="OK"/>
    <s v="Completed"/>
    <x v="0"/>
    <s v="OK"/>
    <s v="INVALID"/>
    <s v="MATCH"/>
    <s v="MATCH"/>
  </r>
  <r>
    <x v="203"/>
    <n v="1"/>
    <d v="2024-01-22T00:00:00"/>
    <d v="2024-01-22T00:00:00"/>
    <x v="9"/>
    <x v="0"/>
    <s v="2024-09-21"/>
    <d v="2024-09-21T00:00:00"/>
    <n v="243"/>
    <s v="OK"/>
    <s v="CUST-2204"/>
    <s v="Diya Patel"/>
    <s v="Diya Patel"/>
    <s v="Home Office"/>
    <x v="3"/>
    <s v="West"/>
    <x v="3"/>
    <s v="OK"/>
    <s v="Maharashtra"/>
    <s v="Maharashtra"/>
    <s v="Mumbai"/>
    <s v="Mumbai"/>
    <s v="Office Supplies"/>
    <x v="0"/>
    <s v="Art"/>
    <x v="2"/>
    <s v="Pro Art 906"/>
    <s v="Standard Class"/>
    <x v="3"/>
    <s v="OK"/>
    <n v="6"/>
    <n v="1026.06"/>
    <m/>
    <n v="0"/>
    <s v="Missing Discount"/>
    <n v="4617.2700000000004"/>
    <n v="2981.94"/>
    <n v="1635.33"/>
    <n v="6156.36"/>
    <n v="3174.4199999999996"/>
    <x v="199"/>
    <s v="Refunded"/>
    <x v="2"/>
    <s v="REFUNDED_PAYMENT"/>
    <s v="Cancelled"/>
    <x v="2"/>
    <s v="EXCLUDE_FROM_SALES"/>
    <s v="INVALID"/>
    <s v="MISMATCH"/>
    <s v="MISMATCH"/>
  </r>
  <r>
    <x v="204"/>
    <n v="1"/>
    <d v="2024-12-31T00:00:00"/>
    <d v="2024-12-31T00:00:00"/>
    <x v="4"/>
    <x v="0"/>
    <s v="21-05-2024"/>
    <d v="2024-05-21T00:00:00"/>
    <n v="-224"/>
    <s v="INVALID_SHIPPING"/>
    <s v="CUST-2810"/>
    <s v="Vikram Iyer"/>
    <s v="Vikram Iyer"/>
    <s v="Consumer"/>
    <x v="0"/>
    <s v="North"/>
    <x v="0"/>
    <s v="OK"/>
    <s v="Delhi"/>
    <s v="Delhi"/>
    <s v="New Delhi"/>
    <s v="New Delhi"/>
    <s v="Furniture"/>
    <x v="1"/>
    <s v="Chairs"/>
    <x v="10"/>
    <s v="Pro Chairs 364"/>
    <s v="Same Day"/>
    <x v="1"/>
    <s v="OK"/>
    <n v="3"/>
    <n v="1166.6099999999999"/>
    <n v="0.25"/>
    <n v="0.25"/>
    <s v="OK"/>
    <n v="2624.87"/>
    <n v="2253.88"/>
    <n v="370.99"/>
    <n v="2624.8724999999999"/>
    <n v="370.99249999999984"/>
    <x v="200"/>
    <s v="Paid"/>
    <x v="0"/>
    <s v="OK"/>
    <s v="Completed"/>
    <x v="0"/>
    <s v="OK"/>
    <s v="INVALID"/>
    <s v="MATCH"/>
    <s v="MATCH"/>
  </r>
  <r>
    <x v="205"/>
    <n v="1"/>
    <d v="2024-12-29T00:00:00"/>
    <d v="2024-12-29T00:00:00"/>
    <x v="4"/>
    <x v="0"/>
    <s v="23-03-2024"/>
    <d v="2024-03-23T00:00:00"/>
    <n v="-281"/>
    <s v="INVALID_SHIPPING"/>
    <s v="CUST-5166"/>
    <s v="Isha Nair"/>
    <s v="Isha Nair"/>
    <s v="Small Business"/>
    <x v="1"/>
    <s v="East"/>
    <x v="1"/>
    <s v="OK"/>
    <s v="Bihar"/>
    <s v="Bihar"/>
    <s v="Patna"/>
    <s v="Patna"/>
    <s v="Furniture"/>
    <x v="1"/>
    <s v="Chairs"/>
    <x v="10"/>
    <s v="Basic Chairs 248"/>
    <s v="First Class"/>
    <x v="2"/>
    <s v="OK"/>
    <n v="6"/>
    <n v="1844.78"/>
    <n v="0.2"/>
    <n v="0.2"/>
    <s v="OK"/>
    <n v="8854.94"/>
    <n v="7433.95"/>
    <n v="1420.99"/>
    <n v="8854.9440000000013"/>
    <n v="1420.9940000000015"/>
    <x v="201"/>
    <s v="Paid"/>
    <x v="0"/>
    <s v="OK"/>
    <s v="Completed"/>
    <x v="0"/>
    <s v="OK"/>
    <s v="INVALID"/>
    <s v="MATCH"/>
    <s v="MATCH"/>
  </r>
  <r>
    <x v="206"/>
    <n v="1"/>
    <d v="2024-09-19T00:00:00"/>
    <d v="2024-09-19T00:00:00"/>
    <x v="5"/>
    <x v="0"/>
    <s v="2024-03-04"/>
    <d v="2024-03-04T00:00:00"/>
    <n v="-199"/>
    <s v="INVALID_SHIPPING"/>
    <s v="CUST-6405"/>
    <s v="Mira Das"/>
    <s v="Mira Das"/>
    <s v="Small Business"/>
    <x v="1"/>
    <s v="South"/>
    <x v="2"/>
    <s v="OK"/>
    <s v="Kerala"/>
    <s v="Kerala"/>
    <s v="Kochi"/>
    <s v="Kochi"/>
    <s v="Office Supplies"/>
    <x v="0"/>
    <s v="Paper"/>
    <x v="0"/>
    <s v="Max Paper 334"/>
    <s v="Standard Class"/>
    <x v="3"/>
    <s v="OK"/>
    <n v="7"/>
    <n v="1136.68"/>
    <m/>
    <n v="0"/>
    <s v="Missing Discount"/>
    <n v="7956.76"/>
    <n v="4799.54"/>
    <n v="3157.22"/>
    <n v="7956.76"/>
    <n v="3157.2200000000003"/>
    <x v="202"/>
    <s v="Paid"/>
    <x v="0"/>
    <s v="OK"/>
    <s v="Completed"/>
    <x v="0"/>
    <s v="OK"/>
    <s v="INVALID"/>
    <s v="MATCH"/>
    <s v="MATCH"/>
  </r>
  <r>
    <x v="207"/>
    <n v="1"/>
    <d v="2024-07-04T00:00:00"/>
    <d v="2024-07-04T00:00:00"/>
    <x v="0"/>
    <x v="0"/>
    <s v="15 Apr 2025"/>
    <d v="2025-04-15T00:00:00"/>
    <n v="285"/>
    <s v="OK"/>
    <s v="CUST-5779"/>
    <s v="Vikram Iyer"/>
    <s v="Vikram Iyer"/>
    <s v="Consumer"/>
    <x v="0"/>
    <s v="West"/>
    <x v="3"/>
    <s v="OK"/>
    <s v="Maharashtra"/>
    <s v="Maharashtra"/>
    <s v="Mumbai"/>
    <s v="Mumbai"/>
    <s v="Furniture"/>
    <x v="1"/>
    <s v="Bookcases"/>
    <x v="9"/>
    <s v="Prime Bookcases 952"/>
    <s v="Same Day"/>
    <x v="1"/>
    <s v="OK"/>
    <n v="5"/>
    <n v="2235.85"/>
    <n v="0.25"/>
    <n v="0.25"/>
    <s v="OK"/>
    <n v="8384.44"/>
    <n v="4765.96"/>
    <n v="3618.48"/>
    <n v="8384.4375"/>
    <n v="3618.4775"/>
    <x v="203"/>
    <s v="Paid"/>
    <x v="0"/>
    <s v="OK"/>
    <s v="Returned"/>
    <x v="1"/>
    <s v="RETURNED_ORDER"/>
    <s v="CLEAN"/>
    <s v="MATCH"/>
    <s v="MATCH"/>
  </r>
  <r>
    <x v="208"/>
    <n v="1"/>
    <d v="2024-03-15T00:00:00"/>
    <d v="2024-03-15T00:00:00"/>
    <x v="10"/>
    <x v="0"/>
    <s v="04/08/2025"/>
    <d v="2025-04-08T00:00:00"/>
    <n v="389"/>
    <s v="OK"/>
    <s v="CUST-8432"/>
    <s v="Rohan Mehta"/>
    <s v="Rohan Mehta"/>
    <s v="Consumer"/>
    <x v="0"/>
    <s v="East"/>
    <x v="1"/>
    <s v="OK"/>
    <s v="Jharkhand"/>
    <s v="Jharkhand"/>
    <s v="Ranchi"/>
    <s v="Ranchi"/>
    <s v="Technology"/>
    <x v="2"/>
    <s v="Copiers"/>
    <x v="6"/>
    <s v="Prime Copiers 820"/>
    <s v="Standard Class"/>
    <x v="3"/>
    <s v="OK"/>
    <n v="2"/>
    <n v="1881.4"/>
    <n v="0.25"/>
    <n v="0.25"/>
    <s v="OK"/>
    <n v="2822.1"/>
    <n v="1624.57"/>
    <n v="1197.53"/>
    <n v="2822.1000000000004"/>
    <n v="1197.5300000000004"/>
    <x v="204"/>
    <s v="Paid"/>
    <x v="0"/>
    <s v="OK"/>
    <s v="Returned"/>
    <x v="1"/>
    <s v="RETURNED_ORDER"/>
    <s v="CLEAN"/>
    <s v="MATCH"/>
    <s v="MATCH"/>
  </r>
  <r>
    <x v="209"/>
    <n v="1"/>
    <d v="2024-05-13T00:00:00"/>
    <d v="2024-05-13T00:00:00"/>
    <x v="3"/>
    <x v="0"/>
    <s v="27-02-2025"/>
    <d v="2025-02-27T00:00:00"/>
    <n v="290"/>
    <s v="OK"/>
    <s v="CUST-1457"/>
    <s v="Isha Nair"/>
    <s v="Isha Nair"/>
    <s v="Small Business"/>
    <x v="1"/>
    <s v="West"/>
    <x v="3"/>
    <s v="OK"/>
    <s v="Gujarat"/>
    <s v="Gujarat"/>
    <s v="Ahmedabad"/>
    <s v="Ahmedabad"/>
    <s v="Furniture"/>
    <x v="1"/>
    <s v="Chairs"/>
    <x v="10"/>
    <s v="Elite Chairs 639"/>
    <s v="Standard Class"/>
    <x v="3"/>
    <s v="OK"/>
    <n v="3"/>
    <n v="3128.59"/>
    <n v="0"/>
    <n v="0"/>
    <s v="OK"/>
    <n v="9385.77"/>
    <n v="6872.44"/>
    <n v="2783.66"/>
    <n v="9385.77"/>
    <n v="2513.3300000000008"/>
    <x v="205"/>
    <s v="Paid"/>
    <x v="0"/>
    <s v="OK"/>
    <s v="Completed"/>
    <x v="0"/>
    <s v="OK"/>
    <s v="CLEAN"/>
    <s v="MATCH"/>
    <s v="MISMATCH"/>
  </r>
  <r>
    <x v="210"/>
    <n v="1"/>
    <d v="2024-05-04T00:00:00"/>
    <d v="2024-05-04T00:00:00"/>
    <x v="3"/>
    <x v="0"/>
    <s v="06/19/2024"/>
    <d v="2024-06-19T00:00:00"/>
    <n v="46"/>
    <s v="OK"/>
    <s v="CUST-3930"/>
    <s v="Diya Patel"/>
    <s v="Diya Patel"/>
    <s v="Corporate"/>
    <x v="2"/>
    <s v="West"/>
    <x v="3"/>
    <s v="OK"/>
    <s v="Gujarat"/>
    <s v="Gujarat"/>
    <s v="Ahmedabad"/>
    <s v="Ahmedabad"/>
    <s v="Technology"/>
    <x v="2"/>
    <s v="Machines"/>
    <x v="12"/>
    <s v="Elite Machines 563"/>
    <s v="Second Class"/>
    <x v="0"/>
    <s v="OK"/>
    <n v="5"/>
    <n v="1937.54"/>
    <n v="0.2"/>
    <n v="0.2"/>
    <s v="OK"/>
    <n v="7750.16"/>
    <n v="5434.3"/>
    <n v="2315.86"/>
    <n v="7750.1600000000008"/>
    <n v="2315.8600000000006"/>
    <x v="206"/>
    <s v="Pending"/>
    <x v="1"/>
    <s v="OK"/>
    <s v="Cancelled"/>
    <x v="2"/>
    <s v="EXCLUDE_FROM_SALES"/>
    <s v="CLEAN"/>
    <s v="MATCH"/>
    <s v="MATCH"/>
  </r>
  <r>
    <x v="211"/>
    <n v="1"/>
    <d v="2024-06-11T00:00:00"/>
    <d v="2024-06-11T00:00:00"/>
    <x v="8"/>
    <x v="0"/>
    <s v="09/03/2024"/>
    <d v="2024-09-03T00:00:00"/>
    <n v="84"/>
    <s v="OK"/>
    <s v="CUST-7853"/>
    <s v="Isha Nair"/>
    <s v="Isha Nair"/>
    <s v="Consumer"/>
    <x v="0"/>
    <s v="West"/>
    <x v="3"/>
    <s v="OK"/>
    <s v="Gujarat"/>
    <s v="Gujarat"/>
    <s v="Ahmedabad"/>
    <s v="Ahmedabad"/>
    <s v="Furniture"/>
    <x v="1"/>
    <s v="Furnishings"/>
    <x v="3"/>
    <s v="Pro Furnishings 281"/>
    <s v="Standard Class"/>
    <x v="3"/>
    <s v="OK"/>
    <n v="4"/>
    <n v="1917.26"/>
    <n v="0.2"/>
    <n v="0.2"/>
    <s v="OK"/>
    <n v="6135.23"/>
    <n v="3439.79"/>
    <n v="2695.44"/>
    <n v="6135.232"/>
    <n v="2695.442"/>
    <x v="207"/>
    <s v="Paid"/>
    <x v="0"/>
    <s v="OK"/>
    <s v="Completed"/>
    <x v="0"/>
    <s v="OK"/>
    <s v="CLEAN"/>
    <s v="MATCH"/>
    <s v="MATCH"/>
  </r>
  <r>
    <x v="212"/>
    <n v="1"/>
    <d v="2024-02-19T00:00:00"/>
    <d v="2024-02-19T00:00:00"/>
    <x v="11"/>
    <x v="0"/>
    <s v="2025-01-15"/>
    <d v="2025-01-15T00:00:00"/>
    <n v="331"/>
    <s v="OK"/>
    <s v="CUST-6866"/>
    <s v="Aditi Sen"/>
    <s v="Aditi Sen"/>
    <s v="Small Business"/>
    <x v="1"/>
    <s v="South"/>
    <x v="2"/>
    <s v="OK"/>
    <s v="Kerala"/>
    <s v="Kerala"/>
    <s v="Kochi"/>
    <s v="Kochi"/>
    <s v="Furniture"/>
    <x v="1"/>
    <s v="Furnishings"/>
    <x v="3"/>
    <s v="Classic Furnishings 746"/>
    <s v="Same Day"/>
    <x v="1"/>
    <s v="OK"/>
    <n v="9"/>
    <n v="4053.01"/>
    <n v="0"/>
    <n v="0"/>
    <s v="OK"/>
    <n v="36477.089999999997"/>
    <n v="24525.48"/>
    <n v="11951.61"/>
    <n v="36477.090000000004"/>
    <n v="11951.610000000004"/>
    <x v="208"/>
    <s v="Paid"/>
    <x v="0"/>
    <s v="OK"/>
    <s v="Completed"/>
    <x v="0"/>
    <s v="OK"/>
    <s v="CLEAN"/>
    <s v="MATCH"/>
    <s v="MATCH"/>
  </r>
  <r>
    <x v="213"/>
    <n v="1"/>
    <d v="2024-08-23T00:00:00"/>
    <d v="2024-08-23T00:00:00"/>
    <x v="1"/>
    <x v="0"/>
    <s v="02 May 2025"/>
    <d v="2025-05-02T00:00:00"/>
    <n v="252"/>
    <s v="OK"/>
    <s v="CUST-3160"/>
    <s v="Mira Das"/>
    <s v="Mira Das"/>
    <s v="Corporate"/>
    <x v="2"/>
    <s v="North"/>
    <x v="0"/>
    <s v="OK"/>
    <s v="Uttar Pradesh"/>
    <s v="Uttar Pradesh"/>
    <s v="Noida"/>
    <s v="Noida"/>
    <s v="Office Supplies"/>
    <x v="0"/>
    <s v="Labels"/>
    <x v="5"/>
    <s v="Eco Labels 815"/>
    <s v="Same Day"/>
    <x v="1"/>
    <s v="OK"/>
    <n v="2"/>
    <n v="1936.91"/>
    <n v="0.05"/>
    <n v="0.05"/>
    <s v="OK"/>
    <n v="3680.13"/>
    <n v="2967.46"/>
    <n v="712.67"/>
    <n v="3680.1289999999999"/>
    <n v="712.66899999999987"/>
    <x v="209"/>
    <s v="Paid"/>
    <x v="0"/>
    <s v="OK"/>
    <s v="Completed"/>
    <x v="0"/>
    <s v="OK"/>
    <s v="CLEAN"/>
    <s v="MATCH"/>
    <s v="MATCH"/>
  </r>
  <r>
    <x v="214"/>
    <n v="1"/>
    <d v="2024-04-03T00:00:00"/>
    <d v="2024-04-03T00:00:00"/>
    <x v="6"/>
    <x v="0"/>
    <s v="02/26/2025"/>
    <d v="2025-02-26T00:00:00"/>
    <n v="329"/>
    <s v="OK"/>
    <s v="CUST-8444"/>
    <s v="Kabir Singh"/>
    <s v="Kabir Singh"/>
    <s v="Consumer"/>
    <x v="0"/>
    <s v="West"/>
    <x v="3"/>
    <s v="OK"/>
    <s v="Maharashtra"/>
    <s v="Maharashtra"/>
    <s v="Mumbai"/>
    <s v="Mumbai"/>
    <s v="Furniture"/>
    <x v="1"/>
    <s v="Furnishings"/>
    <x v="3"/>
    <s v="Prime Furnishings 879"/>
    <s v="First Class"/>
    <x v="2"/>
    <s v="OK"/>
    <n v="7"/>
    <n v="3945.21"/>
    <n v="0"/>
    <n v="0"/>
    <s v="OK"/>
    <n v="27616.47"/>
    <n v="21225.26"/>
    <n v="6391.21"/>
    <n v="27616.47"/>
    <n v="6391.2100000000028"/>
    <x v="210"/>
    <s v="Paid"/>
    <x v="0"/>
    <s v="OK"/>
    <s v="Completed"/>
    <x v="0"/>
    <s v="OK"/>
    <s v="CLEAN"/>
    <s v="MATCH"/>
    <s v="MATCH"/>
  </r>
  <r>
    <x v="215"/>
    <n v="1"/>
    <d v="2024-06-06T00:00:00"/>
    <d v="2024-06-06T00:00:00"/>
    <x v="8"/>
    <x v="0"/>
    <s v="08 Oct 2025"/>
    <d v="2025-10-08T00:00:00"/>
    <n v="489"/>
    <s v="OK"/>
    <s v="CUST-4765"/>
    <s v="Rahul Verma"/>
    <s v="Rahul Verma"/>
    <s v="Home Office"/>
    <x v="3"/>
    <s v="South"/>
    <x v="2"/>
    <s v="OK"/>
    <s v="Tamil Nadu"/>
    <s v="Tamil Nadu"/>
    <s v="Chennai"/>
    <s v="Chennai"/>
    <s v="Furniture"/>
    <x v="1"/>
    <s v="Tables"/>
    <x v="1"/>
    <s v="Pro Tables 142"/>
    <s v="Same Day"/>
    <x v="1"/>
    <s v="OK"/>
    <n v="7"/>
    <n v="861.91"/>
    <n v="0.05"/>
    <n v="0.05"/>
    <s v="OK"/>
    <n v="5731.7"/>
    <n v="4115.5600000000004"/>
    <n v="1616.14"/>
    <n v="5731.7014999999992"/>
    <n v="1616.1414999999988"/>
    <x v="211"/>
    <s v="Paid"/>
    <x v="0"/>
    <s v="OK"/>
    <s v="Completed"/>
    <x v="0"/>
    <s v="OK"/>
    <s v="CLEAN"/>
    <s v="MATCH"/>
    <s v="MATCH"/>
  </r>
  <r>
    <x v="216"/>
    <n v="1"/>
    <d v="2024-07-19T00:00:00"/>
    <d v="2024-07-19T00:00:00"/>
    <x v="0"/>
    <x v="0"/>
    <s v="2024-09-10"/>
    <d v="2024-09-10T00:00:00"/>
    <n v="53"/>
    <s v="OK"/>
    <s v="CUST-4718"/>
    <s v="Vikram Iyer"/>
    <s v="Vikram Iyer"/>
    <s v="Corporate"/>
    <x v="2"/>
    <s v="North"/>
    <x v="0"/>
    <s v="OK"/>
    <s v="Punjab"/>
    <s v="Punjab"/>
    <s v="Ludhiana"/>
    <s v="Ludhiana"/>
    <s v="Technology"/>
    <x v="2"/>
    <s v="Machines"/>
    <x v="12"/>
    <s v="Elite Machines 523"/>
    <s v="Same Day"/>
    <x v="1"/>
    <s v="OK"/>
    <n v="2"/>
    <n v="1263.6500000000001"/>
    <n v="0.2"/>
    <n v="0.2"/>
    <s v="OK"/>
    <n v="2021.84"/>
    <n v="1355.22"/>
    <n v="666.62"/>
    <n v="2021.8400000000001"/>
    <n v="666.62000000000012"/>
    <x v="212"/>
    <s v="Paid"/>
    <x v="0"/>
    <s v="OK"/>
    <s v="Completed"/>
    <x v="0"/>
    <s v="OK"/>
    <s v="CLEAN"/>
    <s v="MATCH"/>
    <s v="MATCH"/>
  </r>
  <r>
    <x v="217"/>
    <n v="1"/>
    <d v="2024-03-22T00:00:00"/>
    <d v="2024-03-22T00:00:00"/>
    <x v="10"/>
    <x v="0"/>
    <s v="15 Apr 2025"/>
    <d v="2025-04-15T00:00:00"/>
    <n v="389"/>
    <s v="OK"/>
    <s v="CUST-7680"/>
    <s v="Priya Menon"/>
    <s v="Priya Menon"/>
    <s v="Small Business"/>
    <x v="1"/>
    <s v="South"/>
    <x v="2"/>
    <s v="OK"/>
    <s v="Karnataka"/>
    <s v="Karnataka"/>
    <s v="Bengaluru"/>
    <s v="Bengaluru"/>
    <s v="Furniture"/>
    <x v="1"/>
    <s v="Tables"/>
    <x v="1"/>
    <s v="Smart Tables 829"/>
    <m/>
    <x v="4"/>
    <s v="MISSING_SHIP_MODE"/>
    <n v="3"/>
    <n v="1365.26"/>
    <n v="0"/>
    <n v="0"/>
    <s v="OK"/>
    <n v="4095.78"/>
    <n v="2807.77"/>
    <n v="1288.01"/>
    <n v="4095.7799999999997"/>
    <n v="1288.0099999999998"/>
    <x v="213"/>
    <s v="Paid"/>
    <x v="0"/>
    <s v="OK"/>
    <s v="Completed"/>
    <x v="0"/>
    <s v="OK"/>
    <s v="WARNING"/>
    <s v="MATCH"/>
    <s v="MATCH"/>
  </r>
  <r>
    <x v="218"/>
    <n v="1"/>
    <d v="2024-09-30T00:00:00"/>
    <d v="2024-09-30T00:00:00"/>
    <x v="5"/>
    <x v="0"/>
    <s v="12 Jul 2024"/>
    <d v="2024-07-12T00:00:00"/>
    <n v="-80"/>
    <s v="INVALID_SHIPPING"/>
    <s v="CUST-2700"/>
    <s v="Arjun Bose"/>
    <s v="Arjun Bose"/>
    <s v="Small Business"/>
    <x v="1"/>
    <s v="South"/>
    <x v="2"/>
    <s v="OK"/>
    <s v="Kerala"/>
    <s v="Kerala"/>
    <s v="Kochi"/>
    <s v="Kochi"/>
    <s v="Office Supplies"/>
    <x v="0"/>
    <s v="Paper"/>
    <x v="0"/>
    <s v="Classic Paper 237"/>
    <s v="Same Day"/>
    <x v="1"/>
    <s v="OK"/>
    <n v="5"/>
    <n v="3512.25"/>
    <n v="0.05"/>
    <n v="0.05"/>
    <s v="OK"/>
    <n v="16683.189999999999"/>
    <n v="10301.16"/>
    <n v="6382.03"/>
    <n v="16683.1875"/>
    <n v="6382.0275000000001"/>
    <x v="214"/>
    <s v="Paid"/>
    <x v="0"/>
    <s v="OK"/>
    <s v="Returned"/>
    <x v="1"/>
    <s v="RETURNED_ORDER"/>
    <s v="INVALID"/>
    <s v="MATCH"/>
    <s v="MATCH"/>
  </r>
  <r>
    <x v="219"/>
    <n v="1"/>
    <d v="2024-01-27T00:00:00"/>
    <d v="2024-01-27T00:00:00"/>
    <x v="9"/>
    <x v="0"/>
    <s v="28 Apr 2024"/>
    <d v="2024-04-28T00:00:00"/>
    <n v="92"/>
    <s v="OK"/>
    <s v="CUST-2904"/>
    <s v="Aditi Sen"/>
    <s v="Aditi Sen"/>
    <s v="Corporate"/>
    <x v="2"/>
    <s v="West"/>
    <x v="3"/>
    <s v="OK"/>
    <s v="Rajasthan"/>
    <s v="Rajasthan"/>
    <s v="Udaipur"/>
    <s v="Udaipur"/>
    <s v="Furniture"/>
    <x v="1"/>
    <s v="Chairs"/>
    <x v="10"/>
    <s v="Prime Chairs 891"/>
    <s v="Same Day"/>
    <x v="1"/>
    <s v="OK"/>
    <n v="3"/>
    <n v="359.61"/>
    <n v="0"/>
    <n v="0"/>
    <s v="OK"/>
    <n v="1078.83"/>
    <n v="926.35"/>
    <n v="152.47999999999999"/>
    <n v="1078.83"/>
    <n v="152.4799999999999"/>
    <x v="215"/>
    <s v="Paid"/>
    <x v="0"/>
    <s v="OK"/>
    <s v="Completed"/>
    <x v="0"/>
    <s v="OK"/>
    <s v="CLEAN"/>
    <s v="MATCH"/>
    <s v="MATCH"/>
  </r>
  <r>
    <x v="220"/>
    <n v="1"/>
    <d v="2024-09-23T00:00:00"/>
    <d v="2024-09-23T00:00:00"/>
    <x v="5"/>
    <x v="0"/>
    <s v="07/04/2025"/>
    <d v="2025-07-04T00:00:00"/>
    <n v="284"/>
    <s v="OK"/>
    <s v="CUST-9961"/>
    <s v="Aditi Sen"/>
    <s v="Aditi Sen"/>
    <s v="Home Office"/>
    <x v="3"/>
    <s v="West"/>
    <x v="3"/>
    <s v="OK"/>
    <s v="Gujarat"/>
    <s v="Gujarat"/>
    <s v="Ahmedabad"/>
    <s v="Ahmedabad"/>
    <s v="Furniture"/>
    <x v="1"/>
    <s v="Bookcases"/>
    <x v="9"/>
    <s v="Max Bookcases 812"/>
    <m/>
    <x v="4"/>
    <s v="MISSING_SHIP_MODE"/>
    <n v="7"/>
    <n v="3878.01"/>
    <n v="0.1"/>
    <n v="0.1"/>
    <s v="OK"/>
    <n v="24431.46"/>
    <n v="18202.36"/>
    <n v="6229.1"/>
    <n v="24431.463"/>
    <n v="6229.1029999999992"/>
    <x v="216"/>
    <s v="Paid"/>
    <x v="0"/>
    <s v="OK"/>
    <s v="Completed"/>
    <x v="0"/>
    <s v="OK"/>
    <s v="WARNING"/>
    <s v="MATCH"/>
    <s v="MATCH"/>
  </r>
  <r>
    <x v="221"/>
    <n v="1"/>
    <d v="2024-12-05T00:00:00"/>
    <d v="2024-12-05T00:00:00"/>
    <x v="4"/>
    <x v="0"/>
    <s v="03-06-2024"/>
    <d v="2024-03-06T00:00:00"/>
    <n v="-274"/>
    <s v="INVALID_SHIPPING"/>
    <s v="CUST-8520"/>
    <s v="Rahul Verma"/>
    <s v="Rahul Verma"/>
    <s v="Corporate"/>
    <x v="2"/>
    <s v="West"/>
    <x v="3"/>
    <s v="OK"/>
    <s v="Goa"/>
    <s v="Goa"/>
    <s v="Panaji"/>
    <s v="Panaji"/>
    <s v="Office Supplies"/>
    <x v="0"/>
    <s v="Labels"/>
    <x v="5"/>
    <s v="Smart Labels 261"/>
    <s v="Second Class"/>
    <x v="0"/>
    <s v="OK"/>
    <n v="3"/>
    <n v="2644.55"/>
    <n v="0"/>
    <n v="0"/>
    <s v="OK"/>
    <n v="7933.65"/>
    <n v="5698.42"/>
    <n v="2235.23"/>
    <n v="7933.6500000000005"/>
    <n v="2235.2300000000005"/>
    <x v="217"/>
    <s v="Paid"/>
    <x v="0"/>
    <s v="OK"/>
    <s v="Completed"/>
    <x v="0"/>
    <s v="OK"/>
    <s v="INVALID"/>
    <s v="MATCH"/>
    <s v="MATCH"/>
  </r>
  <r>
    <x v="222"/>
    <n v="1"/>
    <d v="2024-12-04T00:00:00"/>
    <d v="2024-12-04T00:00:00"/>
    <x v="4"/>
    <x v="0"/>
    <s v="05/02/2024"/>
    <d v="2024-05-02T00:00:00"/>
    <n v="-216"/>
    <s v="INVALID_SHIPPING"/>
    <s v="CUST-9495"/>
    <s v="Diya Patel"/>
    <s v="Diya Patel"/>
    <s v="Consumer"/>
    <x v="0"/>
    <s v="West"/>
    <x v="3"/>
    <s v="OK"/>
    <s v="Goa"/>
    <s v="Goa"/>
    <s v="Panaji"/>
    <s v="Panaji"/>
    <s v="Furniture"/>
    <x v="1"/>
    <s v="Tables"/>
    <x v="1"/>
    <s v="Smart Tables 100"/>
    <s v="First Class"/>
    <x v="2"/>
    <s v="OK"/>
    <n v="9"/>
    <n v="1302.6099999999999"/>
    <n v="0.2"/>
    <n v="0.2"/>
    <s v="OK"/>
    <n v="9378.7900000000009"/>
    <n v="6774.48"/>
    <n v="2604.31"/>
    <n v="9378.7919999999995"/>
    <n v="2604.3119999999999"/>
    <x v="218"/>
    <s v="Paid"/>
    <x v="0"/>
    <s v="OK"/>
    <s v="Completed"/>
    <x v="0"/>
    <s v="OK"/>
    <s v="INVALID"/>
    <s v="MATCH"/>
    <s v="MATCH"/>
  </r>
  <r>
    <x v="223"/>
    <n v="1"/>
    <d v="2024-01-22T00:00:00"/>
    <d v="2024-01-22T00:00:00"/>
    <x v="9"/>
    <x v="0"/>
    <s v="2025-06-10"/>
    <d v="2025-06-10T00:00:00"/>
    <n v="505"/>
    <s v="OK"/>
    <s v="CUST-4329"/>
    <s v="Isha Nair"/>
    <s v="Isha Nair"/>
    <s v="Corporate"/>
    <x v="2"/>
    <s v="South"/>
    <x v="2"/>
    <s v="OK"/>
    <s v="Karnataka"/>
    <s v="Karnataka"/>
    <s v="Bengaluru"/>
    <s v="Bengaluru"/>
    <s v="Furniture"/>
    <x v="1"/>
    <s v="Chairs"/>
    <x v="10"/>
    <s v="Basic Chairs 790"/>
    <s v="Same Day"/>
    <x v="1"/>
    <s v="OK"/>
    <n v="1"/>
    <n v="2111.39"/>
    <n v="0.25"/>
    <n v="0.25"/>
    <s v="OK"/>
    <n v="1583.54"/>
    <n v="1014.19"/>
    <n v="569.35"/>
    <n v="1583.5425"/>
    <n v="569.35249999999996"/>
    <x v="219"/>
    <s v="Paid"/>
    <x v="0"/>
    <s v="OK"/>
    <s v="Completed"/>
    <x v="0"/>
    <s v="OK"/>
    <s v="CLEAN"/>
    <s v="MATCH"/>
    <s v="MATCH"/>
  </r>
  <r>
    <x v="224"/>
    <n v="1"/>
    <d v="2024-08-29T00:00:00"/>
    <d v="2024-08-29T00:00:00"/>
    <x v="1"/>
    <x v="0"/>
    <s v="10/14/2024"/>
    <d v="2024-10-14T00:00:00"/>
    <n v="46"/>
    <s v="OK"/>
    <s v="CUST-4194"/>
    <s v="Arjun Bose"/>
    <s v="Arjun Bose"/>
    <s v="Home Office"/>
    <x v="3"/>
    <s v="East"/>
    <x v="1"/>
    <s v="OK"/>
    <s v="Assam"/>
    <s v="Assam"/>
    <s v="Guwahati"/>
    <s v="Guwahati"/>
    <s v="Office Supplies"/>
    <x v="0"/>
    <s v="Storage"/>
    <x v="7"/>
    <s v="Max Storage 692"/>
    <s v="First Class"/>
    <x v="2"/>
    <s v="OK"/>
    <n v="4"/>
    <n v="2484.08"/>
    <n v="0.05"/>
    <n v="0.05"/>
    <s v="OK"/>
    <n v="9439.5"/>
    <n v="5519.39"/>
    <n v="3920.11"/>
    <n v="9439.503999999999"/>
    <n v="3920.1139999999987"/>
    <x v="220"/>
    <s v="Paid"/>
    <x v="0"/>
    <s v="OK"/>
    <s v="Completed"/>
    <x v="0"/>
    <s v="OK"/>
    <s v="CLEAN"/>
    <s v="MATCH"/>
    <s v="MATCH"/>
  </r>
  <r>
    <x v="225"/>
    <n v="1"/>
    <d v="2024-01-25T00:00:00"/>
    <d v="2024-01-25T00:00:00"/>
    <x v="9"/>
    <x v="0"/>
    <s v="03 Sep 2024"/>
    <d v="2024-09-03T00:00:00"/>
    <n v="222"/>
    <s v="OK"/>
    <s v="CUST-7087"/>
    <s v="Aarav Sharma"/>
    <s v="Aarav Sharma"/>
    <s v="Corporate"/>
    <x v="2"/>
    <s v="South"/>
    <x v="2"/>
    <s v="OK"/>
    <s v="Karnataka"/>
    <s v="Karnataka"/>
    <s v="Bengaluru"/>
    <s v="Bengaluru"/>
    <s v="Office Supplies"/>
    <x v="0"/>
    <s v="Storage"/>
    <x v="7"/>
    <s v="Basic Storage 684"/>
    <s v="Same Day"/>
    <x v="1"/>
    <s v="OK"/>
    <n v="7"/>
    <n v="1727.26"/>
    <n v="0.15"/>
    <n v="0.15"/>
    <s v="OK"/>
    <n v="10277.200000000001"/>
    <n v="7906.5"/>
    <n v="2370.6999999999998"/>
    <n v="10277.197"/>
    <n v="2370.6970000000001"/>
    <x v="221"/>
    <s v="Paid"/>
    <x v="0"/>
    <s v="OK"/>
    <s v="Returned"/>
    <x v="1"/>
    <s v="RETURNED_ORDER"/>
    <s v="CLEAN"/>
    <s v="MATCH"/>
    <s v="MATCH"/>
  </r>
  <r>
    <x v="226"/>
    <n v="1"/>
    <d v="2024-09-11T00:00:00"/>
    <d v="2024-09-11T00:00:00"/>
    <x v="5"/>
    <x v="0"/>
    <s v="11/03/2024"/>
    <d v="2024-11-03T00:00:00"/>
    <n v="53"/>
    <s v="OK"/>
    <s v="CUST-7925"/>
    <s v="Sneha Kapoor"/>
    <s v="Sneha Kapoor"/>
    <s v="Corporate"/>
    <x v="2"/>
    <s v="East"/>
    <x v="1"/>
    <s v="OK"/>
    <s v="Odisha"/>
    <s v="Odisha"/>
    <s v="Bhubaneswar"/>
    <s v="Bhubaneswar"/>
    <s v="Technology"/>
    <x v="2"/>
    <s v="Copiers"/>
    <x v="6"/>
    <s v="Elite Copiers 971"/>
    <s v="Standard Class"/>
    <x v="3"/>
    <s v="OK"/>
    <n v="6"/>
    <n v="3660.4"/>
    <n v="0"/>
    <n v="0"/>
    <s v="OK"/>
    <n v="21962.400000000001"/>
    <n v="15331.99"/>
    <n v="6630.41"/>
    <n v="21962.400000000001"/>
    <n v="6630.4100000000017"/>
    <x v="222"/>
    <s v="Failed"/>
    <x v="3"/>
    <s v="EXCLUDE_FROM_SALES"/>
    <s v="Cancelled"/>
    <x v="2"/>
    <s v="EXCLUDE_FROM_SALES"/>
    <s v="CLEAN"/>
    <s v="MATCH"/>
    <s v="MATCH"/>
  </r>
  <r>
    <x v="227"/>
    <n v="2"/>
    <d v="2024-02-20T00:00:00"/>
    <d v="2024-02-20T00:00:00"/>
    <x v="11"/>
    <x v="0"/>
    <s v="21 Oct 2024"/>
    <d v="2024-10-21T00:00:00"/>
    <n v="244"/>
    <s v="OK"/>
    <s v="CUST-6169"/>
    <s v="Diya Patel"/>
    <s v="Diya Patel"/>
    <s v="Consumer"/>
    <x v="0"/>
    <s v="South"/>
    <x v="2"/>
    <s v="OK"/>
    <s v="Kerala"/>
    <s v="Kerala"/>
    <s v="Kochi"/>
    <s v="Kochi"/>
    <s v="Technology"/>
    <x v="2"/>
    <s v="Accessories"/>
    <x v="4"/>
    <s v="Prime Accessories 236"/>
    <s v="First Class"/>
    <x v="2"/>
    <s v="OK"/>
    <n v="9"/>
    <n v="3779.31"/>
    <n v="0.2"/>
    <n v="0.2"/>
    <s v="OK"/>
    <n v="27211.03"/>
    <n v="17940.43"/>
    <n v="9270.6"/>
    <n v="27211.032000000003"/>
    <n v="9270.6020000000026"/>
    <x v="223"/>
    <s v="Paid"/>
    <x v="0"/>
    <s v="OK"/>
    <s v="Completed"/>
    <x v="0"/>
    <s v="OK"/>
    <s v="CLEAN"/>
    <s v="MATCH"/>
    <s v="MATCH"/>
  </r>
  <r>
    <x v="227"/>
    <n v="2"/>
    <d v="2024-02-20T00:00:00"/>
    <d v="2024-02-20T00:00:00"/>
    <x v="11"/>
    <x v="0"/>
    <s v="2024-08-27"/>
    <d v="2024-08-27T00:00:00"/>
    <n v="189"/>
    <s v="OK"/>
    <s v="CUST-6169"/>
    <s v="Diya Patel"/>
    <s v="Diya Patel"/>
    <s v="Consumer"/>
    <x v="0"/>
    <s v="South"/>
    <x v="2"/>
    <s v="OK"/>
    <s v="Kerala"/>
    <s v="Kerala"/>
    <s v="Kochi"/>
    <s v="Kochi"/>
    <s v="Technology"/>
    <x v="2"/>
    <s v="Accessories"/>
    <x v="4"/>
    <s v="Prime Accessories 236"/>
    <s v="First Class"/>
    <x v="2"/>
    <s v="OK"/>
    <n v="9"/>
    <n v="3779.31"/>
    <n v="0.2"/>
    <n v="0.2"/>
    <s v="OK"/>
    <n v="27322.9"/>
    <n v="17940.43"/>
    <n v="9270.6"/>
    <n v="27211.032000000003"/>
    <n v="9270.6020000000026"/>
    <x v="223"/>
    <s v="Paid"/>
    <x v="0"/>
    <s v="OK"/>
    <s v="Returned"/>
    <x v="1"/>
    <s v="RETURNED_ORDER"/>
    <s v="CLEAN"/>
    <s v="MISMATCH"/>
    <s v="MATCH"/>
  </r>
  <r>
    <x v="228"/>
    <n v="1"/>
    <d v="2024-06-26T00:00:00"/>
    <d v="2024-06-26T00:00:00"/>
    <x v="8"/>
    <x v="0"/>
    <s v="01/17/2024"/>
    <d v="2024-01-17T00:00:00"/>
    <n v="-161"/>
    <s v="INVALID_SHIPPING"/>
    <s v="CUST-8904"/>
    <s v="Neha Gupta"/>
    <s v="Neha Gupta"/>
    <s v="Corporate"/>
    <x v="2"/>
    <s v="North"/>
    <x v="0"/>
    <s v="OK"/>
    <s v="Punjab"/>
    <s v="Punjab"/>
    <s v="Ludhiana"/>
    <s v="Ludhiana"/>
    <s v="Technology"/>
    <x v="2"/>
    <s v="Phones"/>
    <x v="8"/>
    <s v="Prime Phones 881"/>
    <s v="Standard Class"/>
    <x v="3"/>
    <s v="OK"/>
    <n v="8"/>
    <n v="804.52"/>
    <n v="0"/>
    <n v="0"/>
    <s v="OK"/>
    <n v="6436.16"/>
    <n v="4263.83"/>
    <n v="2172.33"/>
    <n v="6436.16"/>
    <n v="2172.33"/>
    <x v="224"/>
    <s v="Paid"/>
    <x v="0"/>
    <s v="OK"/>
    <s v="Completed"/>
    <x v="0"/>
    <s v="OK"/>
    <s v="INVALID"/>
    <s v="MATCH"/>
    <s v="MATCH"/>
  </r>
  <r>
    <x v="229"/>
    <n v="1"/>
    <d v="2024-09-26T00:00:00"/>
    <d v="2024-09-26T00:00:00"/>
    <x v="5"/>
    <x v="0"/>
    <s v="09/21/2024"/>
    <d v="2024-09-21T00:00:00"/>
    <n v="-5"/>
    <s v="INVALID_SHIPPING"/>
    <s v="CUST-9586"/>
    <s v="Isha Nair"/>
    <s v="Isha Nair"/>
    <s v="Home Office"/>
    <x v="3"/>
    <s v="North"/>
    <x v="0"/>
    <s v="OK"/>
    <s v="Delhi"/>
    <s v="Delhi"/>
    <s v="New Delhi"/>
    <s v="New Delhi"/>
    <s v="Office Supplies"/>
    <x v="0"/>
    <s v="Labels"/>
    <x v="5"/>
    <s v="Pro Labels 903"/>
    <s v="First Class"/>
    <x v="2"/>
    <s v="OK"/>
    <n v="2"/>
    <n v="1065.69"/>
    <n v="0.1"/>
    <n v="0.1"/>
    <s v="OK"/>
    <n v="1918.24"/>
    <n v="1373.52"/>
    <n v="544.72"/>
    <n v="1918.2420000000002"/>
    <n v="544.72200000000021"/>
    <x v="225"/>
    <s v="Refunded"/>
    <x v="2"/>
    <s v="REFUNDED_PAYMENT"/>
    <s v="Cancelled"/>
    <x v="2"/>
    <s v="EXCLUDE_FROM_SALES"/>
    <s v="INVALID"/>
    <s v="MATCH"/>
    <s v="MATCH"/>
  </r>
  <r>
    <x v="230"/>
    <n v="1"/>
    <d v="2024-06-30T00:00:00"/>
    <d v="2024-06-30T00:00:00"/>
    <x v="8"/>
    <x v="0"/>
    <s v="23-12-2024"/>
    <d v="2024-12-23T00:00:00"/>
    <n v="176"/>
    <s v="OK"/>
    <s v="CUST-5431"/>
    <s v="Aditi Sen"/>
    <s v="Aditi Sen"/>
    <s v="Consumer"/>
    <x v="0"/>
    <s v="North"/>
    <x v="0"/>
    <s v="OK"/>
    <s v="Haryana"/>
    <s v="Haryana"/>
    <s v="Gurugram"/>
    <s v="Gurugram"/>
    <s v="Technology"/>
    <x v="2"/>
    <s v="Copiers"/>
    <x v="6"/>
    <s v="Max Copiers 402"/>
    <s v="Same Day"/>
    <x v="1"/>
    <s v="OK"/>
    <n v="8"/>
    <n v="3756.66"/>
    <n v="0.1"/>
    <n v="0.1"/>
    <s v="OK"/>
    <n v="27047.95"/>
    <n v="18431.330000000002"/>
    <n v="8616.6200000000008"/>
    <n v="27047.952000000001"/>
    <n v="8616.6219999999994"/>
    <x v="226"/>
    <s v="Paid"/>
    <x v="0"/>
    <s v="OK"/>
    <s v="Completed"/>
    <x v="0"/>
    <s v="OK"/>
    <s v="CLEAN"/>
    <s v="MATCH"/>
    <s v="MATCH"/>
  </r>
  <r>
    <x v="231"/>
    <n v="1"/>
    <d v="2024-08-30T00:00:00"/>
    <d v="2024-08-30T00:00:00"/>
    <x v="1"/>
    <x v="0"/>
    <s v="06-07-2025"/>
    <d v="2025-06-07T00:00:00"/>
    <n v="281"/>
    <s v="OK"/>
    <s v="CUST-2732"/>
    <s v="Neha Gupta"/>
    <s v="Neha Gupta"/>
    <s v="Small Business"/>
    <x v="1"/>
    <s v="North"/>
    <x v="0"/>
    <s v="OK"/>
    <s v="Haryana"/>
    <s v="Haryana"/>
    <s v="Gurugram"/>
    <s v="Gurugram"/>
    <s v="Office Supplies"/>
    <x v="0"/>
    <s v="Paper"/>
    <x v="0"/>
    <s v="Max Paper 576"/>
    <s v="Second Class"/>
    <x v="0"/>
    <s v="OK"/>
    <n v="1"/>
    <n v="4320.84"/>
    <n v="0.15"/>
    <n v="0.15"/>
    <s v="OK"/>
    <n v="3672.71"/>
    <n v="2714.23"/>
    <n v="763.38"/>
    <n v="3672.7139999999999"/>
    <n v="958.48399999999992"/>
    <x v="227"/>
    <s v="Paid"/>
    <x v="0"/>
    <s v="OK"/>
    <s v="Completed"/>
    <x v="0"/>
    <s v="OK"/>
    <s v="CLEAN"/>
    <s v="MATCH"/>
    <s v="MISMATCH"/>
  </r>
  <r>
    <x v="232"/>
    <n v="1"/>
    <d v="2024-10-02T00:00:00"/>
    <d v="2024-10-02T00:00:00"/>
    <x v="7"/>
    <x v="0"/>
    <s v="2025-02-07"/>
    <d v="2025-02-07T00:00:00"/>
    <n v="128"/>
    <s v="OK"/>
    <s v="CUST-3989"/>
    <s v="Karan Malhotra"/>
    <s v="Karan Malhotra"/>
    <s v="Home Office"/>
    <x v="3"/>
    <s v="West"/>
    <x v="3"/>
    <s v="OK"/>
    <s v="Goa"/>
    <s v="Goa"/>
    <s v="Panaji"/>
    <s v="Panaji"/>
    <s v="Technology"/>
    <x v="2"/>
    <s v="Machines"/>
    <x v="12"/>
    <s v="Max Machines 412"/>
    <s v="Same Day"/>
    <x v="1"/>
    <s v="OK"/>
    <n v="2"/>
    <n v="4118.45"/>
    <n v="0.25"/>
    <n v="0.25"/>
    <s v="OK"/>
    <n v="6177.67"/>
    <n v="4520.75"/>
    <n v="1656.92"/>
    <n v="6177.6749999999993"/>
    <n v="1656.9249999999993"/>
    <x v="228"/>
    <s v="Paid"/>
    <x v="0"/>
    <s v="OK"/>
    <s v="Completed"/>
    <x v="0"/>
    <s v="OK"/>
    <s v="CLEAN"/>
    <s v="MISMATCH"/>
    <s v="MISMATCH"/>
  </r>
  <r>
    <x v="233"/>
    <n v="1"/>
    <d v="2024-08-29T00:00:00"/>
    <d v="2024-08-29T00:00:00"/>
    <x v="1"/>
    <x v="0"/>
    <s v="02 Aug 2025"/>
    <d v="2025-08-02T00:00:00"/>
    <n v="338"/>
    <s v="OK"/>
    <s v="CUST-3522"/>
    <s v="Priya Menon"/>
    <s v="Priya Menon"/>
    <s v="Small Business"/>
    <x v="1"/>
    <s v="West"/>
    <x v="3"/>
    <s v="OK"/>
    <s v="Maharashtra"/>
    <s v="Maharashtra"/>
    <s v="Mumbai"/>
    <s v="Mumbai"/>
    <s v="Furniture"/>
    <x v="1"/>
    <s v="Bookcases"/>
    <x v="9"/>
    <s v="Classic Bookcases 291"/>
    <s v="Standard Class"/>
    <x v="3"/>
    <s v="OK"/>
    <n v="6"/>
    <n v="172.82"/>
    <n v="0.05"/>
    <n v="0.05"/>
    <s v="OK"/>
    <n v="985.07"/>
    <n v="844.48"/>
    <n v="140.59"/>
    <n v="985.07400000000007"/>
    <n v="140.59400000000005"/>
    <x v="229"/>
    <s v="Paid"/>
    <x v="0"/>
    <s v="OK"/>
    <s v="Completed"/>
    <x v="0"/>
    <s v="OK"/>
    <s v="CLEAN"/>
    <s v="MATCH"/>
    <s v="MATCH"/>
  </r>
  <r>
    <x v="234"/>
    <n v="1"/>
    <d v="2024-04-19T00:00:00"/>
    <d v="2024-04-19T00:00:00"/>
    <x v="6"/>
    <x v="0"/>
    <s v="2024-08-24"/>
    <d v="2024-08-24T00:00:00"/>
    <n v="127"/>
    <s v="OK"/>
    <s v="CUST-7066"/>
    <s v="Priya Menon"/>
    <s v="Priya Menon"/>
    <s v="Corporate"/>
    <x v="2"/>
    <s v="South"/>
    <x v="2"/>
    <s v="OK"/>
    <s v="Kerala"/>
    <s v="Kerala"/>
    <s v="Kochi"/>
    <s v="Kochi"/>
    <s v="Office Supplies"/>
    <x v="0"/>
    <s v="Art"/>
    <x v="2"/>
    <s v="Elite Art 946"/>
    <s v="Second Class"/>
    <x v="0"/>
    <s v="OK"/>
    <n v="4"/>
    <n v="1540.22"/>
    <n v="0"/>
    <n v="0"/>
    <s v="OK"/>
    <n v="6160.88"/>
    <n v="4938.7"/>
    <n v="1222.18"/>
    <n v="6160.88"/>
    <n v="1222.1800000000003"/>
    <x v="230"/>
    <s v="Refunded"/>
    <x v="2"/>
    <s v="REFUNDED_PAYMENT"/>
    <s v="Returned"/>
    <x v="1"/>
    <s v="RETURNED_ORDER"/>
    <s v="CLEAN"/>
    <s v="MATCH"/>
    <s v="MATCH"/>
  </r>
  <r>
    <x v="235"/>
    <n v="1"/>
    <d v="2024-06-16T00:00:00"/>
    <d v="2024-06-16T00:00:00"/>
    <x v="8"/>
    <x v="0"/>
    <s v="24-10-2024"/>
    <d v="2024-10-24T00:00:00"/>
    <n v="130"/>
    <s v="OK"/>
    <s v="CUST-4492"/>
    <s v="Neha Gupta"/>
    <s v="Neha Gupta"/>
    <s v="Consumer"/>
    <x v="0"/>
    <s v="South"/>
    <x v="2"/>
    <s v="OK"/>
    <s v="Kerala"/>
    <s v="Kerala"/>
    <s v="Kochi"/>
    <s v="Kochi"/>
    <s v="Furniture"/>
    <x v="1"/>
    <s v="Furnishings"/>
    <x v="3"/>
    <s v="Max Furnishings 803"/>
    <s v="Same Day"/>
    <x v="1"/>
    <s v="OK"/>
    <n v="6"/>
    <n v="1156.78"/>
    <n v="0.05"/>
    <n v="0.05"/>
    <s v="OK"/>
    <n v="6593.65"/>
    <n v="4359.3900000000003"/>
    <n v="2234.2600000000002"/>
    <n v="6593.6459999999997"/>
    <n v="2234.2559999999994"/>
    <x v="231"/>
    <s v="Paid"/>
    <x v="0"/>
    <s v="OK"/>
    <s v="Returned"/>
    <x v="1"/>
    <s v="RETURNED_ORDER"/>
    <s v="CLEAN"/>
    <s v="MATCH"/>
    <s v="MATCH"/>
  </r>
  <r>
    <x v="236"/>
    <n v="1"/>
    <d v="2024-02-15T00:00:00"/>
    <d v="2024-02-15T00:00:00"/>
    <x v="11"/>
    <x v="0"/>
    <s v="09 May 2024"/>
    <d v="2024-05-09T00:00:00"/>
    <n v="84"/>
    <s v="OK"/>
    <s v="CUST-5029"/>
    <s v="Aditi Sen"/>
    <s v="Aditi Sen"/>
    <s v="Small Business"/>
    <x v="1"/>
    <s v="South"/>
    <x v="2"/>
    <s v="OK"/>
    <s v="Kerala"/>
    <s v="Kerala"/>
    <s v="Kochi"/>
    <s v="Kochi"/>
    <s v="Technology"/>
    <x v="2"/>
    <s v="Accessories"/>
    <x v="4"/>
    <s v="Max Accessories 423"/>
    <s v="Same Day"/>
    <x v="1"/>
    <s v="OK"/>
    <n v="8"/>
    <n v="379.82"/>
    <n v="0.05"/>
    <n v="0.05"/>
    <s v="OK"/>
    <n v="2886.63"/>
    <n v="1588.23"/>
    <n v="1298.4000000000001"/>
    <n v="2886.6319999999996"/>
    <n v="1298.4019999999996"/>
    <x v="232"/>
    <s v="Failed"/>
    <x v="3"/>
    <s v="EXCLUDE_FROM_SALES"/>
    <s v="Returned"/>
    <x v="1"/>
    <s v="RETURNED_ORDER"/>
    <s v="CLEAN"/>
    <s v="MATCH"/>
    <s v="MATCH"/>
  </r>
  <r>
    <x v="237"/>
    <n v="1"/>
    <d v="2024-02-04T00:00:00"/>
    <d v="2024-02-04T00:00:00"/>
    <x v="11"/>
    <x v="0"/>
    <s v="01 Aug 2024"/>
    <d v="2024-08-01T00:00:00"/>
    <n v="179"/>
    <s v="OK"/>
    <s v="CUST-9039"/>
    <s v="Vikram Iyer"/>
    <s v="Vikram Iyer"/>
    <s v="Corporate"/>
    <x v="2"/>
    <s v="East"/>
    <x v="1"/>
    <s v="OK"/>
    <s v="Odisha"/>
    <s v="Odisha"/>
    <s v="Bhubaneswar"/>
    <s v="Bhubaneswar"/>
    <s v="Technology"/>
    <x v="2"/>
    <s v="Machines"/>
    <x v="12"/>
    <s v="Basic Machines 610"/>
    <s v="Second Class"/>
    <x v="0"/>
    <s v="OK"/>
    <n v="6"/>
    <n v="3722.84"/>
    <n v="0.2"/>
    <n v="0.2"/>
    <s v="OK"/>
    <n v="17869.63"/>
    <n v="12163.8"/>
    <n v="5705.83"/>
    <n v="17869.632000000001"/>
    <n v="5705.8320000000022"/>
    <x v="233"/>
    <s v="Paid"/>
    <x v="0"/>
    <s v="OK"/>
    <s v="Completed"/>
    <x v="0"/>
    <s v="OK"/>
    <s v="CLEAN"/>
    <s v="MATCH"/>
    <s v="MATCH"/>
  </r>
  <r>
    <x v="238"/>
    <n v="1"/>
    <d v="2024-10-03T00:00:00"/>
    <d v="2024-10-03T00:00:00"/>
    <x v="7"/>
    <x v="0"/>
    <s v="07-06-2024"/>
    <d v="2024-07-06T00:00:00"/>
    <n v="-89"/>
    <s v="INVALID_SHIPPING"/>
    <s v="CUST-3975"/>
    <s v="Karan Malhotra"/>
    <s v="Karan Malhotra"/>
    <s v="Consumer"/>
    <x v="0"/>
    <s v="East"/>
    <x v="1"/>
    <s v="OK"/>
    <s v="Bihar"/>
    <s v="Bihar"/>
    <s v="Patna"/>
    <s v="Patna"/>
    <s v="Furniture"/>
    <x v="1"/>
    <s v="Bookcases"/>
    <x v="9"/>
    <s v="Elite Bookcases 393"/>
    <s v="Standard Class"/>
    <x v="3"/>
    <s v="OK"/>
    <n v="6"/>
    <n v="4217.49"/>
    <n v="0"/>
    <n v="0"/>
    <s v="OK"/>
    <n v="25304.94"/>
    <n v="20771.95"/>
    <n v="4532.99"/>
    <n v="25304.94"/>
    <n v="4532.989999999998"/>
    <x v="234"/>
    <s v="Paid"/>
    <x v="0"/>
    <s v="OK"/>
    <s v="Cancelled"/>
    <x v="2"/>
    <s v="EXCLUDE_FROM_SALES"/>
    <s v="INVALID"/>
    <s v="MATCH"/>
    <s v="MATCH"/>
  </r>
  <r>
    <x v="239"/>
    <n v="1"/>
    <d v="2024-04-04T00:00:00"/>
    <d v="2024-04-04T00:00:00"/>
    <x v="6"/>
    <x v="0"/>
    <s v="08/02/2025"/>
    <d v="2025-08-02T00:00:00"/>
    <n v="485"/>
    <s v="OK"/>
    <s v="CUST-2207"/>
    <s v="Rohan Mehta"/>
    <s v="Rohan Mehta"/>
    <s v="Home Office"/>
    <x v="3"/>
    <s v="East"/>
    <x v="1"/>
    <s v="OK"/>
    <s v="Odisha"/>
    <s v="Odisha"/>
    <s v="Bhubaneswar"/>
    <s v="Bhubaneswar"/>
    <s v="Furniture"/>
    <x v="1"/>
    <s v="Furnishings"/>
    <x v="3"/>
    <s v="Basic Furnishings 563"/>
    <s v="First Class"/>
    <x v="2"/>
    <s v="OK"/>
    <n v="1"/>
    <n v="3683.75"/>
    <n v="0.1"/>
    <n v="0.1"/>
    <s v="OK"/>
    <n v="3315.38"/>
    <n v="2347.6799999999998"/>
    <n v="967.7"/>
    <n v="3315.375"/>
    <n v="967.69500000000016"/>
    <x v="235"/>
    <s v="Paid"/>
    <x v="0"/>
    <s v="OK"/>
    <s v="Completed"/>
    <x v="0"/>
    <s v="OK"/>
    <s v="CLEAN"/>
    <s v="MATCH"/>
    <s v="MATCH"/>
  </r>
  <r>
    <x v="240"/>
    <n v="1"/>
    <d v="2024-09-05T00:00:00"/>
    <d v="2024-09-05T00:00:00"/>
    <x v="5"/>
    <x v="0"/>
    <s v="02/27/2024"/>
    <d v="2024-02-27T00:00:00"/>
    <n v="-191"/>
    <s v="INVALID_SHIPPING"/>
    <s v="CUST-1351"/>
    <s v="Arjun Bose"/>
    <s v="Arjun Bose"/>
    <s v="Consumer"/>
    <x v="0"/>
    <s v="East"/>
    <x v="1"/>
    <s v="OK"/>
    <s v="Assam"/>
    <s v="Assam"/>
    <s v="Guwahati"/>
    <s v="Guwahati"/>
    <s v="Furniture"/>
    <x v="1"/>
    <s v="Bookcases"/>
    <x v="9"/>
    <s v="Eco Bookcases 215"/>
    <s v="Same Day"/>
    <x v="1"/>
    <s v="OK"/>
    <n v="2"/>
    <n v="2111.23"/>
    <n v="0.2"/>
    <n v="0.2"/>
    <s v="OK"/>
    <n v="3377.97"/>
    <n v="2496.29"/>
    <n v="881.68"/>
    <n v="3377.9680000000003"/>
    <n v="881.67800000000034"/>
    <x v="236"/>
    <s v="Paid"/>
    <x v="0"/>
    <s v="OK"/>
    <s v="Completed"/>
    <x v="0"/>
    <s v="OK"/>
    <s v="INVALID"/>
    <s v="MATCH"/>
    <s v="MATCH"/>
  </r>
  <r>
    <x v="241"/>
    <n v="1"/>
    <d v="2024-01-15T00:00:00"/>
    <d v="2024-01-15T00:00:00"/>
    <x v="9"/>
    <x v="0"/>
    <s v="04/10/2025"/>
    <d v="2025-04-10T00:00:00"/>
    <n v="451"/>
    <s v="OK"/>
    <s v="CUST-1932"/>
    <s v="Mira Das"/>
    <s v="Mira Das"/>
    <s v="Small Business"/>
    <x v="1"/>
    <s v="South"/>
    <x v="2"/>
    <s v="OK"/>
    <s v="Andhra Pradesh"/>
    <s v="Andhra Pradesh"/>
    <s v="Vijayawada"/>
    <s v="Vijayawada"/>
    <s v="Furniture"/>
    <x v="1"/>
    <s v="Chairs"/>
    <x v="10"/>
    <s v="Prime Chairs 631"/>
    <s v="First Class"/>
    <x v="2"/>
    <s v="OK"/>
    <n v="2"/>
    <n v="201.21"/>
    <n v="0.15"/>
    <n v="0.15"/>
    <s v="OK"/>
    <n v="342.06"/>
    <n v="244.57"/>
    <n v="97.49"/>
    <n v="342.05700000000002"/>
    <n v="97.487000000000023"/>
    <x v="237"/>
    <s v="Paid"/>
    <x v="0"/>
    <s v="OK"/>
    <s v="Completed"/>
    <x v="0"/>
    <s v="OK"/>
    <s v="CLEAN"/>
    <s v="MATCH"/>
    <s v="MATCH"/>
  </r>
  <r>
    <x v="242"/>
    <n v="1"/>
    <d v="2024-06-06T00:00:00"/>
    <d v="2024-06-06T00:00:00"/>
    <x v="8"/>
    <x v="0"/>
    <s v="2025-06-28"/>
    <d v="2025-06-28T00:00:00"/>
    <n v="387"/>
    <s v="OK"/>
    <s v="CUST-5094"/>
    <s v="Aditi Sen"/>
    <s v="Aditi Sen"/>
    <s v="Corporate"/>
    <x v="2"/>
    <s v="East"/>
    <x v="1"/>
    <s v="OK"/>
    <s v="Assam"/>
    <s v="Assam"/>
    <s v="Guwahati"/>
    <s v="Guwahati"/>
    <s v="Technology"/>
    <x v="2"/>
    <s v="Machines"/>
    <x v="12"/>
    <s v="Basic Machines 808"/>
    <s v="Second Class"/>
    <x v="0"/>
    <s v="OK"/>
    <n v="6"/>
    <n v="3270.36"/>
    <n v="0"/>
    <n v="0"/>
    <s v="OK"/>
    <n v="19622.16"/>
    <n v="14271.27"/>
    <n v="5350.89"/>
    <n v="19622.16"/>
    <n v="5350.8899999999994"/>
    <x v="238"/>
    <s v="Paid"/>
    <x v="0"/>
    <s v="OK"/>
    <s v="Completed"/>
    <x v="0"/>
    <s v="OK"/>
    <s v="CLEAN"/>
    <s v="MATCH"/>
    <s v="MATCH"/>
  </r>
  <r>
    <x v="243"/>
    <n v="1"/>
    <d v="2024-03-24T00:00:00"/>
    <d v="2024-03-24T00:00:00"/>
    <x v="10"/>
    <x v="0"/>
    <s v="09/13/2024"/>
    <d v="2024-09-13T00:00:00"/>
    <n v="173"/>
    <s v="OK"/>
    <s v="CUST-3907"/>
    <s v="Rohan Mehta"/>
    <s v="Rohan Mehta"/>
    <s v="Small Business"/>
    <x v="1"/>
    <s v="North"/>
    <x v="0"/>
    <s v="OK"/>
    <s v="Haryana"/>
    <s v="Haryana"/>
    <s v="Gurugram"/>
    <s v="Gurugram"/>
    <s v="Office Supplies"/>
    <x v="0"/>
    <s v="Paper"/>
    <x v="0"/>
    <s v="Classic Paper 272"/>
    <s v="Second Class"/>
    <x v="0"/>
    <s v="OK"/>
    <n v="8"/>
    <n v="1917.64"/>
    <n v="0.15"/>
    <n v="0.15"/>
    <s v="OK"/>
    <n v="13039.95"/>
    <n v="11127.82"/>
    <n v="1912.13"/>
    <n v="13039.952000000001"/>
    <n v="1912.1320000000014"/>
    <x v="239"/>
    <s v="Paid"/>
    <x v="0"/>
    <s v="OK"/>
    <s v="Cancelled"/>
    <x v="2"/>
    <s v="EXCLUDE_FROM_SALES"/>
    <s v="CLEAN"/>
    <s v="MATCH"/>
    <s v="MATCH"/>
  </r>
  <r>
    <x v="244"/>
    <n v="1"/>
    <d v="2024-05-10T00:00:00"/>
    <d v="2024-05-10T00:00:00"/>
    <x v="3"/>
    <x v="0"/>
    <s v="03-01-2025"/>
    <d v="2025-03-01T00:00:00"/>
    <n v="295"/>
    <s v="OK"/>
    <s v="CUST-8796"/>
    <s v="Diya Patel"/>
    <s v="Diya Patel"/>
    <s v="Home Office"/>
    <x v="3"/>
    <s v="East"/>
    <x v="1"/>
    <s v="OK"/>
    <s v="Jharkhand"/>
    <s v="Jharkhand"/>
    <s v="Ranchi"/>
    <s v="Ranchi"/>
    <s v="Technology"/>
    <x v="2"/>
    <s v="Accessories"/>
    <x v="4"/>
    <s v="Smart Accessories 149"/>
    <s v="Second Class"/>
    <x v="0"/>
    <s v="OK"/>
    <n v="6"/>
    <n v="2013.33"/>
    <n v="0.2"/>
    <n v="0.2"/>
    <s v="OK"/>
    <n v="9663.98"/>
    <n v="5628.93"/>
    <n v="4035.05"/>
    <n v="9663.9840000000004"/>
    <n v="4035.0540000000001"/>
    <x v="240"/>
    <s v="Paid"/>
    <x v="0"/>
    <s v="OK"/>
    <s v="Completed"/>
    <x v="0"/>
    <s v="OK"/>
    <s v="CLEAN"/>
    <s v="MATCH"/>
    <s v="MATCH"/>
  </r>
  <r>
    <x v="245"/>
    <n v="1"/>
    <d v="2024-07-18T00:00:00"/>
    <d v="2024-07-18T00:00:00"/>
    <x v="0"/>
    <x v="0"/>
    <s v="02/10/2025"/>
    <d v="2025-02-10T00:00:00"/>
    <n v="207"/>
    <s v="OK"/>
    <s v="CUST-1800"/>
    <s v="Neha Gupta"/>
    <s v="Neha Gupta"/>
    <s v="Small Business"/>
    <x v="1"/>
    <s v="South"/>
    <x v="2"/>
    <s v="OK"/>
    <s v="Telangana"/>
    <s v="Telangana"/>
    <s v="Hyderabad"/>
    <s v="Hyderabad"/>
    <s v="Office Supplies"/>
    <x v="0"/>
    <s v="Art"/>
    <x v="2"/>
    <s v="Basic Art 556"/>
    <s v="Standard Class"/>
    <x v="3"/>
    <s v="OK"/>
    <n v="4"/>
    <n v="808.77"/>
    <n v="0"/>
    <n v="0"/>
    <s v="OK"/>
    <n v="3235.08"/>
    <n v="1848.6"/>
    <n v="1386.48"/>
    <n v="3235.08"/>
    <n v="1386.48"/>
    <x v="241"/>
    <s v="Paid"/>
    <x v="0"/>
    <s v="OK"/>
    <s v="Completed"/>
    <x v="0"/>
    <s v="OK"/>
    <s v="CLEAN"/>
    <s v="MATCH"/>
    <s v="MATCH"/>
  </r>
  <r>
    <x v="246"/>
    <n v="1"/>
    <d v="2024-02-20T00:00:00"/>
    <d v="2024-02-20T00:00:00"/>
    <x v="11"/>
    <x v="0"/>
    <s v="03 Nov 2024"/>
    <d v="2024-11-03T00:00:00"/>
    <n v="257"/>
    <s v="OK"/>
    <s v="CUST-7688"/>
    <s v="Neha Gupta"/>
    <s v="Neha Gupta"/>
    <s v="Corporate"/>
    <x v="2"/>
    <s v="North"/>
    <x v="0"/>
    <s v="OK"/>
    <s v="Uttar Pradesh"/>
    <s v="Uttar Pradesh"/>
    <s v="Noida"/>
    <s v="Noida"/>
    <s v="Technology"/>
    <x v="2"/>
    <s v="Accessories"/>
    <x v="4"/>
    <s v="Smart Accessories 265"/>
    <s v="Same Day"/>
    <x v="1"/>
    <s v="OK"/>
    <n v="5"/>
    <n v="2604.91"/>
    <n v="0.15"/>
    <n v="0.15"/>
    <s v="OK"/>
    <n v="11070.87"/>
    <n v="6623.61"/>
    <n v="4447.26"/>
    <n v="11070.867499999998"/>
    <n v="4447.2574999999988"/>
    <x v="242"/>
    <s v="Paid"/>
    <x v="0"/>
    <s v="OK"/>
    <s v="Returned"/>
    <x v="1"/>
    <s v="RETURNED_ORDER"/>
    <s v="CLEAN"/>
    <s v="MATCH"/>
    <s v="MATCH"/>
  </r>
  <r>
    <x v="247"/>
    <n v="1"/>
    <d v="2024-04-05T00:00:00"/>
    <d v="2024-04-05T00:00:00"/>
    <x v="6"/>
    <x v="0"/>
    <s v="2025-08-12"/>
    <d v="2025-08-12T00:00:00"/>
    <n v="494"/>
    <s v="OK"/>
    <s v="CUST-4957"/>
    <s v="Mira Das"/>
    <s v="Mira Das"/>
    <s v="Small Business"/>
    <x v="1"/>
    <s v="West"/>
    <x v="3"/>
    <s v="OK"/>
    <s v="Goa"/>
    <s v="Goa"/>
    <s v="Panaji"/>
    <s v="Panaji"/>
    <s v="Furniture"/>
    <x v="1"/>
    <s v="Tables"/>
    <x v="1"/>
    <s v="Elite Tables 418"/>
    <s v="Standard Class"/>
    <x v="3"/>
    <s v="OK"/>
    <n v="7"/>
    <n v="2851.51"/>
    <n v="0"/>
    <n v="0"/>
    <s v="OK"/>
    <n v="19960.57"/>
    <n v="16603.599999999999"/>
    <n v="3356.97"/>
    <n v="19960.57"/>
    <n v="3356.9700000000012"/>
    <x v="243"/>
    <s v="Paid"/>
    <x v="0"/>
    <s v="OK"/>
    <s v="Completed"/>
    <x v="0"/>
    <s v="OK"/>
    <s v="CLEAN"/>
    <s v="MATCH"/>
    <s v="MATCH"/>
  </r>
  <r>
    <x v="248"/>
    <n v="1"/>
    <d v="2024-10-02T00:00:00"/>
    <d v="2024-10-02T00:00:00"/>
    <x v="7"/>
    <x v="0"/>
    <s v="2025-01-04"/>
    <d v="2025-01-04T00:00:00"/>
    <n v="94"/>
    <s v="OK"/>
    <s v="CUST-1263"/>
    <s v="Karan Malhotra"/>
    <s v="Karan Malhotra"/>
    <s v="Corporate"/>
    <x v="2"/>
    <s v="North"/>
    <x v="0"/>
    <s v="OK"/>
    <s v="Rajasthan"/>
    <s v="Rajasthan"/>
    <s v="Jaipur"/>
    <s v="Jaipur"/>
    <s v="Technology"/>
    <x v="2"/>
    <s v="Phones"/>
    <x v="8"/>
    <s v="Pro Phones 907"/>
    <s v="Second Class"/>
    <x v="0"/>
    <s v="OK"/>
    <n v="3"/>
    <n v="3183.72"/>
    <n v="0.1"/>
    <n v="0.1"/>
    <s v="OK"/>
    <n v="8596.0400000000009"/>
    <n v="5378.16"/>
    <n v="3217.88"/>
    <n v="8596.0439999999999"/>
    <n v="3217.884"/>
    <x v="244"/>
    <s v="Paid"/>
    <x v="0"/>
    <s v="OK"/>
    <s v="Completed"/>
    <x v="0"/>
    <s v="OK"/>
    <s v="CLEAN"/>
    <s v="MATCH"/>
    <s v="MATCH"/>
  </r>
  <r>
    <x v="249"/>
    <n v="1"/>
    <d v="2024-03-28T00:00:00"/>
    <d v="2024-03-28T00:00:00"/>
    <x v="10"/>
    <x v="0"/>
    <s v="29 Jun 2024"/>
    <d v="2024-06-29T00:00:00"/>
    <n v="93"/>
    <s v="OK"/>
    <s v="CUST-4745"/>
    <s v="Ananya Rao"/>
    <s v="Ananya Rao"/>
    <s v="Home Office"/>
    <x v="3"/>
    <s v="West"/>
    <x v="3"/>
    <s v="OK"/>
    <s v="Goa"/>
    <s v="Goa"/>
    <s v="Panaji"/>
    <s v="Panaji"/>
    <s v="Office Supplies"/>
    <x v="0"/>
    <s v="Paper"/>
    <x v="0"/>
    <s v="Basic Paper 233"/>
    <s v="First Class"/>
    <x v="2"/>
    <s v="OK"/>
    <n v="3"/>
    <n v="1150.92"/>
    <n v="0"/>
    <n v="0"/>
    <s v="OK"/>
    <n v="3452.76"/>
    <n v="2077.96"/>
    <n v="1374.8"/>
    <n v="3452.76"/>
    <n v="1374.8000000000002"/>
    <x v="245"/>
    <s v="Paid"/>
    <x v="0"/>
    <s v="OK"/>
    <s v="Completed"/>
    <x v="0"/>
    <s v="OK"/>
    <s v="CLEAN"/>
    <s v="MATCH"/>
    <s v="MATCH"/>
  </r>
  <r>
    <x v="250"/>
    <n v="1"/>
    <d v="2024-09-23T00:00:00"/>
    <d v="2024-09-23T00:00:00"/>
    <x v="5"/>
    <x v="0"/>
    <s v="09/27/2025"/>
    <d v="2025-09-27T00:00:00"/>
    <n v="369"/>
    <s v="OK"/>
    <s v="CUST-6594"/>
    <s v="Aarav Sharma"/>
    <s v="Aarav Sharma"/>
    <s v="Home Office"/>
    <x v="3"/>
    <s v="North"/>
    <x v="0"/>
    <s v="OK"/>
    <s v="Delhi"/>
    <s v="Delhi"/>
    <s v="New Delhi"/>
    <s v="New Delhi"/>
    <s v="Office Supplies"/>
    <x v="0"/>
    <s v="Binders"/>
    <x v="11"/>
    <s v="Pro Binders 404"/>
    <s v="First Class"/>
    <x v="2"/>
    <s v="OK"/>
    <n v="2"/>
    <n v="1275.1400000000001"/>
    <n v="0.2"/>
    <n v="0.2"/>
    <s v="OK"/>
    <n v="2040.22"/>
    <n v="1395.71"/>
    <n v="644.51"/>
    <n v="2040.2240000000002"/>
    <n v="644.51400000000012"/>
    <x v="246"/>
    <s v="Paid"/>
    <x v="0"/>
    <s v="OK"/>
    <s v="Completed"/>
    <x v="0"/>
    <s v="OK"/>
    <s v="CLEAN"/>
    <s v="MATCH"/>
    <s v="MATCH"/>
  </r>
  <r>
    <x v="251"/>
    <n v="1"/>
    <d v="2024-01-29T00:00:00"/>
    <d v="2024-01-29T00:00:00"/>
    <x v="9"/>
    <x v="0"/>
    <s v="06/24/2025"/>
    <d v="2025-06-24T00:00:00"/>
    <n v="512"/>
    <s v="OK"/>
    <s v="CUST-1748"/>
    <s v="Aarav Sharma"/>
    <s v="Aarav Sharma"/>
    <s v="Small Business"/>
    <x v="1"/>
    <s v="West"/>
    <x v="3"/>
    <s v="OK"/>
    <s v="Madhya Pradesh"/>
    <s v="Madhya Pradesh"/>
    <s v="Indore"/>
    <s v="Indore"/>
    <s v="Office Supplies"/>
    <x v="0"/>
    <s v="Labels"/>
    <x v="5"/>
    <s v="Eco Labels 914"/>
    <s v="Standard Class"/>
    <x v="3"/>
    <s v="OK"/>
    <n v="2"/>
    <n v="1258.9000000000001"/>
    <n v="0"/>
    <n v="0"/>
    <s v="OK"/>
    <n v="2517.8000000000002"/>
    <n v="1478.54"/>
    <n v="1039.26"/>
    <n v="2517.8000000000002"/>
    <n v="1039.2600000000002"/>
    <x v="247"/>
    <s v="Paid"/>
    <x v="0"/>
    <s v="OK"/>
    <s v="Completed"/>
    <x v="0"/>
    <s v="OK"/>
    <s v="CLEAN"/>
    <s v="MATCH"/>
    <s v="MATCH"/>
  </r>
  <r>
    <x v="252"/>
    <n v="1"/>
    <d v="2024-01-04T00:00:00"/>
    <d v="2024-01-04T00:00:00"/>
    <x v="9"/>
    <x v="0"/>
    <s v="01 Jun 2025"/>
    <d v="2025-06-01T00:00:00"/>
    <n v="514"/>
    <s v="OK"/>
    <s v="CUST-2725"/>
    <s v="Mira Das"/>
    <s v="Mira Das"/>
    <s v="Small Business"/>
    <x v="1"/>
    <s v="East"/>
    <x v="1"/>
    <s v="OK"/>
    <s v="Bihar"/>
    <s v="Bihar"/>
    <s v="Patna"/>
    <s v="Patna"/>
    <s v="Technology"/>
    <x v="2"/>
    <s v="Accessories"/>
    <x v="4"/>
    <s v="Max Accessories 486"/>
    <s v="Same Day"/>
    <x v="1"/>
    <s v="OK"/>
    <n v="9"/>
    <n v="1591.96"/>
    <n v="0.2"/>
    <n v="0.2"/>
    <s v="OK"/>
    <n v="11462.11"/>
    <n v="7105.48"/>
    <n v="4356.63"/>
    <n v="11462.112000000001"/>
    <n v="4356.6320000000014"/>
    <x v="248"/>
    <s v="Paid"/>
    <x v="0"/>
    <s v="OK"/>
    <s v="Completed"/>
    <x v="0"/>
    <s v="OK"/>
    <s v="CLEAN"/>
    <s v="MATCH"/>
    <s v="MATCH"/>
  </r>
  <r>
    <x v="253"/>
    <n v="1"/>
    <d v="2024-08-20T00:00:00"/>
    <d v="2024-08-20T00:00:00"/>
    <x v="1"/>
    <x v="0"/>
    <s v="10-08-2025"/>
    <d v="2025-10-08T00:00:00"/>
    <n v="414"/>
    <s v="OK"/>
    <s v="CUST-9470"/>
    <s v="Aditi Sen"/>
    <s v="Aditi Sen"/>
    <s v="Corporate"/>
    <x v="2"/>
    <s v="East"/>
    <x v="1"/>
    <s v="OK"/>
    <s v="Odisha"/>
    <s v="Odisha"/>
    <s v="Bhubaneswar"/>
    <s v="Bhubaneswar"/>
    <s v="Technology"/>
    <x v="2"/>
    <s v="Copiers"/>
    <x v="6"/>
    <s v="Max Copiers 867"/>
    <s v="First Class"/>
    <x v="2"/>
    <s v="OK"/>
    <n v="5"/>
    <n v="4288.33"/>
    <n v="0.1"/>
    <n v="0.1"/>
    <s v="OK"/>
    <n v="19297.490000000002"/>
    <n v="15451.66"/>
    <n v="3845.83"/>
    <n v="19297.485000000001"/>
    <n v="3845.8250000000007"/>
    <x v="249"/>
    <s v="Refunded"/>
    <x v="2"/>
    <s v="REFUNDED_PAYMENT"/>
    <s v="Cancelled"/>
    <x v="2"/>
    <s v="EXCLUDE_FROM_SALES"/>
    <s v="CLEAN"/>
    <s v="MATCH"/>
    <s v="MATCH"/>
  </r>
  <r>
    <x v="254"/>
    <n v="1"/>
    <d v="2024-01-19T00:00:00"/>
    <d v="2024-01-19T00:00:00"/>
    <x v="9"/>
    <x v="0"/>
    <s v="05/21/2024"/>
    <d v="2024-05-21T00:00:00"/>
    <n v="123"/>
    <s v="OK"/>
    <s v="CUST-3448"/>
    <s v="Aditi Sen"/>
    <s v="Aditi Sen"/>
    <s v="Corporate"/>
    <x v="2"/>
    <s v="West"/>
    <x v="3"/>
    <s v="OK"/>
    <s v="Goa"/>
    <s v="Goa"/>
    <s v="Panaji"/>
    <s v="Panaji"/>
    <s v="Technology"/>
    <x v="2"/>
    <s v="Copiers"/>
    <x v="6"/>
    <s v="Pro Copiers 971"/>
    <s v="First Class"/>
    <x v="2"/>
    <s v="OK"/>
    <n v="3"/>
    <n v="1041.6600000000001"/>
    <n v="0.1"/>
    <n v="0.1"/>
    <s v="OK"/>
    <n v="2812.48"/>
    <n v="2282.12"/>
    <n v="530.36"/>
    <n v="2812.4820000000004"/>
    <n v="530.36200000000053"/>
    <x v="250"/>
    <s v="Paid"/>
    <x v="0"/>
    <s v="OK"/>
    <s v="Completed"/>
    <x v="0"/>
    <s v="OK"/>
    <s v="CLEAN"/>
    <s v="MATCH"/>
    <s v="MATCH"/>
  </r>
  <r>
    <x v="255"/>
    <n v="1"/>
    <d v="2024-07-28T00:00:00"/>
    <d v="2024-07-28T00:00:00"/>
    <x v="0"/>
    <x v="0"/>
    <s v="11/22/2024"/>
    <d v="2024-11-22T00:00:00"/>
    <n v="117"/>
    <s v="OK"/>
    <s v="CUST-4970"/>
    <s v="Aditi Sen"/>
    <s v="Aditi Sen"/>
    <s v="Consumer"/>
    <x v="0"/>
    <s v="North"/>
    <x v="0"/>
    <s v="OK"/>
    <s v="Rajasthan"/>
    <s v="Rajasthan"/>
    <s v="Jaipur"/>
    <s v="Jaipur"/>
    <s v="Furniture"/>
    <x v="1"/>
    <s v="Tables"/>
    <x v="1"/>
    <s v="Pro Tables 833"/>
    <s v="Same Day"/>
    <x v="1"/>
    <s v="OK"/>
    <n v="2"/>
    <n v="4424.78"/>
    <n v="0.2"/>
    <n v="0.2"/>
    <s v="OK"/>
    <n v="7079.65"/>
    <n v="4465.91"/>
    <n v="2613.7399999999998"/>
    <n v="7079.6480000000001"/>
    <n v="2613.7380000000003"/>
    <x v="251"/>
    <s v="Paid"/>
    <x v="0"/>
    <s v="OK"/>
    <s v="Completed"/>
    <x v="0"/>
    <s v="OK"/>
    <s v="CLEAN"/>
    <s v="MATCH"/>
    <s v="MATCH"/>
  </r>
  <r>
    <x v="256"/>
    <n v="1"/>
    <d v="2024-02-11T00:00:00"/>
    <d v="2024-02-11T00:00:00"/>
    <x v="11"/>
    <x v="0"/>
    <s v="2025-05-10"/>
    <d v="2025-05-10T00:00:00"/>
    <n v="454"/>
    <s v="OK"/>
    <s v="CUST-6147"/>
    <s v="Kabir Singh"/>
    <s v="Kabir Singh"/>
    <s v="Consumer"/>
    <x v="0"/>
    <s v="South"/>
    <x v="2"/>
    <s v="OK"/>
    <s v="Telangana"/>
    <s v="Telangana"/>
    <s v="Hyderabad"/>
    <s v="Hyderabad"/>
    <s v="Office Supplies"/>
    <x v="0"/>
    <s v="Binders"/>
    <x v="11"/>
    <s v="Prime Binders 497"/>
    <s v="Standard Class"/>
    <x v="3"/>
    <s v="OK"/>
    <n v="3"/>
    <n v="3019.14"/>
    <n v="0.25"/>
    <n v="0.25"/>
    <s v="OK"/>
    <n v="6793.07"/>
    <n v="4985.22"/>
    <n v="1807.85"/>
    <n v="6793.0650000000005"/>
    <n v="1807.8450000000003"/>
    <x v="252"/>
    <s v="Paid"/>
    <x v="0"/>
    <s v="OK"/>
    <s v="Completed"/>
    <x v="0"/>
    <s v="OK"/>
    <s v="CLEAN"/>
    <s v="MATCH"/>
    <s v="MATCH"/>
  </r>
  <r>
    <x v="257"/>
    <n v="1"/>
    <d v="2024-03-02T00:00:00"/>
    <d v="2024-03-02T00:00:00"/>
    <x v="10"/>
    <x v="0"/>
    <s v="04-06-2025"/>
    <d v="2025-04-06T00:00:00"/>
    <n v="400"/>
    <s v="OK"/>
    <s v="CUST-7208"/>
    <s v="Rohan Mehta"/>
    <s v="Rohan Mehta"/>
    <s v="Corporate"/>
    <x v="2"/>
    <s v="East"/>
    <x v="1"/>
    <s v="OK"/>
    <s v="Odisha"/>
    <s v="Odisha"/>
    <s v="Bhubaneswar"/>
    <s v="Bhubaneswar"/>
    <s v="Office Supplies"/>
    <x v="0"/>
    <s v="Storage"/>
    <x v="7"/>
    <s v="Pro Storage 756"/>
    <s v="Standard Class"/>
    <x v="3"/>
    <s v="OK"/>
    <n v="7"/>
    <n v="263.45999999999998"/>
    <n v="0"/>
    <n v="0"/>
    <s v="OK"/>
    <n v="1844.22"/>
    <n v="1094.21"/>
    <n v="750.01"/>
    <n v="1844.2199999999998"/>
    <n v="750.00999999999976"/>
    <x v="253"/>
    <s v="Paid"/>
    <x v="0"/>
    <s v="OK"/>
    <s v="Completed"/>
    <x v="0"/>
    <s v="OK"/>
    <s v="CLEAN"/>
    <s v="MATCH"/>
    <s v="MATCH"/>
  </r>
  <r>
    <x v="258"/>
    <n v="1"/>
    <d v="2024-11-13T00:00:00"/>
    <d v="2024-11-13T00:00:00"/>
    <x v="2"/>
    <x v="0"/>
    <s v="08/17/2025"/>
    <d v="2025-08-17T00:00:00"/>
    <n v="277"/>
    <s v="OK"/>
    <s v="CUST-2794"/>
    <s v="Priya Menon"/>
    <s v="Priya Menon"/>
    <s v="Consumer"/>
    <x v="0"/>
    <s v="West"/>
    <x v="3"/>
    <s v="OK"/>
    <s v="Goa"/>
    <s v="Goa"/>
    <s v="Panaji"/>
    <s v="Panaji"/>
    <s v="Technology"/>
    <x v="2"/>
    <s v="Copiers"/>
    <x v="6"/>
    <s v="Max Copiers 829"/>
    <s v="Standard Class"/>
    <x v="3"/>
    <s v="OK"/>
    <n v="6"/>
    <n v="191.45"/>
    <n v="0.2"/>
    <n v="0.2"/>
    <s v="OK"/>
    <n v="918.96"/>
    <n v="554.17999999999995"/>
    <n v="364.78"/>
    <n v="918.95999999999992"/>
    <n v="364.78"/>
    <x v="254"/>
    <s v="Paid"/>
    <x v="0"/>
    <s v="OK"/>
    <s v="Completed"/>
    <x v="0"/>
    <s v="OK"/>
    <s v="CLEAN"/>
    <s v="MATCH"/>
    <s v="MATCH"/>
  </r>
  <r>
    <x v="259"/>
    <n v="1"/>
    <d v="2024-06-03T00:00:00"/>
    <d v="2024-06-03T00:00:00"/>
    <x v="8"/>
    <x v="0"/>
    <s v="02/12/2025"/>
    <d v="2025-02-12T00:00:00"/>
    <n v="254"/>
    <s v="OK"/>
    <s v="CUST-6249"/>
    <s v="Diya Patel"/>
    <s v="Diya Patel"/>
    <s v="Corporate"/>
    <x v="2"/>
    <s v="North"/>
    <x v="0"/>
    <s v="OK"/>
    <s v="Punjab"/>
    <s v="Punjab"/>
    <s v="Ludhiana"/>
    <s v="Ludhiana"/>
    <s v="Furniture"/>
    <x v="1"/>
    <s v="Furnishings"/>
    <x v="3"/>
    <s v="Prime Furnishings 827"/>
    <s v="Standard Class"/>
    <x v="3"/>
    <s v="OK"/>
    <n v="3"/>
    <n v="1633.57"/>
    <n v="0"/>
    <n v="0"/>
    <s v="OK"/>
    <n v="4900.71"/>
    <n v="2713.9"/>
    <n v="2186.81"/>
    <n v="4900.71"/>
    <n v="2186.81"/>
    <x v="255"/>
    <s v="Paid"/>
    <x v="0"/>
    <s v="OK"/>
    <s v="Completed"/>
    <x v="0"/>
    <s v="OK"/>
    <s v="CLEAN"/>
    <s v="MATCH"/>
    <s v="MATCH"/>
  </r>
  <r>
    <x v="260"/>
    <n v="1"/>
    <d v="2024-07-05T00:00:00"/>
    <d v="2024-07-05T00:00:00"/>
    <x v="0"/>
    <x v="0"/>
    <s v="13-01-2024"/>
    <d v="2024-01-13T00:00:00"/>
    <n v="-174"/>
    <s v="INVALID_SHIPPING"/>
    <s v="CUST-3004"/>
    <s v="Sneha Kapoor"/>
    <s v="Sneha Kapoor"/>
    <s v="Small Business"/>
    <x v="1"/>
    <s v="North"/>
    <x v="0"/>
    <s v="OK"/>
    <s v="Rajasthan"/>
    <s v="Rajasthan"/>
    <s v="Jaipur"/>
    <s v="Jaipur"/>
    <s v="Office Supplies"/>
    <x v="0"/>
    <s v="Storage"/>
    <x v="7"/>
    <s v="Classic Storage 545"/>
    <s v="First Class"/>
    <x v="2"/>
    <s v="OK"/>
    <n v="3"/>
    <n v="383.58"/>
    <n v="0.1"/>
    <n v="0.1"/>
    <s v="OK"/>
    <n v="1035.67"/>
    <n v="595.41999999999996"/>
    <n v="440.25"/>
    <n v="1035.6659999999999"/>
    <n v="440.24599999999998"/>
    <x v="256"/>
    <s v="Paid"/>
    <x v="0"/>
    <s v="OK"/>
    <s v="Completed"/>
    <x v="0"/>
    <s v="OK"/>
    <s v="INVALID"/>
    <s v="MATCH"/>
    <s v="MATCH"/>
  </r>
  <r>
    <x v="261"/>
    <n v="1"/>
    <d v="2024-09-06T00:00:00"/>
    <d v="2024-09-06T00:00:00"/>
    <x v="5"/>
    <x v="0"/>
    <s v="25 Dec 2024"/>
    <d v="2024-12-25T00:00:00"/>
    <n v="110"/>
    <s v="OK"/>
    <s v="CUST-4838"/>
    <s v="Mira Das"/>
    <s v="Mira Das"/>
    <s v="Home Office"/>
    <x v="3"/>
    <m/>
    <x v="4"/>
    <s v="MISSING_REGION"/>
    <s v="Uttar Pradesh"/>
    <s v="Uttar Pradesh"/>
    <s v="Noida"/>
    <s v="Noida"/>
    <s v="Technology"/>
    <x v="2"/>
    <s v="Machines"/>
    <x v="12"/>
    <s v="Classic Machines 561"/>
    <s v="Same Day"/>
    <x v="1"/>
    <s v="OK"/>
    <n v="7"/>
    <n v="4079.71"/>
    <n v="0.1"/>
    <n v="0.1"/>
    <s v="OK"/>
    <n v="25702.17"/>
    <n v="14571.48"/>
    <n v="11130.69"/>
    <n v="25702.173000000003"/>
    <n v="11130.693000000003"/>
    <x v="257"/>
    <s v="Refunded"/>
    <x v="2"/>
    <s v="REFUNDED_PAYMENT"/>
    <s v="Returned"/>
    <x v="1"/>
    <s v="RETURNED_ORDER"/>
    <s v="WARNING"/>
    <s v="MATCH"/>
    <s v="MATCH"/>
  </r>
  <r>
    <x v="262"/>
    <n v="1"/>
    <d v="2024-02-23T00:00:00"/>
    <d v="2024-02-23T00:00:00"/>
    <x v="11"/>
    <x v="0"/>
    <s v="24 Aug 2024"/>
    <d v="2024-08-24T00:00:00"/>
    <n v="183"/>
    <s v="OK"/>
    <s v="CUST-7520"/>
    <s v="Arjun Bose"/>
    <s v="Arjun Bose"/>
    <s v="Corporate"/>
    <x v="2"/>
    <s v="East"/>
    <x v="1"/>
    <s v="OK"/>
    <s v="Odisha"/>
    <s v="Odisha"/>
    <s v="Bhubaneswar"/>
    <s v="Bhubaneswar"/>
    <s v="Furniture"/>
    <x v="1"/>
    <s v="Chairs"/>
    <x v="10"/>
    <s v="Max Chairs 594"/>
    <s v="Second Class"/>
    <x v="0"/>
    <s v="OK"/>
    <n v="1"/>
    <n v="2202.5500000000002"/>
    <m/>
    <n v="0"/>
    <s v="Missing Discount"/>
    <n v="1651.91"/>
    <n v="1034.57"/>
    <n v="617.34"/>
    <n v="2202.5500000000002"/>
    <n v="1167.9800000000002"/>
    <x v="258"/>
    <s v="Paid"/>
    <x v="0"/>
    <s v="OK"/>
    <s v="Completed"/>
    <x v="0"/>
    <s v="OK"/>
    <s v="INVALID"/>
    <s v="MISMATCH"/>
    <s v="MISMATCH"/>
  </r>
  <r>
    <x v="263"/>
    <n v="1"/>
    <d v="2024-07-22T00:00:00"/>
    <d v="2024-07-22T00:00:00"/>
    <x v="0"/>
    <x v="0"/>
    <s v="13 Feb 2025"/>
    <d v="2025-02-13T00:00:00"/>
    <n v="206"/>
    <s v="OK"/>
    <s v="CUST-3583"/>
    <s v="Priya Menon"/>
    <s v="Priya Menon"/>
    <s v="Consumer"/>
    <x v="0"/>
    <s v="South"/>
    <x v="2"/>
    <s v="OK"/>
    <s v="Karnataka"/>
    <s v="Karnataka"/>
    <s v="Bengaluru"/>
    <s v="Bengaluru"/>
    <s v="Technology"/>
    <x v="2"/>
    <s v="Accessories"/>
    <x v="4"/>
    <s v="Basic Accessories 518"/>
    <s v="Second Class"/>
    <x v="0"/>
    <s v="OK"/>
    <n v="3"/>
    <n v="1286.22"/>
    <n v="0.25"/>
    <n v="0.25"/>
    <s v="OK"/>
    <n v="2893.99"/>
    <n v="1856.03"/>
    <n v="1037.96"/>
    <n v="2893.9949999999999"/>
    <n v="1037.9649999999999"/>
    <x v="259"/>
    <s v="Paid"/>
    <x v="0"/>
    <s v="OK"/>
    <s v="Completed"/>
    <x v="0"/>
    <s v="OK"/>
    <s v="CLEAN"/>
    <s v="MISMATCH"/>
    <s v="MISMATCH"/>
  </r>
  <r>
    <x v="264"/>
    <n v="1"/>
    <d v="2024-12-25T00:00:00"/>
    <d v="2024-12-25T00:00:00"/>
    <x v="4"/>
    <x v="0"/>
    <s v="14-04-2024"/>
    <d v="2024-04-14T00:00:00"/>
    <n v="-255"/>
    <s v="INVALID_SHIPPING"/>
    <s v="CUST-9432"/>
    <s v="Mira Das"/>
    <s v="Mira Das"/>
    <s v="Corporate"/>
    <x v="2"/>
    <s v="East"/>
    <x v="1"/>
    <s v="OK"/>
    <s v="Bihar"/>
    <s v="Bihar"/>
    <s v="Patna"/>
    <s v="Patna"/>
    <s v="Technology"/>
    <x v="2"/>
    <s v="Copiers"/>
    <x v="6"/>
    <s v="Pro Copiers 984"/>
    <s v="Standard Class"/>
    <x v="3"/>
    <s v="OK"/>
    <n v="1"/>
    <n v="829.66"/>
    <n v="0.15"/>
    <n v="0.15"/>
    <s v="OK"/>
    <n v="705.21"/>
    <n v="438.32"/>
    <n v="266.89"/>
    <n v="705.2109999999999"/>
    <n v="266.89099999999991"/>
    <x v="260"/>
    <s v="Paid"/>
    <x v="0"/>
    <s v="OK"/>
    <s v="Completed"/>
    <x v="0"/>
    <s v="OK"/>
    <s v="INVALID"/>
    <s v="MATCH"/>
    <s v="MATCH"/>
  </r>
  <r>
    <x v="265"/>
    <n v="1"/>
    <d v="2024-12-28T00:00:00"/>
    <d v="2024-12-28T00:00:00"/>
    <x v="4"/>
    <x v="0"/>
    <s v="02/22/2024"/>
    <d v="2024-02-22T00:00:00"/>
    <n v="-310"/>
    <s v="INVALID_SHIPPING"/>
    <s v="CUST-1801"/>
    <s v="Mira Das"/>
    <s v="Mira Das"/>
    <s v="Small Business"/>
    <x v="1"/>
    <s v="South"/>
    <x v="2"/>
    <s v="OK"/>
    <s v="Andhra Pradesh"/>
    <s v="Andhra Pradesh"/>
    <s v="Vijayawada"/>
    <s v="Vijayawada"/>
    <s v="Furniture"/>
    <x v="1"/>
    <s v="Furnishings"/>
    <x v="3"/>
    <s v="Max Furnishings 297"/>
    <s v="First Class"/>
    <x v="2"/>
    <s v="OK"/>
    <n v="6"/>
    <n v="3641.22"/>
    <n v="0.25"/>
    <n v="0.25"/>
    <s v="OK"/>
    <n v="16385.490000000002"/>
    <n v="13679.24"/>
    <n v="2706.25"/>
    <n v="16385.489999999998"/>
    <n v="2706.2499999999982"/>
    <x v="261"/>
    <s v="Paid"/>
    <x v="0"/>
    <s v="OK"/>
    <s v="Completed"/>
    <x v="0"/>
    <s v="OK"/>
    <s v="INVALID"/>
    <s v="MATCH"/>
    <s v="MATCH"/>
  </r>
  <r>
    <x v="266"/>
    <n v="1"/>
    <d v="2024-10-14T00:00:00"/>
    <d v="2024-10-14T00:00:00"/>
    <x v="7"/>
    <x v="0"/>
    <s v="23-01-2024"/>
    <d v="2024-01-23T00:00:00"/>
    <n v="-265"/>
    <s v="INVALID_SHIPPING"/>
    <s v="CUST-2183"/>
    <s v="Aditi Sen"/>
    <s v="Aditi Sen"/>
    <s v="Small Business"/>
    <x v="1"/>
    <s v="North"/>
    <x v="0"/>
    <s v="OK"/>
    <s v="Rajasthan"/>
    <s v="Rajasthan"/>
    <s v="Jaipur"/>
    <s v="Jaipur"/>
    <s v="Furniture"/>
    <x v="1"/>
    <s v="Tables"/>
    <x v="1"/>
    <s v="Eco Tables 487"/>
    <s v="Same Day"/>
    <x v="1"/>
    <s v="OK"/>
    <n v="7"/>
    <n v="1547.6"/>
    <n v="0.2"/>
    <n v="0.2"/>
    <s v="OK"/>
    <n v="8666.56"/>
    <n v="5967.44"/>
    <n v="2699.12"/>
    <n v="8666.56"/>
    <n v="2699.12"/>
    <x v="262"/>
    <s v="Paid"/>
    <x v="0"/>
    <s v="OK"/>
    <s v="Completed"/>
    <x v="0"/>
    <s v="OK"/>
    <s v="INVALID"/>
    <s v="MATCH"/>
    <s v="MATCH"/>
  </r>
  <r>
    <x v="267"/>
    <n v="1"/>
    <d v="2024-07-02T00:00:00"/>
    <d v="2024-07-02T00:00:00"/>
    <x v="0"/>
    <x v="0"/>
    <s v="04 Jun 2025"/>
    <d v="2025-06-04T00:00:00"/>
    <n v="337"/>
    <s v="OK"/>
    <s v="CUST-1636"/>
    <s v="Arjun Bose"/>
    <s v="Arjun Bose"/>
    <s v="Home Office"/>
    <x v="3"/>
    <s v="East"/>
    <x v="1"/>
    <s v="OK"/>
    <s v="West Bengal"/>
    <s v="West Bengal"/>
    <s v="Kolkata"/>
    <s v="Kolkata"/>
    <s v="Technology"/>
    <x v="2"/>
    <s v="Accessories"/>
    <x v="4"/>
    <s v="Prime Accessories 960"/>
    <s v="Second Class"/>
    <x v="0"/>
    <s v="OK"/>
    <n v="1"/>
    <n v="452.19"/>
    <n v="0.2"/>
    <n v="0.2"/>
    <s v="OK"/>
    <n v="361.75"/>
    <n v="262.52999999999997"/>
    <n v="99.22"/>
    <n v="361.75200000000001"/>
    <n v="99.222000000000037"/>
    <x v="263"/>
    <s v="Paid"/>
    <x v="0"/>
    <s v="OK"/>
    <s v="Completed"/>
    <x v="0"/>
    <s v="OK"/>
    <s v="CLEAN"/>
    <s v="MATCH"/>
    <s v="MATCH"/>
  </r>
  <r>
    <x v="268"/>
    <n v="1"/>
    <d v="2024-09-16T00:00:00"/>
    <d v="2024-09-16T00:00:00"/>
    <x v="5"/>
    <x v="0"/>
    <s v="2025-03-14"/>
    <d v="2025-03-14T00:00:00"/>
    <n v="179"/>
    <s v="OK"/>
    <s v="CUST-1350"/>
    <s v="Aditi Sen"/>
    <s v="Aditi Sen"/>
    <s v="Consumer"/>
    <x v="0"/>
    <s v="West"/>
    <x v="3"/>
    <s v="OK"/>
    <s v="Rajasthan"/>
    <s v="Rajasthan"/>
    <s v="Udaipur"/>
    <s v="Udaipur"/>
    <s v="Office Supplies"/>
    <x v="0"/>
    <s v="Binders"/>
    <x v="11"/>
    <s v="Smart Binders 191"/>
    <s v="First Class"/>
    <x v="2"/>
    <s v="OK"/>
    <n v="7"/>
    <n v="406.42"/>
    <n v="0.15"/>
    <n v="0.15"/>
    <s v="OK"/>
    <n v="2418.1999999999998"/>
    <n v="1613.82"/>
    <n v="804.38"/>
    <n v="2418.1990000000001"/>
    <n v="804.37900000000013"/>
    <x v="264"/>
    <s v="Paid"/>
    <x v="0"/>
    <s v="OK"/>
    <s v="Completed"/>
    <x v="0"/>
    <s v="OK"/>
    <s v="CLEAN"/>
    <s v="MATCH"/>
    <s v="MATCH"/>
  </r>
  <r>
    <x v="269"/>
    <n v="1"/>
    <d v="2024-11-14T00:00:00"/>
    <d v="2024-11-14T00:00:00"/>
    <x v="2"/>
    <x v="0"/>
    <s v="10 Apr 2024"/>
    <d v="2024-04-10T00:00:00"/>
    <n v="-218"/>
    <s v="INVALID_SHIPPING"/>
    <s v="CUST-9056"/>
    <s v="Isha Nair"/>
    <s v="Isha Nair"/>
    <s v="Consumer"/>
    <x v="0"/>
    <s v="West"/>
    <x v="3"/>
    <s v="OK"/>
    <s v="Madhya Pradesh"/>
    <s v="Madhya Pradesh"/>
    <s v="Indore"/>
    <s v="Indore"/>
    <s v="Technology"/>
    <x v="2"/>
    <s v="Phones"/>
    <x v="8"/>
    <s v="Smart Phones 125"/>
    <s v="Standard Class"/>
    <x v="3"/>
    <s v="OK"/>
    <n v="3"/>
    <n v="671.68"/>
    <n v="-0.13"/>
    <n v="-0.13"/>
    <s v="Invalid Negative Discount"/>
    <n v="1712.78"/>
    <n v="1569.38"/>
    <n v="360.66"/>
    <s v="INVALID"/>
    <s v="INVALID"/>
    <x v="12"/>
    <s v="Failed"/>
    <x v="3"/>
    <s v="EXCLUDE_FROM_SALES"/>
    <s v="Cancelled"/>
    <x v="2"/>
    <s v="EXCLUDE_FROM_SALES"/>
    <s v="INVALID"/>
    <s v="INVALID"/>
    <s v="INVALID"/>
  </r>
  <r>
    <x v="270"/>
    <n v="1"/>
    <d v="2024-09-05T00:00:00"/>
    <d v="2024-09-05T00:00:00"/>
    <x v="5"/>
    <x v="0"/>
    <s v="26-12-2024"/>
    <d v="2024-12-26T00:00:00"/>
    <n v="112"/>
    <s v="OK"/>
    <s v="CUST-9801"/>
    <s v="Mira Das"/>
    <s v="Mira Das"/>
    <s v="Small Business"/>
    <x v="1"/>
    <s v="East"/>
    <x v="1"/>
    <s v="OK"/>
    <s v="Assam"/>
    <s v="Assam"/>
    <s v="Guwahati"/>
    <s v="Guwahati"/>
    <s v="Technology"/>
    <x v="2"/>
    <s v="Phones"/>
    <x v="8"/>
    <s v="Eco Phones 220"/>
    <s v="Second Class"/>
    <x v="0"/>
    <s v="OK"/>
    <n v="4"/>
    <n v="995.98"/>
    <n v="0.05"/>
    <n v="0.05"/>
    <s v="OK"/>
    <n v="3784.72"/>
    <n v="2419.2399999999998"/>
    <n v="1365.48"/>
    <n v="3784.7239999999997"/>
    <n v="1365.4839999999999"/>
    <x v="265"/>
    <s v="Refunded"/>
    <x v="2"/>
    <s v="REFUNDED_PAYMENT"/>
    <s v="Returned"/>
    <x v="1"/>
    <s v="RETURNED_ORDER"/>
    <s v="CLEAN"/>
    <s v="MATCH"/>
    <s v="MATCH"/>
  </r>
  <r>
    <x v="271"/>
    <n v="1"/>
    <d v="2024-08-29T00:00:00"/>
    <d v="2024-08-29T00:00:00"/>
    <x v="1"/>
    <x v="0"/>
    <s v="07/27/2025"/>
    <d v="2025-07-27T00:00:00"/>
    <n v="332"/>
    <s v="OK"/>
    <s v="CUST-1567"/>
    <s v="Sneha Kapoor"/>
    <s v="Sneha Kapoor"/>
    <s v="Small Business"/>
    <x v="1"/>
    <s v="North"/>
    <x v="0"/>
    <s v="OK"/>
    <s v="Uttar Pradesh"/>
    <s v="Uttar Pradesh"/>
    <s v="Noida"/>
    <s v="Noida"/>
    <s v="Technology"/>
    <x v="2"/>
    <s v="Accessories"/>
    <x v="4"/>
    <s v="Smart Accessories 896"/>
    <s v="Second Class"/>
    <x v="0"/>
    <s v="OK"/>
    <n v="1"/>
    <n v="3106.88"/>
    <n v="0.2"/>
    <n v="0.2"/>
    <s v="OK"/>
    <n v="2485.5"/>
    <n v="2028.43"/>
    <n v="457.07"/>
    <n v="2485.5040000000004"/>
    <n v="457.0740000000003"/>
    <x v="266"/>
    <s v="Paid"/>
    <x v="0"/>
    <s v="OK"/>
    <s v="Cancelled"/>
    <x v="2"/>
    <s v="EXCLUDE_FROM_SALES"/>
    <s v="CLEAN"/>
    <s v="MATCH"/>
    <s v="MATCH"/>
  </r>
  <r>
    <x v="272"/>
    <n v="1"/>
    <d v="2024-12-22T00:00:00"/>
    <d v="2024-12-22T00:00:00"/>
    <x v="4"/>
    <x v="0"/>
    <s v="10/02/2024"/>
    <d v="2024-10-02T00:00:00"/>
    <n v="-81"/>
    <s v="INVALID_SHIPPING"/>
    <s v="CUST-5604"/>
    <s v="Rahul Verma"/>
    <s v="Rahul Verma"/>
    <s v="Home Office"/>
    <x v="3"/>
    <s v="North"/>
    <x v="0"/>
    <s v="OK"/>
    <s v="Uttar Pradesh"/>
    <s v="Uttar Pradesh"/>
    <s v="Noida"/>
    <s v="Noida"/>
    <s v="Furniture"/>
    <x v="1"/>
    <s v="Chairs"/>
    <x v="10"/>
    <s v="Eco Chairs 210"/>
    <s v="Standard Class"/>
    <x v="3"/>
    <s v="OK"/>
    <n v="9"/>
    <n v="1110.8699999999999"/>
    <m/>
    <n v="0"/>
    <s v="Missing Discount"/>
    <n v="7498.37"/>
    <n v="6059.07"/>
    <n v="1439.3"/>
    <n v="9997.8299999999981"/>
    <n v="3938.7599999999984"/>
    <x v="267"/>
    <s v="Paid"/>
    <x v="0"/>
    <s v="OK"/>
    <s v="Cancelled"/>
    <x v="2"/>
    <s v="EXCLUDE_FROM_SALES"/>
    <s v="INVALID"/>
    <s v="MISMATCH"/>
    <s v="MISMATCH"/>
  </r>
  <r>
    <x v="273"/>
    <n v="1"/>
    <d v="2024-05-17T00:00:00"/>
    <d v="2024-05-17T00:00:00"/>
    <x v="3"/>
    <x v="0"/>
    <s v="20-03-2025"/>
    <d v="2025-03-20T00:00:00"/>
    <n v="307"/>
    <s v="OK"/>
    <s v="CUST-7661"/>
    <s v="Sneha Kapoor"/>
    <s v="Sneha Kapoor"/>
    <s v="Consumer"/>
    <x v="0"/>
    <s v="South"/>
    <x v="2"/>
    <s v="OK"/>
    <s v="Kerala"/>
    <s v="Kerala"/>
    <s v="Kochi"/>
    <s v="Kochi"/>
    <s v="Technology"/>
    <x v="2"/>
    <s v="Phones"/>
    <x v="8"/>
    <s v="Prime Phones 533"/>
    <s v="Same Day"/>
    <x v="1"/>
    <s v="OK"/>
    <n v="9"/>
    <n v="3795.99"/>
    <n v="0.85"/>
    <n v="0.85"/>
    <s v="OK"/>
    <n v="34163.910000000003"/>
    <n v="28577.15"/>
    <n v="5586.76"/>
    <n v="5124.5865000000003"/>
    <n v="-23452.5635"/>
    <x v="268"/>
    <s v="Paid"/>
    <x v="0"/>
    <s v="OK"/>
    <s v="Completed"/>
    <x v="0"/>
    <s v="OK"/>
    <s v="CLEAN"/>
    <s v="MISMATCH"/>
    <s v="MISMATCH"/>
  </r>
  <r>
    <x v="274"/>
    <n v="1"/>
    <d v="2024-11-08T00:00:00"/>
    <d v="2024-11-08T00:00:00"/>
    <x v="2"/>
    <x v="0"/>
    <s v="12/14/2024"/>
    <d v="2024-12-14T00:00:00"/>
    <n v="36"/>
    <s v="OK"/>
    <s v="CUST-3710"/>
    <s v="Neha Gupta"/>
    <s v="Neha Gupta"/>
    <s v="Consumer"/>
    <x v="0"/>
    <s v="East"/>
    <x v="1"/>
    <s v="OK"/>
    <s v="Jharkhand"/>
    <s v="Jharkhand"/>
    <s v="Ranchi"/>
    <s v="Ranchi"/>
    <s v="Office Supplies"/>
    <x v="0"/>
    <s v="Art"/>
    <x v="2"/>
    <s v="Elite Art 325"/>
    <s v="Second Class"/>
    <x v="0"/>
    <s v="OK"/>
    <n v="6"/>
    <n v="3497.54"/>
    <n v="0.15"/>
    <n v="0.15"/>
    <s v="OK"/>
    <n v="17837.45"/>
    <n v="13627.02"/>
    <n v="4210.43"/>
    <n v="17837.453999999998"/>
    <n v="4210.4339999999975"/>
    <x v="269"/>
    <s v="Paid"/>
    <x v="0"/>
    <s v="OK"/>
    <s v="Completed"/>
    <x v="0"/>
    <s v="OK"/>
    <s v="CLEAN"/>
    <s v="MATCH"/>
    <s v="MATCH"/>
  </r>
  <r>
    <x v="275"/>
    <n v="2"/>
    <d v="2024-01-04T00:00:00"/>
    <d v="2024-01-04T00:00:00"/>
    <x v="9"/>
    <x v="0"/>
    <s v="2025-08-20"/>
    <d v="2025-08-20T00:00:00"/>
    <n v="594"/>
    <s v="OK"/>
    <s v="CUST-1534"/>
    <s v="Priya Menon"/>
    <s v="Priya Menon"/>
    <s v="Small Business"/>
    <x v="1"/>
    <s v="East"/>
    <x v="1"/>
    <s v="OK"/>
    <s v="Odisha"/>
    <s v="Odisha"/>
    <s v="Bhubaneswar"/>
    <s v="Bhubaneswar"/>
    <s v="Technology"/>
    <x v="2"/>
    <s v="Copiers"/>
    <x v="6"/>
    <s v="Prime Copiers 557"/>
    <s v="Second Class"/>
    <x v="0"/>
    <s v="OK"/>
    <n v="6"/>
    <n v="826.93"/>
    <n v="0.1"/>
    <n v="0.1"/>
    <s v="OK"/>
    <n v="4465.42"/>
    <n v="3377.1"/>
    <n v="1088.32"/>
    <n v="4465.4220000000005"/>
    <n v="1088.3220000000006"/>
    <x v="270"/>
    <s v="Paid"/>
    <x v="0"/>
    <s v="OK"/>
    <s v="Completed"/>
    <x v="0"/>
    <s v="OK"/>
    <s v="CLEAN"/>
    <s v="MATCH"/>
    <s v="MATCH"/>
  </r>
  <r>
    <x v="275"/>
    <n v="2"/>
    <d v="2024-01-04T00:00:00"/>
    <d v="2024-01-04T00:00:00"/>
    <x v="9"/>
    <x v="0"/>
    <s v="03/02/2024"/>
    <d v="2024-03-02T00:00:00"/>
    <n v="58"/>
    <s v="OK"/>
    <s v="CUST-1534"/>
    <s v="Priya Menon"/>
    <s v="Priya Menon"/>
    <s v="Small Business"/>
    <x v="1"/>
    <s v="East"/>
    <x v="1"/>
    <s v="OK"/>
    <s v="Odisha"/>
    <s v="Odisha"/>
    <s v="Bhubaneswar"/>
    <s v="Bhubaneswar"/>
    <s v="Technology"/>
    <x v="2"/>
    <s v="Copiers"/>
    <x v="6"/>
    <s v="Prime Copiers 557"/>
    <s v="Second Class"/>
    <x v="0"/>
    <s v="OK"/>
    <n v="6"/>
    <n v="826.93"/>
    <n v="0.1"/>
    <n v="0.1"/>
    <s v="OK"/>
    <n v="4465.42"/>
    <n v="3377.1"/>
    <n v="1088.32"/>
    <n v="4465.4220000000005"/>
    <n v="1088.3220000000006"/>
    <x v="270"/>
    <s v="Paid"/>
    <x v="0"/>
    <s v="OK"/>
    <s v="Completed"/>
    <x v="0"/>
    <s v="OK"/>
    <s v="CLEAN"/>
    <s v="MATCH"/>
    <s v="MATCH"/>
  </r>
  <r>
    <x v="276"/>
    <n v="1"/>
    <d v="2024-09-28T00:00:00"/>
    <d v="2024-09-28T00:00:00"/>
    <x v="5"/>
    <x v="0"/>
    <s v="07-09-2024"/>
    <d v="2024-07-09T00:00:00"/>
    <n v="-81"/>
    <s v="INVALID_SHIPPING"/>
    <s v="CUST-7422"/>
    <s v="Aarav Sharma"/>
    <s v="Aarav Sharma"/>
    <s v="Consumer"/>
    <x v="0"/>
    <s v="South"/>
    <x v="2"/>
    <s v="OK"/>
    <s v="Tamil Nadu"/>
    <s v="Tamil Nadu"/>
    <s v="Chennai"/>
    <s v="Chennai"/>
    <s v="Technology"/>
    <x v="2"/>
    <s v="Phones"/>
    <x v="8"/>
    <s v="Smart Phones 674"/>
    <s v="Standard Class"/>
    <x v="3"/>
    <s v="OK"/>
    <n v="7"/>
    <n v="1681.6"/>
    <n v="0.1"/>
    <n v="0.1"/>
    <s v="OK"/>
    <n v="10594.08"/>
    <n v="7160.31"/>
    <n v="3433.77"/>
    <n v="10594.08"/>
    <n v="3433.7699999999995"/>
    <x v="271"/>
    <s v="Paid"/>
    <x v="0"/>
    <s v="OK"/>
    <s v="Completed"/>
    <x v="0"/>
    <s v="OK"/>
    <s v="INVALID"/>
    <s v="MATCH"/>
    <s v="MATCH"/>
  </r>
  <r>
    <x v="277"/>
    <n v="1"/>
    <d v="2024-09-11T00:00:00"/>
    <d v="2024-09-11T00:00:00"/>
    <x v="5"/>
    <x v="0"/>
    <s v="2024-06-24"/>
    <d v="2024-06-24T00:00:00"/>
    <n v="-79"/>
    <s v="INVALID_SHIPPING"/>
    <s v="CUST-5458"/>
    <s v="Neha Gupta"/>
    <s v="Neha Gupta"/>
    <s v="Corporate"/>
    <x v="2"/>
    <s v="West"/>
    <x v="3"/>
    <s v="OK"/>
    <s v="Madhya Pradesh"/>
    <s v="Madhya Pradesh"/>
    <s v="Indore"/>
    <s v="Indore"/>
    <s v="Office Supplies"/>
    <x v="0"/>
    <s v="Art"/>
    <x v="2"/>
    <s v="Classic Art 339"/>
    <s v="First Class"/>
    <x v="2"/>
    <s v="OK"/>
    <n v="9"/>
    <n v="2438.29"/>
    <n v="0.2"/>
    <n v="0.2"/>
    <s v="OK"/>
    <n v="17555.689999999999"/>
    <n v="13293.2"/>
    <n v="4262.49"/>
    <n v="17555.688000000002"/>
    <n v="4262.4880000000012"/>
    <x v="272"/>
    <s v="Paid"/>
    <x v="0"/>
    <s v="OK"/>
    <s v="Cancelled"/>
    <x v="2"/>
    <s v="EXCLUDE_FROM_SALES"/>
    <s v="INVALID"/>
    <s v="MATCH"/>
    <s v="MATCH"/>
  </r>
  <r>
    <x v="278"/>
    <n v="1"/>
    <d v="2024-12-15T00:00:00"/>
    <d v="2024-12-15T00:00:00"/>
    <x v="4"/>
    <x v="0"/>
    <s v="06/27/2025"/>
    <d v="2025-06-27T00:00:00"/>
    <n v="194"/>
    <s v="OK"/>
    <s v="CUST-3011"/>
    <s v="Aarav Sharma"/>
    <s v="Aarav Sharma"/>
    <s v="Small Business"/>
    <x v="1"/>
    <s v="North"/>
    <x v="0"/>
    <s v="OK"/>
    <s v="Punjab"/>
    <s v="Punjab"/>
    <s v="Ludhiana"/>
    <s v="Ludhiana"/>
    <s v="Furniture"/>
    <x v="1"/>
    <s v="Furnishings"/>
    <x v="3"/>
    <s v="Smart Furnishings 352"/>
    <s v="First Class"/>
    <x v="2"/>
    <s v="OK"/>
    <n v="2"/>
    <n v="669.8"/>
    <n v="0.1"/>
    <n v="0.1"/>
    <s v="OK"/>
    <n v="1205.6400000000001"/>
    <n v="842.07"/>
    <n v="363.57"/>
    <n v="1205.6399999999999"/>
    <n v="363.56999999999982"/>
    <x v="273"/>
    <s v="Refunded"/>
    <x v="2"/>
    <s v="REFUNDED_PAYMENT"/>
    <s v="Returned"/>
    <x v="1"/>
    <s v="RETURNED_ORDER"/>
    <s v="CLEAN"/>
    <s v="MATCH"/>
    <s v="MATCH"/>
  </r>
  <r>
    <x v="279"/>
    <n v="1"/>
    <d v="2024-03-31T00:00:00"/>
    <d v="2024-03-31T00:00:00"/>
    <x v="10"/>
    <x v="0"/>
    <s v="2025-08-26"/>
    <d v="2025-08-26T00:00:00"/>
    <n v="513"/>
    <s v="OK"/>
    <s v="CUST-3333"/>
    <s v="Isha Nair"/>
    <s v="Isha Nair"/>
    <s v="Small Business"/>
    <x v="1"/>
    <s v="North"/>
    <x v="0"/>
    <s v="OK"/>
    <s v="Haryana"/>
    <s v="Haryana"/>
    <s v="Gurugram"/>
    <s v="Gurugram"/>
    <s v="Technology"/>
    <x v="2"/>
    <s v="Machines"/>
    <x v="12"/>
    <s v="Smart Machines 853"/>
    <s v="Second Class"/>
    <x v="0"/>
    <s v="OK"/>
    <n v="4"/>
    <n v="1831"/>
    <n v="0"/>
    <n v="0"/>
    <s v="OK"/>
    <n v="7324"/>
    <n v="4179.63"/>
    <n v="3144.37"/>
    <n v="7324"/>
    <n v="3144.37"/>
    <x v="274"/>
    <s v="Paid"/>
    <x v="0"/>
    <s v="OK"/>
    <s v="Completed"/>
    <x v="0"/>
    <s v="OK"/>
    <s v="CLEAN"/>
    <s v="MATCH"/>
    <s v="MATCH"/>
  </r>
  <r>
    <x v="280"/>
    <n v="1"/>
    <d v="2024-10-18T00:00:00"/>
    <d v="2024-10-18T00:00:00"/>
    <x v="7"/>
    <x v="0"/>
    <s v="2024-04-10"/>
    <d v="2024-04-10T00:00:00"/>
    <n v="-191"/>
    <s v="INVALID_SHIPPING"/>
    <s v="CUST-9759"/>
    <s v="Aarav  Sharma"/>
    <s v="Aarav Sharma"/>
    <s v="Consumer"/>
    <x v="0"/>
    <s v="South"/>
    <x v="2"/>
    <s v="OK"/>
    <s v="Karnataka"/>
    <s v="Karnataka"/>
    <s v="Bengaluru"/>
    <s v="Bengaluru"/>
    <s v="Office Supplies"/>
    <x v="0"/>
    <s v="Storage"/>
    <x v="7"/>
    <s v="Pro Storage 373"/>
    <s v="Second Class"/>
    <x v="0"/>
    <s v="OK"/>
    <n v="2"/>
    <n v="4238.51"/>
    <n v="0"/>
    <n v="0"/>
    <s v="OK"/>
    <n v="8477.02"/>
    <n v="6884.96"/>
    <n v="1592.06"/>
    <n v="8477.02"/>
    <n v="1592.0600000000004"/>
    <x v="275"/>
    <s v="Paid"/>
    <x v="0"/>
    <s v="OK"/>
    <s v="Completed"/>
    <x v="0"/>
    <s v="OK"/>
    <s v="INVALID"/>
    <s v="MATCH"/>
    <s v="MATCH"/>
  </r>
  <r>
    <x v="281"/>
    <n v="1"/>
    <d v="2024-10-23T00:00:00"/>
    <d v="2024-10-23T00:00:00"/>
    <x v="7"/>
    <x v="0"/>
    <s v="03-03-2025"/>
    <d v="2025-03-03T00:00:00"/>
    <n v="131"/>
    <s v="OK"/>
    <s v="CUST-7232"/>
    <s v="Sneha Kapoor"/>
    <s v="Sneha Kapoor"/>
    <s v="Consumer"/>
    <x v="0"/>
    <s v="West"/>
    <x v="3"/>
    <s v="OK"/>
    <s v="Madhya Pradesh"/>
    <s v="Madhya Pradesh"/>
    <s v="Indore"/>
    <s v="Indore"/>
    <s v="Furniture"/>
    <x v="1"/>
    <s v="Bookcases"/>
    <x v="9"/>
    <s v="Smart Bookcases 920"/>
    <s v="Standard Class"/>
    <x v="3"/>
    <s v="OK"/>
    <n v="9"/>
    <n v="544.27"/>
    <n v="0.25"/>
    <n v="0.25"/>
    <s v="OK"/>
    <n v="3673.82"/>
    <n v="2088.15"/>
    <n v="1585.67"/>
    <n v="3673.8225000000002"/>
    <n v="1585.6725000000001"/>
    <x v="276"/>
    <s v="Paid"/>
    <x v="0"/>
    <s v="OK"/>
    <s v="Completed"/>
    <x v="0"/>
    <s v="OK"/>
    <s v="CLEAN"/>
    <s v="MATCH"/>
    <s v="MATCH"/>
  </r>
  <r>
    <x v="282"/>
    <n v="1"/>
    <d v="2024-11-18T00:00:00"/>
    <d v="2024-11-18T00:00:00"/>
    <x v="2"/>
    <x v="0"/>
    <s v="11-03-2024"/>
    <d v="2024-11-03T00:00:00"/>
    <n v="-15"/>
    <s v="INVALID_SHIPPING"/>
    <s v="CUST-7729"/>
    <s v="Karan Malhotra"/>
    <s v="Karan Malhotra"/>
    <s v="Home Office"/>
    <x v="3"/>
    <s v="South"/>
    <x v="2"/>
    <s v="OK"/>
    <s v="Kerala"/>
    <s v="Kerala"/>
    <s v="Kochi"/>
    <s v="Kochi"/>
    <s v="Technology"/>
    <x v="2"/>
    <s v="Accessories"/>
    <x v="4"/>
    <s v="Smart Accessories 388"/>
    <s v="Standard Class"/>
    <x v="3"/>
    <s v="OK"/>
    <n v="6"/>
    <n v="3872.94"/>
    <n v="0.1"/>
    <n v="0.1"/>
    <s v="OK"/>
    <n v="20913.88"/>
    <n v="11684.68"/>
    <n v="9229.2000000000007"/>
    <n v="20913.876"/>
    <n v="9229.1959999999999"/>
    <x v="277"/>
    <s v="Paid"/>
    <x v="0"/>
    <s v="OK"/>
    <s v="Completed"/>
    <x v="0"/>
    <s v="OK"/>
    <s v="INVALID"/>
    <s v="MATCH"/>
    <s v="MATCH"/>
  </r>
  <r>
    <x v="283"/>
    <n v="1"/>
    <d v="2024-09-28T00:00:00"/>
    <d v="2024-09-28T00:00:00"/>
    <x v="5"/>
    <x v="0"/>
    <s v="07/22/2025"/>
    <d v="2025-07-22T00:00:00"/>
    <n v="297"/>
    <s v="OK"/>
    <s v="CUST-2731"/>
    <s v="Kabir Singh"/>
    <s v="Kabir Singh"/>
    <s v="Home Office"/>
    <x v="3"/>
    <s v="North"/>
    <x v="0"/>
    <s v="OK"/>
    <s v="Delhi"/>
    <s v="Delhi"/>
    <s v="New Delhi"/>
    <s v="New Delhi"/>
    <s v="Technology"/>
    <x v="2"/>
    <s v="Copiers"/>
    <x v="6"/>
    <s v="Classic Copiers 143"/>
    <s v="Standard Class"/>
    <x v="3"/>
    <s v="OK"/>
    <n v="1"/>
    <n v="2233.1799999999998"/>
    <n v="0"/>
    <n v="0"/>
    <s v="OK"/>
    <n v="2233.1799999999998"/>
    <n v="1585.82"/>
    <n v="647.36"/>
    <n v="2233.1799999999998"/>
    <n v="647.3599999999999"/>
    <x v="278"/>
    <s v="Failed"/>
    <x v="3"/>
    <s v="EXCLUDE_FROM_SALES"/>
    <s v="Returned"/>
    <x v="1"/>
    <s v="RETURNED_ORDER"/>
    <s v="CLEAN"/>
    <s v="MATCH"/>
    <s v="MATCH"/>
  </r>
  <r>
    <x v="284"/>
    <n v="1"/>
    <d v="2024-07-16T00:00:00"/>
    <d v="2024-07-16T00:00:00"/>
    <x v="0"/>
    <x v="0"/>
    <s v="28 Jun 2025"/>
    <d v="2025-06-28T00:00:00"/>
    <n v="347"/>
    <s v="OK"/>
    <s v="CUST-2155"/>
    <s v="Aarav Sharma"/>
    <s v="Aarav Sharma"/>
    <s v="Home Office"/>
    <x v="3"/>
    <s v="South"/>
    <x v="2"/>
    <s v="OK"/>
    <s v="Karnataka"/>
    <s v="Karnataka"/>
    <s v="Bengaluru"/>
    <s v="Bengaluru"/>
    <s v="Technology"/>
    <x v="2"/>
    <s v="Machines"/>
    <x v="12"/>
    <s v="Prime Machines 393"/>
    <s v="Same Day"/>
    <x v="1"/>
    <s v="OK"/>
    <n v="1"/>
    <n v="1695.91"/>
    <n v="0.05"/>
    <n v="0.05"/>
    <s v="OK"/>
    <n v="1611.11"/>
    <n v="895.15"/>
    <n v="715.96"/>
    <n v="1611.1144999999999"/>
    <n v="715.96449999999993"/>
    <x v="279"/>
    <s v="Paid"/>
    <x v="0"/>
    <s v="OK"/>
    <s v="Completed"/>
    <x v="0"/>
    <s v="OK"/>
    <s v="CLEAN"/>
    <s v="MATCH"/>
    <s v="MATCH"/>
  </r>
  <r>
    <x v="285"/>
    <n v="1"/>
    <d v="2024-04-02T00:00:00"/>
    <d v="2024-04-02T00:00:00"/>
    <x v="6"/>
    <x v="0"/>
    <s v="05/26/2025"/>
    <d v="2025-05-26T00:00:00"/>
    <n v="419"/>
    <s v="OK"/>
    <s v="CUST-4653"/>
    <s v="Kabir Singh"/>
    <s v="Kabir Singh"/>
    <s v="Home Office"/>
    <x v="3"/>
    <s v="West"/>
    <x v="3"/>
    <s v="OK"/>
    <s v="Goa"/>
    <s v="Goa"/>
    <s v="Panaji"/>
    <s v="Panaji"/>
    <s v="Office Supplies"/>
    <x v="0"/>
    <s v="Paper"/>
    <x v="0"/>
    <s v="Basic Paper 315"/>
    <s v="Second Class"/>
    <x v="0"/>
    <s v="OK"/>
    <n v="2"/>
    <n v="2902.63"/>
    <n v="0"/>
    <n v="0"/>
    <s v="OK"/>
    <n v="5805.26"/>
    <n v="4654.3599999999997"/>
    <n v="1150.9000000000001"/>
    <n v="5805.26"/>
    <n v="1150.9000000000005"/>
    <x v="280"/>
    <s v="Paid"/>
    <x v="0"/>
    <s v="OK"/>
    <s v="Returned"/>
    <x v="1"/>
    <s v="RETURNED_ORDER"/>
    <s v="CLEAN"/>
    <s v="MATCH"/>
    <s v="MATCH"/>
  </r>
  <r>
    <x v="286"/>
    <n v="1"/>
    <d v="2024-11-30T00:00:00"/>
    <d v="2024-11-30T00:00:00"/>
    <x v="2"/>
    <x v="0"/>
    <s v="06-11-2024"/>
    <d v="2024-06-11T00:00:00"/>
    <n v="-172"/>
    <s v="INVALID_SHIPPING"/>
    <s v="CUST-3311"/>
    <s v="Ananya Rao"/>
    <s v="Ananya Rao"/>
    <s v="Corporate"/>
    <x v="2"/>
    <s v="West"/>
    <x v="3"/>
    <s v="OK"/>
    <s v="Gujarat"/>
    <s v="Gujarat"/>
    <s v="Ahmedabad"/>
    <s v="Ahmedabad"/>
    <s v="Furniture"/>
    <x v="1"/>
    <s v="Chairs"/>
    <x v="10"/>
    <s v="Basic Chairs 333"/>
    <s v="First Class"/>
    <x v="2"/>
    <s v="OK"/>
    <n v="9"/>
    <n v="4207.3599999999997"/>
    <n v="0.1"/>
    <n v="0.1"/>
    <s v="OK"/>
    <n v="34079.620000000003"/>
    <n v="21871.39"/>
    <n v="12208.23"/>
    <n v="34079.616000000002"/>
    <n v="12208.226000000002"/>
    <x v="281"/>
    <s v="Paid"/>
    <x v="0"/>
    <s v="OK"/>
    <s v="Completed"/>
    <x v="0"/>
    <s v="OK"/>
    <s v="INVALID"/>
    <s v="MATCH"/>
    <s v="MATCH"/>
  </r>
  <r>
    <x v="287"/>
    <n v="1"/>
    <d v="2024-10-17T00:00:00"/>
    <d v="2024-10-17T00:00:00"/>
    <x v="7"/>
    <x v="0"/>
    <s v="2025-01-26"/>
    <d v="2025-01-26T00:00:00"/>
    <n v="101"/>
    <s v="OK"/>
    <s v="CUST-2924"/>
    <s v="Priya Menon"/>
    <s v="Priya Menon"/>
    <s v="Home Office"/>
    <x v="3"/>
    <s v="East"/>
    <x v="1"/>
    <s v="OK"/>
    <s v="West Bengal"/>
    <s v="West Bengal"/>
    <s v="Kolkata"/>
    <s v="Kolkata"/>
    <s v="Furniture"/>
    <x v="1"/>
    <s v="Chairs"/>
    <x v="10"/>
    <s v="Prime Chairs 215"/>
    <s v="Standard Class"/>
    <x v="3"/>
    <s v="OK"/>
    <n v="5"/>
    <n v="2524.4"/>
    <n v="0.1"/>
    <n v="0.1"/>
    <s v="OK"/>
    <n v="11359.8"/>
    <n v="7062.44"/>
    <n v="4297.3599999999997"/>
    <n v="11359.800000000001"/>
    <n v="4297.3600000000015"/>
    <x v="282"/>
    <s v="Paid"/>
    <x v="0"/>
    <s v="OK"/>
    <s v="Completed"/>
    <x v="0"/>
    <s v="OK"/>
    <s v="CLEAN"/>
    <s v="MATCH"/>
    <s v="MATCH"/>
  </r>
  <r>
    <x v="288"/>
    <n v="1"/>
    <d v="2024-07-10T00:00:00"/>
    <d v="2024-07-10T00:00:00"/>
    <x v="0"/>
    <x v="0"/>
    <s v="2024-11-12"/>
    <d v="2024-11-12T00:00:00"/>
    <n v="125"/>
    <s v="OK"/>
    <s v="CUST-2390"/>
    <s v="Diya Patel"/>
    <s v="Diya Patel"/>
    <s v="Consumer"/>
    <x v="0"/>
    <s v="South"/>
    <x v="2"/>
    <s v="OK"/>
    <s v="Tamil Nadu"/>
    <s v="Tamil Nadu"/>
    <s v="Chennai"/>
    <s v="Chennai"/>
    <s v="Office Supplies"/>
    <x v="0"/>
    <s v="Binders"/>
    <x v="11"/>
    <s v="Eco Binders 855"/>
    <s v="Standard Class"/>
    <x v="3"/>
    <s v="OK"/>
    <n v="9"/>
    <n v="3457.09"/>
    <n v="0.05"/>
    <n v="0.05"/>
    <s v="OK"/>
    <n v="29558.12"/>
    <n v="21302.13"/>
    <n v="8255.99"/>
    <n v="29558.119500000001"/>
    <n v="8255.9894999999997"/>
    <x v="283"/>
    <s v="Pending"/>
    <x v="1"/>
    <s v="OK"/>
    <s v="Returned"/>
    <x v="1"/>
    <s v="RETURNED_ORDER"/>
    <s v="CLEAN"/>
    <s v="MATCH"/>
    <s v="MATCH"/>
  </r>
  <r>
    <x v="289"/>
    <n v="1"/>
    <d v="2024-06-02T00:00:00"/>
    <d v="2024-06-02T00:00:00"/>
    <x v="8"/>
    <x v="0"/>
    <s v="04/23/2024"/>
    <d v="2024-04-23T00:00:00"/>
    <n v="-40"/>
    <s v="INVALID_SHIPPING"/>
    <s v="CUST-3362"/>
    <s v="Karan Malhotra"/>
    <s v="Karan Malhotra"/>
    <s v="Consumer"/>
    <x v="0"/>
    <s v="East"/>
    <x v="1"/>
    <s v="OK"/>
    <s v="Jharkhand"/>
    <s v="Jharkhand"/>
    <s v="Ranchi"/>
    <s v="Ranchi"/>
    <s v="Furniture"/>
    <x v="1"/>
    <s v="Bookcases"/>
    <x v="9"/>
    <s v="Classic Bookcases 947"/>
    <s v="Second Class"/>
    <x v="0"/>
    <s v="OK"/>
    <n v="9"/>
    <n v="1822.25"/>
    <n v="0"/>
    <n v="0"/>
    <s v="OK"/>
    <n v="16400.25"/>
    <n v="12146.96"/>
    <n v="4253.29"/>
    <n v="16400.25"/>
    <n v="4253.2900000000009"/>
    <x v="284"/>
    <s v="Paid"/>
    <x v="0"/>
    <s v="OK"/>
    <s v="Completed"/>
    <x v="0"/>
    <s v="OK"/>
    <s v="INVALID"/>
    <s v="MATCH"/>
    <s v="MATCH"/>
  </r>
  <r>
    <x v="290"/>
    <n v="1"/>
    <d v="2024-01-08T00:00:00"/>
    <d v="2024-01-08T00:00:00"/>
    <x v="9"/>
    <x v="0"/>
    <s v="01-06-2025"/>
    <d v="2025-01-06T00:00:00"/>
    <n v="364"/>
    <s v="OK"/>
    <s v="CUST-6357"/>
    <s v="Diya Patel"/>
    <s v="Diya Patel"/>
    <s v="Small Business"/>
    <x v="1"/>
    <s v="West"/>
    <x v="3"/>
    <s v="OK"/>
    <s v="Maharashtra"/>
    <s v="Maharashtra"/>
    <s v="Mumbai"/>
    <s v="Mumbai"/>
    <s v="Office Supplies"/>
    <x v="0"/>
    <s v="Storage"/>
    <x v="7"/>
    <s v="Pro Storage 364"/>
    <m/>
    <x v="4"/>
    <s v="MISSING_SHIP_MODE"/>
    <n v="1"/>
    <n v="442.97"/>
    <n v="0.1"/>
    <n v="0.1"/>
    <s v="OK"/>
    <n v="398.67"/>
    <n v="311.66000000000003"/>
    <n v="87.01"/>
    <n v="398.67300000000006"/>
    <n v="87.013000000000034"/>
    <x v="285"/>
    <s v="Paid"/>
    <x v="0"/>
    <s v="OK"/>
    <s v="Completed"/>
    <x v="0"/>
    <s v="OK"/>
    <s v="WARNING"/>
    <s v="MATCH"/>
    <s v="MATCH"/>
  </r>
  <r>
    <x v="291"/>
    <n v="1"/>
    <d v="2024-08-25T00:00:00"/>
    <d v="2024-08-25T00:00:00"/>
    <x v="1"/>
    <x v="0"/>
    <s v="2025-06-12"/>
    <d v="2025-06-12T00:00:00"/>
    <n v="291"/>
    <s v="OK"/>
    <s v="CUST-4487"/>
    <s v="Isha Nair"/>
    <s v="Isha Nair"/>
    <s v="Home Office"/>
    <x v="3"/>
    <s v="North"/>
    <x v="0"/>
    <s v="OK"/>
    <s v="Rajasthan"/>
    <s v="Rajasthan"/>
    <s v="Jaipur"/>
    <s v="Jaipur"/>
    <s v="Furniture"/>
    <x v="1"/>
    <s v="Tables"/>
    <x v="1"/>
    <s v="Smart Tables 659"/>
    <s v="Same Day"/>
    <x v="1"/>
    <s v="OK"/>
    <n v="6"/>
    <n v="481.3"/>
    <n v="0.25"/>
    <n v="0.25"/>
    <s v="OK"/>
    <n v="2165.85"/>
    <n v="2124.48"/>
    <n v="430.45"/>
    <n v="2165.8500000000004"/>
    <n v="41.370000000000346"/>
    <x v="286"/>
    <s v="Paid"/>
    <x v="0"/>
    <s v="OK"/>
    <s v="Completed"/>
    <x v="0"/>
    <s v="OK"/>
    <s v="CLEAN"/>
    <s v="MATCH"/>
    <s v="MISMATCH"/>
  </r>
  <r>
    <x v="292"/>
    <n v="1"/>
    <d v="2024-05-19T00:00:00"/>
    <d v="2024-05-19T00:00:00"/>
    <x v="3"/>
    <x v="0"/>
    <s v="28-06-2024"/>
    <d v="2024-06-28T00:00:00"/>
    <n v="40"/>
    <s v="OK"/>
    <s v="CUST-1729"/>
    <s v="Diya Patel"/>
    <s v="Diya Patel"/>
    <s v="Small Business"/>
    <x v="1"/>
    <s v="West"/>
    <x v="3"/>
    <s v="OK"/>
    <s v="Maharashtra"/>
    <s v="Maharashtra"/>
    <s v="Mumbai"/>
    <s v="Mumbai"/>
    <s v="Technology"/>
    <x v="2"/>
    <s v="Copiers"/>
    <x v="6"/>
    <s v="Eco Copiers 243"/>
    <s v="First Class"/>
    <x v="2"/>
    <s v="OK"/>
    <n v="3"/>
    <n v="4000.98"/>
    <n v="0.2"/>
    <n v="0.2"/>
    <s v="OK"/>
    <n v="9602.35"/>
    <n v="7387.57"/>
    <n v="2214.7800000000002"/>
    <n v="9602.3520000000008"/>
    <n v="2214.7820000000011"/>
    <x v="287"/>
    <s v="Paid"/>
    <x v="0"/>
    <s v="OK"/>
    <s v="Completed"/>
    <x v="0"/>
    <s v="OK"/>
    <s v="CLEAN"/>
    <s v="MATCH"/>
    <s v="MATCH"/>
  </r>
  <r>
    <x v="293"/>
    <n v="1"/>
    <d v="2024-01-22T00:00:00"/>
    <d v="2024-01-22T00:00:00"/>
    <x v="9"/>
    <x v="0"/>
    <s v="2024-03-13"/>
    <d v="2024-03-13T00:00:00"/>
    <n v="51"/>
    <s v="OK"/>
    <s v="CUST-1370"/>
    <s v="Ananya Rao"/>
    <s v="Ananya Rao"/>
    <s v="Small Business"/>
    <x v="1"/>
    <s v="North"/>
    <x v="0"/>
    <s v="OK"/>
    <s v="Haryana"/>
    <s v="Haryana"/>
    <s v="Gurugram"/>
    <s v="Gurugram"/>
    <s v="Office Supplies"/>
    <x v="0"/>
    <s v="Art"/>
    <x v="2"/>
    <s v="Classic Art 772"/>
    <s v="Same Day"/>
    <x v="1"/>
    <s v="OK"/>
    <n v="3"/>
    <n v="676.37"/>
    <n v="0.05"/>
    <n v="0.05"/>
    <s v="OK"/>
    <n v="1927.65"/>
    <n v="1460.6"/>
    <n v="467.05"/>
    <n v="1927.6545000000001"/>
    <n v="467.05450000000019"/>
    <x v="288"/>
    <s v="Failed"/>
    <x v="3"/>
    <s v="EXCLUDE_FROM_SALES"/>
    <s v="Cancelled"/>
    <x v="2"/>
    <s v="EXCLUDE_FROM_SALES"/>
    <s v="CLEAN"/>
    <s v="MATCH"/>
    <s v="MATCH"/>
  </r>
  <r>
    <x v="294"/>
    <n v="1"/>
    <d v="2024-09-25T00:00:00"/>
    <d v="2024-09-25T00:00:00"/>
    <x v="5"/>
    <x v="0"/>
    <s v="05/02/2024"/>
    <d v="2024-05-02T00:00:00"/>
    <n v="-146"/>
    <s v="INVALID_SHIPPING"/>
    <s v="CUST-5381"/>
    <s v="Diya Patel"/>
    <s v="Diya Patel"/>
    <s v="Small Business"/>
    <x v="1"/>
    <s v="East"/>
    <x v="1"/>
    <s v="OK"/>
    <s v="Jharkhand"/>
    <s v="Jharkhand"/>
    <s v="Ranchi"/>
    <s v="Ranchi"/>
    <s v="Furniture"/>
    <x v="1"/>
    <s v="Tables"/>
    <x v="1"/>
    <s v="Elite Tables 888"/>
    <s v="Second Class"/>
    <x v="0"/>
    <s v="OK"/>
    <n v="9"/>
    <n v="3908.6"/>
    <n v="0.15"/>
    <n v="0.15"/>
    <s v="OK"/>
    <n v="29900.79"/>
    <n v="24650.67"/>
    <n v="5250.12"/>
    <n v="29900.79"/>
    <n v="5250.1200000000026"/>
    <x v="289"/>
    <s v="Paid"/>
    <x v="0"/>
    <s v="OK"/>
    <s v="Completed"/>
    <x v="0"/>
    <s v="OK"/>
    <s v="INVALID"/>
    <s v="MATCH"/>
    <s v="MATCH"/>
  </r>
  <r>
    <x v="295"/>
    <n v="1"/>
    <d v="2024-02-26T00:00:00"/>
    <d v="2024-02-26T00:00:00"/>
    <x v="11"/>
    <x v="0"/>
    <s v="2025-02-23"/>
    <d v="2025-02-23T00:00:00"/>
    <n v="363"/>
    <s v="OK"/>
    <s v="CUST-7563"/>
    <s v="Kabir Singh"/>
    <s v="Kabir Singh"/>
    <s v="Consumer"/>
    <x v="0"/>
    <s v="West"/>
    <x v="3"/>
    <s v="OK"/>
    <s v="Gujarat"/>
    <s v="Gujarat"/>
    <s v="Ahmedabad"/>
    <s v="Ahmedabad"/>
    <s v="Furniture"/>
    <x v="1"/>
    <s v="Furnishings"/>
    <x v="3"/>
    <s v="Basic Furnishings 350"/>
    <s v="Standard Class"/>
    <x v="3"/>
    <s v="OK"/>
    <n v="7"/>
    <n v="3852.07"/>
    <n v="0.2"/>
    <n v="0.2"/>
    <s v="OK"/>
    <n v="21571.59"/>
    <n v="17118.07"/>
    <n v="4453.5200000000004"/>
    <n v="21571.592000000004"/>
    <n v="4453.5220000000045"/>
    <x v="290"/>
    <s v="Paid"/>
    <x v="0"/>
    <s v="OK"/>
    <s v="Completed"/>
    <x v="0"/>
    <s v="OK"/>
    <s v="CLEAN"/>
    <s v="MATCH"/>
    <s v="MATCH"/>
  </r>
  <r>
    <x v="296"/>
    <n v="1"/>
    <d v="2024-09-17T00:00:00"/>
    <d v="2024-09-17T00:00:00"/>
    <x v="5"/>
    <x v="0"/>
    <s v="19 Jul 2025"/>
    <d v="2025-07-19T00:00:00"/>
    <n v="305"/>
    <s v="OK"/>
    <s v="CUST-9376"/>
    <s v="Rahul Verma"/>
    <s v="Rahul Verma"/>
    <s v="Home Office"/>
    <x v="3"/>
    <s v="South"/>
    <x v="2"/>
    <s v="OK"/>
    <s v="Kerala"/>
    <s v="Kerala"/>
    <s v="Kochi"/>
    <s v="Kochi"/>
    <s v="Furniture"/>
    <x v="1"/>
    <s v="Bookcases"/>
    <x v="9"/>
    <s v="Eco Bookcases 759"/>
    <s v="Second Class"/>
    <x v="0"/>
    <s v="OK"/>
    <n v="3"/>
    <n v="4067.62"/>
    <n v="0.2"/>
    <n v="0.2"/>
    <s v="OK"/>
    <n v="9988.5300000000007"/>
    <n v="8368.24"/>
    <n v="1394.05"/>
    <n v="9762.2880000000005"/>
    <n v="1394.0480000000007"/>
    <x v="291"/>
    <s v="Paid"/>
    <x v="0"/>
    <s v="OK"/>
    <s v="Cancelled"/>
    <x v="2"/>
    <s v="EXCLUDE_FROM_SALES"/>
    <s v="CLEAN"/>
    <s v="MISMATCH"/>
    <s v="MATCH"/>
  </r>
  <r>
    <x v="297"/>
    <n v="1"/>
    <d v="2024-07-14T00:00:00"/>
    <d v="2024-07-14T00:00:00"/>
    <x v="0"/>
    <x v="0"/>
    <s v="2025-06-19"/>
    <d v="2025-06-19T00:00:00"/>
    <n v="340"/>
    <s v="OK"/>
    <s v="CUST-9094"/>
    <s v="Mira Das"/>
    <s v="Mira Das"/>
    <s v="Consumer"/>
    <x v="0"/>
    <s v="East"/>
    <x v="1"/>
    <s v="OK"/>
    <s v="Bihar"/>
    <s v="Bihar"/>
    <s v="Patna"/>
    <s v="Patna"/>
    <s v="Technology"/>
    <x v="2"/>
    <s v="Copiers"/>
    <x v="6"/>
    <s v="Max Copiers 440"/>
    <s v="Same Day"/>
    <x v="1"/>
    <s v="OK"/>
    <n v="1"/>
    <n v="492.67"/>
    <n v="0.15"/>
    <n v="0.15"/>
    <s v="OK"/>
    <n v="418.77"/>
    <n v="313.72000000000003"/>
    <n v="105.05"/>
    <n v="418.76949999999999"/>
    <n v="105.04949999999997"/>
    <x v="292"/>
    <s v="Paid"/>
    <x v="0"/>
    <s v="OK"/>
    <s v="Completed"/>
    <x v="0"/>
    <s v="OK"/>
    <s v="CLEAN"/>
    <s v="MATCH"/>
    <s v="MATCH"/>
  </r>
  <r>
    <x v="298"/>
    <n v="1"/>
    <d v="2024-05-27T00:00:00"/>
    <d v="2024-05-27T00:00:00"/>
    <x v="3"/>
    <x v="0"/>
    <s v="2024-07-22"/>
    <d v="2024-07-22T00:00:00"/>
    <n v="56"/>
    <s v="OK"/>
    <s v="CUST-7168"/>
    <s v="Kabir Singh"/>
    <s v="Kabir Singh"/>
    <s v="Small Business"/>
    <x v="1"/>
    <s v="East"/>
    <x v="1"/>
    <s v="OK"/>
    <s v="Jharkhand"/>
    <s v="Jharkhand"/>
    <s v="Ranchi"/>
    <s v="Ranchi"/>
    <s v="Office Supplies"/>
    <x v="0"/>
    <s v="Storage"/>
    <x v="7"/>
    <s v="Classic Storage 755"/>
    <s v="Same Day"/>
    <x v="1"/>
    <s v="OK"/>
    <n v="7"/>
    <n v="2900.86"/>
    <n v="0.15"/>
    <n v="0.15"/>
    <s v="OK"/>
    <n v="17260.12"/>
    <n v="13513.51"/>
    <n v="3746.61"/>
    <n v="17260.116999999998"/>
    <n v="3746.6069999999982"/>
    <x v="293"/>
    <s v="Paid"/>
    <x v="0"/>
    <s v="OK"/>
    <s v="Completed"/>
    <x v="0"/>
    <s v="OK"/>
    <s v="CLEAN"/>
    <s v="MATCH"/>
    <s v="MATCH"/>
  </r>
  <r>
    <x v="299"/>
    <n v="1"/>
    <d v="2024-05-16T00:00:00"/>
    <d v="2024-05-16T00:00:00"/>
    <x v="3"/>
    <x v="0"/>
    <s v="08-07-2024"/>
    <d v="2024-08-07T00:00:00"/>
    <n v="83"/>
    <s v="OK"/>
    <s v="CUST-9146"/>
    <s v="Neha Gupta"/>
    <s v="Neha Gupta"/>
    <s v="Small Business"/>
    <x v="1"/>
    <s v="North"/>
    <x v="0"/>
    <s v="OK"/>
    <s v="Uttar Pradesh"/>
    <s v="Uttar Pradesh"/>
    <s v="Noida"/>
    <s v="Noida"/>
    <s v="Technology"/>
    <x v="2"/>
    <s v="Copiers"/>
    <x v="6"/>
    <s v="Max Copiers 607"/>
    <s v="Standard Class"/>
    <x v="3"/>
    <s v="OK"/>
    <n v="9"/>
    <n v="3722.09"/>
    <n v="0.1"/>
    <n v="0.1"/>
    <s v="OK"/>
    <n v="30148.93"/>
    <n v="25155.07"/>
    <n v="4993.8599999999997"/>
    <n v="30148.929"/>
    <n v="4993.8590000000004"/>
    <x v="294"/>
    <s v="Paid"/>
    <x v="0"/>
    <s v="OK"/>
    <s v="Completed"/>
    <x v="0"/>
    <s v="OK"/>
    <s v="CLEAN"/>
    <s v="MATCH"/>
    <s v="MATCH"/>
  </r>
  <r>
    <x v="300"/>
    <n v="1"/>
    <d v="2024-05-29T00:00:00"/>
    <d v="2024-05-29T00:00:00"/>
    <x v="3"/>
    <x v="0"/>
    <s v="02-05-2024"/>
    <d v="2024-02-05T00:00:00"/>
    <n v="-114"/>
    <s v="INVALID_SHIPPING"/>
    <s v="CUST-5129"/>
    <s v="Rohan Mehta"/>
    <s v="Rohan Mehta"/>
    <s v="Corporate"/>
    <x v="2"/>
    <s v="East"/>
    <x v="1"/>
    <s v="OK"/>
    <s v="Bihar"/>
    <s v="Bihar"/>
    <s v="Patna"/>
    <s v="Patna"/>
    <s v="Furniture"/>
    <x v="1"/>
    <s v="Bookcases"/>
    <x v="9"/>
    <s v="Prime Bookcases 402"/>
    <s v="Same Day"/>
    <x v="1"/>
    <s v="OK"/>
    <n v="1"/>
    <n v="1072.01"/>
    <n v="0"/>
    <n v="0"/>
    <s v="OK"/>
    <n v="1072.01"/>
    <n v="852.62"/>
    <n v="219.39"/>
    <n v="1072.01"/>
    <n v="219.39"/>
    <x v="295"/>
    <s v="Pending"/>
    <x v="1"/>
    <s v="OK"/>
    <s v="Cancelled"/>
    <x v="2"/>
    <s v="EXCLUDE_FROM_SALES"/>
    <s v="INVALID"/>
    <s v="MATCH"/>
    <s v="MATCH"/>
  </r>
  <r>
    <x v="301"/>
    <n v="1"/>
    <d v="2024-08-02T00:00:00"/>
    <d v="2024-08-02T00:00:00"/>
    <x v="1"/>
    <x v="0"/>
    <s v="04-08-2024"/>
    <d v="2024-04-08T00:00:00"/>
    <n v="-116"/>
    <s v="INVALID_SHIPPING"/>
    <s v="CUST-8687"/>
    <s v="Mira Das"/>
    <s v="Mira Das"/>
    <s v="Home Office"/>
    <x v="3"/>
    <s v="East"/>
    <x v="1"/>
    <s v="OK"/>
    <s v="Odisha"/>
    <s v="Odisha"/>
    <s v="Bhubaneswar"/>
    <s v="Bhubaneswar"/>
    <s v="Technology"/>
    <x v="2"/>
    <s v="Accessories"/>
    <x v="4"/>
    <s v="Max Accessories 591"/>
    <s v="Standard Class"/>
    <x v="3"/>
    <s v="OK"/>
    <n v="6"/>
    <n v="2126.44"/>
    <n v="0.2"/>
    <n v="0.2"/>
    <s v="OK"/>
    <n v="10206.91"/>
    <n v="6764.53"/>
    <n v="3442.38"/>
    <n v="10206.912"/>
    <n v="3442.3820000000005"/>
    <x v="296"/>
    <s v="Paid"/>
    <x v="0"/>
    <s v="OK"/>
    <s v="Completed"/>
    <x v="0"/>
    <s v="OK"/>
    <s v="INVALID"/>
    <s v="MATCH"/>
    <s v="MATCH"/>
  </r>
  <r>
    <x v="302"/>
    <n v="1"/>
    <d v="2024-02-27T00:00:00"/>
    <d v="2024-02-27T00:00:00"/>
    <x v="11"/>
    <x v="0"/>
    <s v="31-05-2025"/>
    <d v="2025-05-31T00:00:00"/>
    <n v="459"/>
    <s v="OK"/>
    <s v="CUST-8172"/>
    <s v="Sneha Kapoor"/>
    <s v="Sneha Kapoor"/>
    <s v="Consumer"/>
    <x v="0"/>
    <s v="East"/>
    <x v="1"/>
    <s v="OK"/>
    <s v="Jharkhand"/>
    <s v="Jharkhand"/>
    <s v="Ranchi"/>
    <s v="Ranchi"/>
    <s v="Furniture"/>
    <x v="1"/>
    <s v="Chairs"/>
    <x v="10"/>
    <s v="Elite Chairs 314"/>
    <s v="Second Class"/>
    <x v="0"/>
    <s v="OK"/>
    <n v="3"/>
    <n v="3148.09"/>
    <n v="0.15"/>
    <n v="0.15"/>
    <s v="OK"/>
    <n v="8027.63"/>
    <n v="5496.09"/>
    <n v="2531.54"/>
    <n v="8027.6295"/>
    <n v="2531.5394999999999"/>
    <x v="297"/>
    <s v="Paid"/>
    <x v="0"/>
    <s v="OK"/>
    <s v="Completed"/>
    <x v="0"/>
    <s v="OK"/>
    <s v="CLEAN"/>
    <s v="MATCH"/>
    <s v="MATCH"/>
  </r>
  <r>
    <x v="303"/>
    <n v="1"/>
    <d v="2024-12-10T00:00:00"/>
    <d v="2024-12-10T00:00:00"/>
    <x v="4"/>
    <x v="0"/>
    <s v="20 May 2025"/>
    <d v="2025-05-20T00:00:00"/>
    <n v="161"/>
    <s v="OK"/>
    <s v="CUST-2126"/>
    <s v="Arjun Bose"/>
    <s v="Arjun Bose"/>
    <s v="Consumer"/>
    <x v="0"/>
    <m/>
    <x v="4"/>
    <s v="MISSING_REGION"/>
    <s v="Jharkhand"/>
    <s v="Jharkhand"/>
    <s v="Ranchi"/>
    <s v="Ranchi"/>
    <s v="Furniture"/>
    <x v="1"/>
    <s v="Furnishings"/>
    <x v="3"/>
    <s v="Prime Furnishings 892"/>
    <s v="Standard Class"/>
    <x v="3"/>
    <s v="OK"/>
    <n v="4"/>
    <n v="1071.22"/>
    <n v="0.05"/>
    <n v="0.05"/>
    <s v="OK"/>
    <n v="4070.64"/>
    <n v="2831.62"/>
    <n v="1239.02"/>
    <n v="4070.636"/>
    <n v="1239.0160000000001"/>
    <x v="298"/>
    <s v="Paid"/>
    <x v="0"/>
    <s v="OK"/>
    <s v="Completed"/>
    <x v="0"/>
    <s v="OK"/>
    <s v="WARNING"/>
    <s v="MATCH"/>
    <s v="MATCH"/>
  </r>
  <r>
    <x v="304"/>
    <n v="1"/>
    <d v="2024-06-23T00:00:00"/>
    <d v="2024-06-23T00:00:00"/>
    <x v="8"/>
    <x v="0"/>
    <s v="2024-07-08"/>
    <d v="2024-07-08T00:00:00"/>
    <n v="15"/>
    <s v="OK"/>
    <s v="CUST-1992"/>
    <s v="Neha Gupta"/>
    <s v="Neha Gupta"/>
    <s v="Consumer"/>
    <x v="0"/>
    <s v="North"/>
    <x v="0"/>
    <s v="OK"/>
    <s v="Haryana"/>
    <s v="Haryana"/>
    <s v="Gurugram"/>
    <s v="Gurugram"/>
    <s v="Furniture"/>
    <x v="1"/>
    <s v="Tables"/>
    <x v="1"/>
    <s v="Classic Tables 769"/>
    <s v="First Class"/>
    <x v="2"/>
    <s v="OK"/>
    <n v="1"/>
    <n v="4426.66"/>
    <n v="0"/>
    <n v="0"/>
    <s v="OK"/>
    <n v="4426.66"/>
    <n v="3035.2"/>
    <n v="1816.23"/>
    <n v="4426.66"/>
    <n v="1391.46"/>
    <x v="299"/>
    <s v="Paid"/>
    <x v="0"/>
    <s v="OK"/>
    <s v="Returned"/>
    <x v="1"/>
    <s v="RETURNED_ORDER"/>
    <s v="CLEAN"/>
    <s v="MATCH"/>
    <s v="MISMATCH"/>
  </r>
  <r>
    <x v="305"/>
    <n v="1"/>
    <d v="2024-08-05T00:00:00"/>
    <d v="2024-08-05T00:00:00"/>
    <x v="1"/>
    <x v="0"/>
    <s v="02/18/2024"/>
    <d v="2024-02-18T00:00:00"/>
    <n v="-169"/>
    <s v="INVALID_SHIPPING"/>
    <s v="CUST-8848"/>
    <s v="Vikram Iyer"/>
    <s v="Vikram Iyer"/>
    <s v="Home Office"/>
    <x v="3"/>
    <s v="North"/>
    <x v="0"/>
    <s v="OK"/>
    <s v="Haryana"/>
    <s v="Haryana"/>
    <s v="Gurugram"/>
    <s v="Gurugram"/>
    <s v="Technology"/>
    <x v="2"/>
    <s v="Phones"/>
    <x v="8"/>
    <s v="Prime Phones 503"/>
    <s v="First Class"/>
    <x v="2"/>
    <s v="OK"/>
    <n v="9"/>
    <n v="3769.46"/>
    <n v="0.05"/>
    <n v="0.05"/>
    <s v="OK"/>
    <n v="32228.880000000001"/>
    <n v="24971.360000000001"/>
    <n v="7257.52"/>
    <n v="32228.882999999998"/>
    <n v="7257.5229999999974"/>
    <x v="300"/>
    <s v="Paid"/>
    <x v="0"/>
    <s v="OK"/>
    <s v="Cancelled"/>
    <x v="2"/>
    <s v="EXCLUDE_FROM_SALES"/>
    <s v="INVALID"/>
    <s v="MATCH"/>
    <s v="MATCH"/>
  </r>
  <r>
    <x v="306"/>
    <n v="1"/>
    <d v="2024-01-16T00:00:00"/>
    <d v="2024-01-16T00:00:00"/>
    <x v="9"/>
    <x v="0"/>
    <s v="04 Sep 2025"/>
    <d v="2025-09-04T00:00:00"/>
    <n v="597"/>
    <s v="OK"/>
    <s v="CUST-9333"/>
    <s v="Arjun Bose"/>
    <s v="Arjun Bose"/>
    <s v="Consumer"/>
    <x v="0"/>
    <s v="West"/>
    <x v="3"/>
    <s v="OK"/>
    <s v="Goa"/>
    <s v="Goa"/>
    <s v="Panaji"/>
    <s v="Panaji"/>
    <s v="Office Supplies"/>
    <x v="0"/>
    <s v="Storage"/>
    <x v="7"/>
    <s v="Smart Storage 767"/>
    <s v="Standard Class"/>
    <x v="3"/>
    <s v="OK"/>
    <n v="4"/>
    <n v="282.52999999999997"/>
    <n v="0"/>
    <n v="0"/>
    <s v="OK"/>
    <n v="1130.1199999999999"/>
    <n v="848.62"/>
    <n v="281.5"/>
    <n v="1130.1199999999999"/>
    <n v="281.49999999999989"/>
    <x v="301"/>
    <s v="Paid"/>
    <x v="0"/>
    <s v="OK"/>
    <s v="Cancelled"/>
    <x v="2"/>
    <s v="EXCLUDE_FROM_SALES"/>
    <s v="CLEAN"/>
    <s v="MATCH"/>
    <s v="MATCH"/>
  </r>
  <r>
    <x v="307"/>
    <n v="1"/>
    <d v="2024-10-05T00:00:00"/>
    <d v="2024-10-05T00:00:00"/>
    <x v="7"/>
    <x v="0"/>
    <s v="30-04-2024"/>
    <d v="2024-04-30T00:00:00"/>
    <n v="-158"/>
    <s v="INVALID_SHIPPING"/>
    <s v="CUST-8622"/>
    <s v="Karan Malhotra"/>
    <s v="Karan Malhotra"/>
    <s v="Consumer"/>
    <x v="0"/>
    <s v="North"/>
    <x v="0"/>
    <s v="OK"/>
    <s v="Punjab"/>
    <s v="Punjab"/>
    <s v="Ludhiana"/>
    <s v="Ludhiana"/>
    <s v="Office Supplies"/>
    <x v="0"/>
    <s v="Binders"/>
    <x v="11"/>
    <s v="Elite Binders 143"/>
    <s v="Same Day"/>
    <x v="1"/>
    <s v="OK"/>
    <n v="7"/>
    <n v="121.54"/>
    <n v="0.2"/>
    <n v="0.2"/>
    <s v="OK"/>
    <n v="680.62"/>
    <n v="463.49"/>
    <n v="217.13"/>
    <n v="680.62400000000014"/>
    <n v="217.13400000000013"/>
    <x v="302"/>
    <s v="Failed"/>
    <x v="3"/>
    <s v="EXCLUDE_FROM_SALES"/>
    <s v="Returned"/>
    <x v="1"/>
    <s v="RETURNED_ORDER"/>
    <s v="INVALID"/>
    <s v="MATCH"/>
    <s v="MATCH"/>
  </r>
  <r>
    <x v="308"/>
    <n v="1"/>
    <d v="2024-06-05T00:00:00"/>
    <d v="2024-06-05T00:00:00"/>
    <x v="8"/>
    <x v="0"/>
    <s v="08/25/2024"/>
    <d v="2024-08-25T00:00:00"/>
    <n v="81"/>
    <s v="OK"/>
    <s v="CUST-8776"/>
    <s v="Arjun Bose"/>
    <s v="Arjun Bose"/>
    <s v="Corporate"/>
    <x v="2"/>
    <s v="West"/>
    <x v="3"/>
    <s v="OK"/>
    <s v="Goa"/>
    <s v="Goa"/>
    <s v="Panaji"/>
    <s v="Panaji"/>
    <s v="Furniture"/>
    <x v="1"/>
    <s v="Tables"/>
    <x v="1"/>
    <s v="Classic Tables 560"/>
    <s v="Standard Class"/>
    <x v="3"/>
    <s v="OK"/>
    <n v="9"/>
    <n v="790.97"/>
    <n v="0.2"/>
    <n v="0.2"/>
    <s v="OK"/>
    <n v="5694.98"/>
    <n v="4618.33"/>
    <n v="1076.6500000000001"/>
    <n v="5694.9840000000004"/>
    <n v="1076.6540000000005"/>
    <x v="303"/>
    <s v="Pending"/>
    <x v="1"/>
    <s v="OK"/>
    <s v="Cancelled"/>
    <x v="2"/>
    <s v="EXCLUDE_FROM_SALES"/>
    <s v="CLEAN"/>
    <s v="MATCH"/>
    <s v="MATCH"/>
  </r>
  <r>
    <x v="309"/>
    <n v="1"/>
    <d v="2024-10-11T00:00:00"/>
    <d v="2024-10-11T00:00:00"/>
    <x v="7"/>
    <x v="0"/>
    <s v="12/06/2024"/>
    <d v="2024-12-06T00:00:00"/>
    <n v="56"/>
    <s v="OK"/>
    <s v="CUST-9100"/>
    <s v="Sneha Kapoor"/>
    <s v="Sneha Kapoor"/>
    <s v="Corporate"/>
    <x v="2"/>
    <s v="South"/>
    <x v="2"/>
    <s v="OK"/>
    <s v="Andhra Pradesh"/>
    <s v="Andhra Pradesh"/>
    <s v="Vijayawada"/>
    <s v="Vijayawada"/>
    <s v="Furniture"/>
    <x v="1"/>
    <s v="Tables"/>
    <x v="1"/>
    <s v="Basic Tables 759"/>
    <s v="First Class"/>
    <x v="2"/>
    <s v="OK"/>
    <n v="2"/>
    <n v="921.34"/>
    <n v="0.2"/>
    <n v="0.2"/>
    <s v="OK"/>
    <n v="1474.14"/>
    <n v="968.46"/>
    <n v="505.68"/>
    <n v="1474.1440000000002"/>
    <n v="505.6840000000002"/>
    <x v="304"/>
    <s v="Paid"/>
    <x v="0"/>
    <s v="OK"/>
    <s v="Completed"/>
    <x v="0"/>
    <s v="OK"/>
    <s v="CLEAN"/>
    <s v="MATCH"/>
    <s v="MATCH"/>
  </r>
  <r>
    <x v="310"/>
    <n v="1"/>
    <d v="2024-11-08T00:00:00"/>
    <d v="2024-11-08T00:00:00"/>
    <x v="2"/>
    <x v="0"/>
    <s v="30 Jun 2024"/>
    <d v="2024-06-30T00:00:00"/>
    <n v="-131"/>
    <s v="INVALID_SHIPPING"/>
    <s v="CUST-5246"/>
    <s v="Sneha Kapoor"/>
    <s v="Sneha Kapoor"/>
    <s v="Small Business"/>
    <x v="1"/>
    <s v="West"/>
    <x v="3"/>
    <s v="OK"/>
    <s v="Maharashtra"/>
    <s v="Maharashtra"/>
    <s v="Mumbai"/>
    <s v="Mumbai"/>
    <s v="Office Supplies"/>
    <x v="0"/>
    <s v="Paper"/>
    <x v="0"/>
    <s v="Smart Paper 807"/>
    <s v="Same Day"/>
    <x v="1"/>
    <s v="OK"/>
    <n v="2"/>
    <n v="2617.89"/>
    <n v="0.1"/>
    <n v="0.1"/>
    <s v="OK"/>
    <n v="4712.2"/>
    <n v="3851.91"/>
    <n v="860.29"/>
    <n v="4712.2020000000002"/>
    <n v="860.29200000000037"/>
    <x v="305"/>
    <s v="Failed"/>
    <x v="3"/>
    <s v="EXCLUDE_FROM_SALES"/>
    <s v="Returned"/>
    <x v="1"/>
    <s v="RETURNED_ORDER"/>
    <s v="INVALID"/>
    <s v="MATCH"/>
    <s v="MATCH"/>
  </r>
  <r>
    <x v="311"/>
    <n v="1"/>
    <d v="2024-06-02T00:00:00"/>
    <d v="2024-06-02T00:00:00"/>
    <x v="8"/>
    <x v="0"/>
    <s v="12-11-2024"/>
    <d v="2024-12-11T00:00:00"/>
    <n v="192"/>
    <s v="OK"/>
    <s v="CUST-3128"/>
    <s v="Arjun Bose"/>
    <s v="Arjun Bose"/>
    <s v="Home Office"/>
    <x v="3"/>
    <s v="North"/>
    <x v="0"/>
    <s v="OK"/>
    <s v="Uttar Pradesh"/>
    <s v="Uttar Pradesh"/>
    <s v="Noida"/>
    <s v="Noida"/>
    <s v="Furniture"/>
    <x v="1"/>
    <s v="Furnishings"/>
    <x v="3"/>
    <s v="Pro Furnishings 108"/>
    <s v="Same Day"/>
    <x v="1"/>
    <s v="OK"/>
    <n v="1"/>
    <n v="1374.06"/>
    <n v="0.05"/>
    <n v="0.05"/>
    <s v="OK"/>
    <n v="1305.3599999999999"/>
    <n v="731.89"/>
    <n v="573.47"/>
    <n v="1305.357"/>
    <n v="573.46699999999998"/>
    <x v="306"/>
    <s v="Paid"/>
    <x v="0"/>
    <s v="OK"/>
    <s v="Completed"/>
    <x v="0"/>
    <s v="OK"/>
    <s v="CLEAN"/>
    <s v="MATCH"/>
    <s v="MATCH"/>
  </r>
  <r>
    <x v="312"/>
    <n v="1"/>
    <d v="2024-01-21T00:00:00"/>
    <d v="2024-01-21T00:00:00"/>
    <x v="9"/>
    <x v="0"/>
    <s v="29 Feb 2024"/>
    <d v="2024-02-29T00:00:00"/>
    <n v="39"/>
    <s v="OK"/>
    <s v="CUST-4604"/>
    <s v="Kabir Singh"/>
    <s v="Kabir Singh"/>
    <s v="Corporate"/>
    <x v="2"/>
    <s v="North"/>
    <x v="0"/>
    <s v="OK"/>
    <s v="Punjab"/>
    <s v="Punjab"/>
    <s v="Ludhiana"/>
    <s v="Ludhiana"/>
    <s v="Technology"/>
    <x v="2"/>
    <s v="Machines"/>
    <x v="12"/>
    <s v="Classic Machines 522"/>
    <s v="Same Day"/>
    <x v="1"/>
    <s v="OK"/>
    <n v="1"/>
    <n v="3806.3"/>
    <n v="0.25"/>
    <n v="0.25"/>
    <s v="OK"/>
    <n v="2854.73"/>
    <n v="1968.12"/>
    <n v="886.61"/>
    <n v="2854.7250000000004"/>
    <n v="886.60500000000047"/>
    <x v="307"/>
    <s v="Paid"/>
    <x v="0"/>
    <s v="OK"/>
    <s v="Completed"/>
    <x v="0"/>
    <s v="OK"/>
    <s v="CLEAN"/>
    <s v="MATCH"/>
    <s v="MATCH"/>
  </r>
  <r>
    <x v="313"/>
    <n v="1"/>
    <d v="2024-02-01T00:00:00"/>
    <d v="2024-02-01T00:00:00"/>
    <x v="11"/>
    <x v="0"/>
    <s v="02-08-2025"/>
    <d v="2025-02-08T00:00:00"/>
    <n v="373"/>
    <s v="OK"/>
    <s v="CUST-8633"/>
    <s v="Diya Patel"/>
    <s v="Diya Patel"/>
    <s v="Corporate"/>
    <x v="2"/>
    <s v="North"/>
    <x v="0"/>
    <s v="OK"/>
    <s v="Delhi"/>
    <s v="Delhi"/>
    <s v="New Delhi"/>
    <s v="New Delhi"/>
    <s v="Technology"/>
    <x v="2"/>
    <s v="Phones"/>
    <x v="8"/>
    <s v="Eco Phones 368"/>
    <s v="Standard Class"/>
    <x v="3"/>
    <s v="OK"/>
    <n v="3"/>
    <n v="739.56"/>
    <n v="0.2"/>
    <n v="0.2"/>
    <s v="OK"/>
    <n v="1774.94"/>
    <n v="1007.4"/>
    <n v="767.54"/>
    <n v="1774.944"/>
    <n v="767.54399999999998"/>
    <x v="308"/>
    <s v="Paid"/>
    <x v="0"/>
    <s v="OK"/>
    <s v="Completed"/>
    <x v="0"/>
    <s v="OK"/>
    <s v="CLEAN"/>
    <s v="MATCH"/>
    <s v="MATCH"/>
  </r>
  <r>
    <x v="314"/>
    <n v="1"/>
    <d v="2024-02-20T00:00:00"/>
    <d v="2024-02-20T00:00:00"/>
    <x v="11"/>
    <x v="0"/>
    <s v="2025-09-22"/>
    <d v="2025-09-22T00:00:00"/>
    <n v="580"/>
    <s v="OK"/>
    <s v="CUST-9139"/>
    <s v="Diya Patel"/>
    <s v="Diya Patel"/>
    <s v="Home Office"/>
    <x v="3"/>
    <s v="North"/>
    <x v="0"/>
    <s v="OK"/>
    <s v="Punjab"/>
    <s v="Punjab"/>
    <s v="Ludhiana"/>
    <s v="Ludhiana"/>
    <s v="Technology"/>
    <x v="2"/>
    <s v="Machines"/>
    <x v="12"/>
    <s v="Smart Machines 566"/>
    <s v="Standard Class"/>
    <x v="3"/>
    <s v="OK"/>
    <n v="4"/>
    <n v="1355.8"/>
    <n v="0"/>
    <n v="0"/>
    <s v="OK"/>
    <n v="5423.2"/>
    <n v="4072.44"/>
    <n v="1350.76"/>
    <n v="5423.2"/>
    <n v="1350.7599999999998"/>
    <x v="309"/>
    <s v="Paid"/>
    <x v="0"/>
    <s v="OK"/>
    <s v="Completed"/>
    <x v="0"/>
    <s v="OK"/>
    <s v="CLEAN"/>
    <s v="MATCH"/>
    <s v="MATCH"/>
  </r>
  <r>
    <x v="315"/>
    <n v="1"/>
    <d v="2024-02-17T00:00:00"/>
    <d v="2024-02-17T00:00:00"/>
    <x v="11"/>
    <x v="0"/>
    <s v="07/22/2025"/>
    <d v="2025-07-22T00:00:00"/>
    <n v="521"/>
    <s v="OK"/>
    <s v="CUST-2228"/>
    <s v="Rohan Mehta"/>
    <s v="Rohan Mehta"/>
    <s v="Home Office"/>
    <x v="3"/>
    <m/>
    <x v="4"/>
    <s v="MISSING_REGION"/>
    <s v="Bihar"/>
    <s v="Bihar"/>
    <s v="Patna"/>
    <s v="Patna"/>
    <s v="Office Supplies"/>
    <x v="0"/>
    <s v="Binders"/>
    <x v="11"/>
    <s v="Smart Binders 417"/>
    <s v="Standard Class"/>
    <x v="3"/>
    <s v="OK"/>
    <n v="9"/>
    <n v="2614.46"/>
    <n v="0"/>
    <n v="0"/>
    <s v="OK"/>
    <n v="23530.14"/>
    <n v="19537.79"/>
    <n v="3992.35"/>
    <n v="23530.14"/>
    <n v="3992.3499999999985"/>
    <x v="310"/>
    <s v="Refunded"/>
    <x v="2"/>
    <s v="REFUNDED_PAYMENT"/>
    <s v="Returned"/>
    <x v="1"/>
    <s v="RETURNED_ORDER"/>
    <s v="WARNING"/>
    <s v="MATCH"/>
    <s v="MATCH"/>
  </r>
  <r>
    <x v="316"/>
    <n v="1"/>
    <d v="2024-02-21T00:00:00"/>
    <d v="2024-02-21T00:00:00"/>
    <x v="11"/>
    <x v="0"/>
    <s v="27-07-2024"/>
    <d v="2024-07-27T00:00:00"/>
    <n v="157"/>
    <s v="OK"/>
    <s v="CUST-4900"/>
    <s v="Neha Gupta"/>
    <s v="Neha Gupta"/>
    <s v="Small Business"/>
    <x v="1"/>
    <s v="West"/>
    <x v="3"/>
    <s v="OK"/>
    <s v="Gujarat"/>
    <s v="Gujarat"/>
    <s v="Ahmedabad"/>
    <s v="Ahmedabad"/>
    <s v="Technology"/>
    <x v="2"/>
    <s v="Copiers"/>
    <x v="6"/>
    <s v="Elite Copiers 682"/>
    <s v="First Class"/>
    <x v="2"/>
    <s v="OK"/>
    <n v="6"/>
    <n v="2633.65"/>
    <n v="0.05"/>
    <n v="0.05"/>
    <s v="OK"/>
    <n v="15011.81"/>
    <n v="9660.36"/>
    <n v="5351.45"/>
    <n v="15011.805"/>
    <n v="5351.4449999999997"/>
    <x v="311"/>
    <s v="Paid"/>
    <x v="0"/>
    <s v="OK"/>
    <s v="Completed"/>
    <x v="0"/>
    <s v="OK"/>
    <s v="CLEAN"/>
    <s v="MATCH"/>
    <s v="MATCH"/>
  </r>
  <r>
    <x v="317"/>
    <n v="1"/>
    <d v="2024-06-19T00:00:00"/>
    <d v="2024-06-19T00:00:00"/>
    <x v="8"/>
    <x v="0"/>
    <s v="04 Jun 2025"/>
    <d v="2025-06-04T00:00:00"/>
    <n v="350"/>
    <s v="OK"/>
    <s v="CUST-9617"/>
    <s v="Aarav Sharma"/>
    <s v="Aarav Sharma"/>
    <s v="Small Business"/>
    <x v="1"/>
    <s v="South"/>
    <x v="2"/>
    <s v="OK"/>
    <s v="Tamil Nadu"/>
    <s v="Tamil Nadu"/>
    <s v="Chennai"/>
    <s v="Chennai"/>
    <s v="Office Supplies"/>
    <x v="0"/>
    <s v="Storage"/>
    <x v="7"/>
    <s v="Pro Storage 482"/>
    <s v="Same Day"/>
    <x v="1"/>
    <s v="OK"/>
    <n v="1"/>
    <n v="3202.41"/>
    <n v="0"/>
    <n v="0"/>
    <s v="OK"/>
    <n v="3202.41"/>
    <n v="2608.44"/>
    <n v="593.97"/>
    <n v="3202.41"/>
    <n v="593.9699999999998"/>
    <x v="312"/>
    <s v="Paid"/>
    <x v="0"/>
    <s v="OK"/>
    <s v="Completed"/>
    <x v="0"/>
    <s v="OK"/>
    <s v="CLEAN"/>
    <s v="MATCH"/>
    <s v="MATCH"/>
  </r>
  <r>
    <x v="318"/>
    <n v="1"/>
    <d v="2024-10-15T00:00:00"/>
    <d v="2024-10-15T00:00:00"/>
    <x v="7"/>
    <x v="0"/>
    <s v="2025-05-18"/>
    <d v="2025-05-18T00:00:00"/>
    <n v="215"/>
    <s v="OK"/>
    <s v="CUST-2088"/>
    <s v="Ananya Rao"/>
    <s v="Ananya Rao"/>
    <s v="Consumer"/>
    <x v="0"/>
    <s v="East"/>
    <x v="1"/>
    <s v="OK"/>
    <s v="Odisha"/>
    <s v="Odisha"/>
    <s v="Bhubaneswar"/>
    <s v="Bhubaneswar"/>
    <s v="Office Supplies"/>
    <x v="0"/>
    <s v="Art"/>
    <x v="2"/>
    <s v="Basic Art 174"/>
    <s v="First Class"/>
    <x v="2"/>
    <s v="OK"/>
    <n v="5"/>
    <n v="671.24"/>
    <n v="0"/>
    <n v="0"/>
    <s v="OK"/>
    <n v="3356.2"/>
    <n v="2205.7199999999998"/>
    <n v="1150.48"/>
    <n v="3356.2"/>
    <n v="1150.48"/>
    <x v="313"/>
    <s v="Pending"/>
    <x v="1"/>
    <s v="OK"/>
    <s v="Returned"/>
    <x v="1"/>
    <s v="RETURNED_ORDER"/>
    <s v="CLEAN"/>
    <s v="MATCH"/>
    <s v="MATCH"/>
  </r>
  <r>
    <x v="319"/>
    <n v="1"/>
    <d v="2024-02-28T00:00:00"/>
    <d v="2024-02-28T00:00:00"/>
    <x v="11"/>
    <x v="0"/>
    <s v="05/24/2024"/>
    <d v="2024-05-24T00:00:00"/>
    <n v="86"/>
    <s v="OK"/>
    <s v="CUST-1686"/>
    <s v="Rohan Mehta"/>
    <s v="Rohan Mehta"/>
    <s v="Small Business"/>
    <x v="1"/>
    <s v="East"/>
    <x v="1"/>
    <s v="OK"/>
    <s v="West Bengal"/>
    <s v="West Bengal"/>
    <s v="Kolkata"/>
    <s v="Kolkata"/>
    <s v="Office Supplies"/>
    <x v="0"/>
    <s v="Storage"/>
    <x v="7"/>
    <s v="Classic Storage 451"/>
    <s v="First Class"/>
    <x v="2"/>
    <s v="OK"/>
    <n v="1"/>
    <n v="2626.84"/>
    <n v="0.2"/>
    <n v="0.2"/>
    <s v="OK"/>
    <n v="2101.4699999999998"/>
    <n v="1217.83"/>
    <n v="883.64"/>
    <n v="2101.4720000000002"/>
    <n v="883.64200000000028"/>
    <x v="314"/>
    <s v="Failed"/>
    <x v="3"/>
    <s v="EXCLUDE_FROM_SALES"/>
    <s v="Returned"/>
    <x v="1"/>
    <s v="RETURNED_ORDER"/>
    <s v="CLEAN"/>
    <s v="MATCH"/>
    <s v="MATCH"/>
  </r>
  <r>
    <x v="320"/>
    <n v="1"/>
    <d v="2024-04-08T00:00:00"/>
    <d v="2024-04-08T00:00:00"/>
    <x v="6"/>
    <x v="0"/>
    <s v="2024-12-06"/>
    <d v="2024-12-06T00:00:00"/>
    <n v="242"/>
    <s v="OK"/>
    <s v="CUST-4894"/>
    <s v="Vikram Iyer"/>
    <s v="Vikram Iyer"/>
    <s v="Consumer"/>
    <x v="0"/>
    <s v="East"/>
    <x v="1"/>
    <s v="OK"/>
    <s v="Bihar"/>
    <s v="Bihar"/>
    <s v="Patna"/>
    <s v="Patna"/>
    <s v="Office Supplies"/>
    <x v="0"/>
    <s v="Art"/>
    <x v="2"/>
    <s v="Pro Art 172"/>
    <s v="Same Day"/>
    <x v="1"/>
    <s v="OK"/>
    <n v="1"/>
    <n v="984.93"/>
    <n v="0.15"/>
    <n v="0.15"/>
    <s v="OK"/>
    <n v="837.19"/>
    <n v="583.79"/>
    <n v="253.4"/>
    <n v="837.19049999999993"/>
    <n v="253.40049999999997"/>
    <x v="315"/>
    <s v="Pending"/>
    <x v="1"/>
    <s v="OK"/>
    <s v="Returned"/>
    <x v="1"/>
    <s v="RETURNED_ORDER"/>
    <s v="CLEAN"/>
    <s v="MATCH"/>
    <s v="MATCH"/>
  </r>
  <r>
    <x v="321"/>
    <n v="1"/>
    <d v="2024-06-12T00:00:00"/>
    <d v="2024-06-12T00:00:00"/>
    <x v="8"/>
    <x v="0"/>
    <s v="2025-05-28"/>
    <d v="2025-05-28T00:00:00"/>
    <n v="350"/>
    <s v="OK"/>
    <s v="CUST-7846"/>
    <s v="Rohan Mehta"/>
    <s v="Rohan Mehta"/>
    <s v="Corporate"/>
    <x v="2"/>
    <s v="North"/>
    <x v="0"/>
    <s v="OK"/>
    <s v="Uttar Pradesh"/>
    <s v="Uttar Pradesh"/>
    <s v="Noida"/>
    <s v="Noida"/>
    <s v="Technology"/>
    <x v="2"/>
    <s v="Phones"/>
    <x v="8"/>
    <s v="Max Phones 318"/>
    <s v="First Class"/>
    <x v="2"/>
    <s v="OK"/>
    <n v="3"/>
    <n v="524.75"/>
    <n v="0"/>
    <n v="0"/>
    <s v="OK"/>
    <n v="1574.25"/>
    <n v="1326.12"/>
    <n v="248.13"/>
    <n v="1574.25"/>
    <n v="248.13000000000011"/>
    <x v="316"/>
    <s v="Paid"/>
    <x v="0"/>
    <s v="OK"/>
    <s v="Completed"/>
    <x v="0"/>
    <s v="OK"/>
    <s v="CLEAN"/>
    <s v="MATCH"/>
    <s v="MATCH"/>
  </r>
  <r>
    <x v="322"/>
    <n v="1"/>
    <d v="2024-05-29T00:00:00"/>
    <d v="2024-05-29T00:00:00"/>
    <x v="3"/>
    <x v="0"/>
    <s v="2025-06-27"/>
    <d v="2025-06-27T00:00:00"/>
    <n v="394"/>
    <s v="OK"/>
    <s v="CUST-3433"/>
    <s v="Aarav Sharma"/>
    <s v="Aarav Sharma"/>
    <s v="Home Office"/>
    <x v="3"/>
    <s v="North"/>
    <x v="0"/>
    <s v="OK"/>
    <s v="Delhi"/>
    <s v="Delhi"/>
    <s v="New Delhi"/>
    <s v="New Delhi"/>
    <s v="Furniture"/>
    <x v="1"/>
    <s v="Chairs"/>
    <x v="10"/>
    <s v="Elite Chairs 372"/>
    <s v="Same Day"/>
    <x v="1"/>
    <s v="OK"/>
    <n v="6"/>
    <n v="3430.35"/>
    <n v="0"/>
    <n v="0"/>
    <s v="OK"/>
    <n v="20582.099999999999"/>
    <n v="15897.65"/>
    <n v="4684.45"/>
    <n v="20582.099999999999"/>
    <n v="4684.4499999999989"/>
    <x v="317"/>
    <s v="Pending"/>
    <x v="1"/>
    <s v="OK"/>
    <s v="Cancelled"/>
    <x v="2"/>
    <s v="EXCLUDE_FROM_SALES"/>
    <s v="CLEAN"/>
    <s v="MATCH"/>
    <s v="MATCH"/>
  </r>
  <r>
    <x v="323"/>
    <n v="1"/>
    <d v="2024-02-22T00:00:00"/>
    <d v="2024-02-22T00:00:00"/>
    <x v="11"/>
    <x v="0"/>
    <s v="17-09-2024"/>
    <d v="2024-09-17T00:00:00"/>
    <n v="208"/>
    <s v="OK"/>
    <s v="CUST-2423"/>
    <s v="Sneha Kapoor"/>
    <s v="Sneha Kapoor"/>
    <s v="Consumer"/>
    <x v="0"/>
    <s v="South"/>
    <x v="2"/>
    <s v="OK"/>
    <s v="Karnataka"/>
    <s v="Karnataka"/>
    <s v="Bengaluru"/>
    <s v="Bengaluru"/>
    <s v="Technology"/>
    <x v="2"/>
    <s v="Copiers"/>
    <x v="6"/>
    <s v="Eco Copiers 324"/>
    <s v="First Class"/>
    <x v="2"/>
    <s v="OK"/>
    <n v="3"/>
    <n v="3545.08"/>
    <n v="0"/>
    <n v="0"/>
    <s v="OK"/>
    <n v="10635.24"/>
    <n v="6031.88"/>
    <n v="4603.3599999999997"/>
    <n v="10635.24"/>
    <n v="4603.3599999999997"/>
    <x v="318"/>
    <s v="Failed"/>
    <x v="3"/>
    <s v="EXCLUDE_FROM_SALES"/>
    <s v="Returned"/>
    <x v="1"/>
    <s v="RETURNED_ORDER"/>
    <s v="CLEAN"/>
    <s v="MATCH"/>
    <s v="MATCH"/>
  </r>
  <r>
    <x v="324"/>
    <n v="1"/>
    <d v="2024-03-04T00:00:00"/>
    <d v="2024-03-04T00:00:00"/>
    <x v="10"/>
    <x v="0"/>
    <s v="18 Jun 2025"/>
    <d v="2025-06-18T00:00:00"/>
    <n v="471"/>
    <s v="OK"/>
    <s v="CUST-3559"/>
    <s v="Mira Das"/>
    <s v="Mira Das"/>
    <s v="Consumer"/>
    <x v="0"/>
    <s v="East"/>
    <x v="1"/>
    <s v="OK"/>
    <s v="West Bengal"/>
    <s v="West Bengal"/>
    <s v="Kolkata"/>
    <s v="Kolkata"/>
    <s v="Technology"/>
    <x v="2"/>
    <s v="Accessories"/>
    <x v="4"/>
    <s v="Classic Accessories 131"/>
    <s v="Same Day"/>
    <x v="1"/>
    <s v="OK"/>
    <n v="8"/>
    <n v="4401.41"/>
    <n v="0.15"/>
    <n v="0.15"/>
    <s v="OK"/>
    <n v="29929.59"/>
    <n v="22436.03"/>
    <n v="7493.56"/>
    <n v="29929.588"/>
    <n v="7493.5580000000009"/>
    <x v="319"/>
    <s v="Paid"/>
    <x v="0"/>
    <s v="OK"/>
    <s v="Completed"/>
    <x v="0"/>
    <s v="OK"/>
    <s v="CLEAN"/>
    <s v="MATCH"/>
    <s v="MATCH"/>
  </r>
  <r>
    <x v="325"/>
    <n v="1"/>
    <d v="2024-09-19T00:00:00"/>
    <d v="2024-09-19T00:00:00"/>
    <x v="5"/>
    <x v="0"/>
    <s v="03/21/2024"/>
    <d v="2024-03-21T00:00:00"/>
    <n v="-182"/>
    <s v="INVALID_SHIPPING"/>
    <s v="CUST-6850"/>
    <s v="Karan Malhotra"/>
    <s v="Karan Malhotra"/>
    <s v="Small Business"/>
    <x v="1"/>
    <s v="East"/>
    <x v="1"/>
    <s v="OK"/>
    <s v="West Bengal"/>
    <s v="West Bengal"/>
    <s v="Kolkata"/>
    <s v="Kolkata"/>
    <s v="Furniture"/>
    <x v="1"/>
    <s v="Chairs"/>
    <x v="10"/>
    <s v="Basic Chairs 932"/>
    <s v="First Class"/>
    <x v="2"/>
    <s v="OK"/>
    <n v="3"/>
    <n v="3981.76"/>
    <n v="0"/>
    <n v="0"/>
    <s v="OK"/>
    <n v="11945.28"/>
    <n v="9700.31"/>
    <n v="2244.9699999999998"/>
    <n v="11945.28"/>
    <n v="2244.9700000000012"/>
    <x v="320"/>
    <s v="Paid"/>
    <x v="0"/>
    <s v="OK"/>
    <s v="Completed"/>
    <x v="0"/>
    <s v="OK"/>
    <s v="INVALID"/>
    <s v="MATCH"/>
    <s v="MATCH"/>
  </r>
  <r>
    <x v="326"/>
    <n v="1"/>
    <d v="2024-10-04T00:00:00"/>
    <d v="2024-10-04T00:00:00"/>
    <x v="7"/>
    <x v="0"/>
    <s v="18 Aug 2024"/>
    <d v="2024-08-18T00:00:00"/>
    <n v="-47"/>
    <s v="INVALID_SHIPPING"/>
    <s v="CUST-2593"/>
    <s v="Aditi Sen"/>
    <s v="Aditi Sen"/>
    <s v="Consumer"/>
    <x v="0"/>
    <s v="South"/>
    <x v="2"/>
    <s v="OK"/>
    <s v="Kerala"/>
    <s v="Kerala"/>
    <s v="Kochi"/>
    <s v="Kochi"/>
    <s v="Furniture"/>
    <x v="1"/>
    <s v="Chairs"/>
    <x v="10"/>
    <s v="Elite Chairs 700"/>
    <s v="Second Class"/>
    <x v="0"/>
    <s v="OK"/>
    <n v="9"/>
    <n v="2723.26"/>
    <n v="0.25"/>
    <n v="0.25"/>
    <s v="OK"/>
    <n v="18382.009999999998"/>
    <n v="13108.2"/>
    <n v="5273.81"/>
    <n v="18382.005000000005"/>
    <n v="5273.8050000000039"/>
    <x v="321"/>
    <s v="Paid"/>
    <x v="0"/>
    <s v="OK"/>
    <s v="Completed"/>
    <x v="0"/>
    <s v="OK"/>
    <s v="INVALID"/>
    <s v="MATCH"/>
    <s v="MATCH"/>
  </r>
  <r>
    <x v="327"/>
    <n v="2"/>
    <d v="2024-08-17T00:00:00"/>
    <d v="2024-08-17T00:00:00"/>
    <x v="1"/>
    <x v="0"/>
    <s v="12/08/2024"/>
    <d v="2024-12-08T00:00:00"/>
    <n v="113"/>
    <s v="OK"/>
    <s v="CUST-8498"/>
    <s v="Ananya Rao"/>
    <s v="Ananya Rao"/>
    <s v="Corporate"/>
    <x v="2"/>
    <s v="East"/>
    <x v="1"/>
    <s v="OK"/>
    <s v="West Bengal"/>
    <s v="West Bengal"/>
    <s v="Kolkata"/>
    <s v="Kolkata"/>
    <s v="Technology"/>
    <x v="2"/>
    <s v="Copiers"/>
    <x v="6"/>
    <s v="Eco Copiers 268"/>
    <s v="Same Day"/>
    <x v="1"/>
    <s v="OK"/>
    <n v="3"/>
    <n v="1490.69"/>
    <n v="0.25"/>
    <n v="0.25"/>
    <s v="OK"/>
    <n v="3354.05"/>
    <n v="2672.67"/>
    <n v="681.38"/>
    <n v="3354.0524999999998"/>
    <n v="681.38249999999971"/>
    <x v="322"/>
    <s v="Paid"/>
    <x v="0"/>
    <s v="OK"/>
    <s v="Completed"/>
    <x v="0"/>
    <s v="OK"/>
    <s v="CLEAN"/>
    <s v="MATCH"/>
    <s v="MATCH"/>
  </r>
  <r>
    <x v="327"/>
    <n v="2"/>
    <d v="2024-08-17T00:00:00"/>
    <d v="2024-08-17T00:00:00"/>
    <x v="1"/>
    <x v="0"/>
    <s v="22-02-2025"/>
    <d v="2025-02-22T00:00:00"/>
    <n v="189"/>
    <s v="OK"/>
    <s v="CUST-8498"/>
    <s v="Ananya Rao"/>
    <s v="Ananya Rao"/>
    <s v="Corporate"/>
    <x v="2"/>
    <s v="East"/>
    <x v="1"/>
    <s v="OK"/>
    <s v="West Bengal"/>
    <s v="West Bengal"/>
    <s v="Kolkata"/>
    <s v="Kolkata"/>
    <s v="Technology"/>
    <x v="2"/>
    <s v="Copiers"/>
    <x v="6"/>
    <s v="Eco Copiers 268"/>
    <s v="Same Day"/>
    <x v="1"/>
    <s v="OK"/>
    <n v="3"/>
    <n v="1490.69"/>
    <n v="0.25"/>
    <n v="0.25"/>
    <s v="OK"/>
    <n v="3354.05"/>
    <n v="2672.67"/>
    <n v="681.38"/>
    <n v="3354.0524999999998"/>
    <n v="681.38249999999971"/>
    <x v="322"/>
    <s v="Paid"/>
    <x v="0"/>
    <s v="OK"/>
    <s v="Completed"/>
    <x v="0"/>
    <s v="OK"/>
    <s v="CLEAN"/>
    <s v="MATCH"/>
    <s v="MATCH"/>
  </r>
  <r>
    <x v="328"/>
    <n v="1"/>
    <d v="2024-08-19T00:00:00"/>
    <d v="2024-08-19T00:00:00"/>
    <x v="1"/>
    <x v="0"/>
    <s v="01/29/2024"/>
    <d v="2024-01-29T00:00:00"/>
    <n v="-203"/>
    <s v="INVALID_SHIPPING"/>
    <s v="CUST-2612"/>
    <s v="Arjun Bose"/>
    <s v="Arjun Bose"/>
    <s v="Consumer"/>
    <x v="0"/>
    <s v="North"/>
    <x v="0"/>
    <s v="OK"/>
    <s v="Punjab"/>
    <s v="Punjab"/>
    <s v="Ludhiana"/>
    <s v="Ludhiana"/>
    <s v="Technology"/>
    <x v="2"/>
    <s v="Phones"/>
    <x v="8"/>
    <s v="Pro Phones 588"/>
    <s v="First Class"/>
    <x v="2"/>
    <s v="OK"/>
    <n v="3"/>
    <n v="1103.54"/>
    <n v="0.25"/>
    <n v="0.25"/>
    <s v="OK"/>
    <n v="2482.9699999999998"/>
    <n v="1621.72"/>
    <n v="861.25"/>
    <n v="2482.9650000000001"/>
    <n v="861.24500000000012"/>
    <x v="323"/>
    <s v="Paid"/>
    <x v="0"/>
    <s v="OK"/>
    <s v="Completed"/>
    <x v="0"/>
    <s v="OK"/>
    <s v="INVALID"/>
    <s v="MATCH"/>
    <s v="MATCH"/>
  </r>
  <r>
    <x v="329"/>
    <n v="1"/>
    <d v="2024-01-26T00:00:00"/>
    <d v="2024-01-26T00:00:00"/>
    <x v="9"/>
    <x v="0"/>
    <s v="2025-09-09"/>
    <d v="2025-09-09T00:00:00"/>
    <n v="592"/>
    <s v="OK"/>
    <s v="CUST-8289"/>
    <s v="Ananya Rao"/>
    <s v="Ananya Rao"/>
    <s v="Home Office"/>
    <x v="3"/>
    <s v="East"/>
    <x v="1"/>
    <s v="OK"/>
    <s v="West Bengal"/>
    <s v="West Bengal"/>
    <s v="Kolkata"/>
    <s v="Kolkata"/>
    <s v="Office Supplies"/>
    <x v="0"/>
    <s v="Paper"/>
    <x v="0"/>
    <s v="Basic Paper 452"/>
    <s v="Second Class"/>
    <x v="0"/>
    <s v="OK"/>
    <n v="5"/>
    <n v="1615.03"/>
    <n v="0.2"/>
    <n v="0.2"/>
    <s v="OK"/>
    <n v="6460.12"/>
    <n v="3604.03"/>
    <n v="2856.09"/>
    <n v="6460.12"/>
    <n v="2856.0899999999997"/>
    <x v="324"/>
    <s v="Paid"/>
    <x v="0"/>
    <s v="OK"/>
    <s v="Completed"/>
    <x v="0"/>
    <s v="OK"/>
    <s v="CLEAN"/>
    <s v="MATCH"/>
    <s v="MATCH"/>
  </r>
  <r>
    <x v="330"/>
    <n v="1"/>
    <d v="2024-10-23T00:00:00"/>
    <d v="2024-10-23T00:00:00"/>
    <x v="7"/>
    <x v="0"/>
    <s v="01-08-2025"/>
    <d v="2025-01-08T00:00:00"/>
    <n v="77"/>
    <s v="OK"/>
    <s v="CUST-5668"/>
    <s v="Aarav Sharma"/>
    <s v="Aarav Sharma"/>
    <s v="Consumer"/>
    <x v="0"/>
    <s v="East"/>
    <x v="1"/>
    <s v="OK"/>
    <s v="Jharkhand"/>
    <s v="Jharkhand"/>
    <s v="Ranchi"/>
    <s v="Ranchi"/>
    <s v="Technology"/>
    <x v="2"/>
    <s v="Copiers"/>
    <x v="6"/>
    <s v="Max Copiers 477"/>
    <s v="Second Class"/>
    <x v="0"/>
    <s v="OK"/>
    <n v="9"/>
    <n v="3423.82"/>
    <n v="0.15"/>
    <n v="0.15"/>
    <s v="OK"/>
    <n v="26192.22"/>
    <n v="20795.55"/>
    <n v="5396.67"/>
    <n v="26192.223000000002"/>
    <n v="5396.6730000000025"/>
    <x v="325"/>
    <s v="Paid"/>
    <x v="0"/>
    <s v="OK"/>
    <s v="Completed"/>
    <x v="0"/>
    <s v="OK"/>
    <s v="CLEAN"/>
    <s v="MATCH"/>
    <s v="MATCH"/>
  </r>
  <r>
    <x v="331"/>
    <n v="1"/>
    <d v="2024-06-21T00:00:00"/>
    <d v="2024-06-21T00:00:00"/>
    <x v="8"/>
    <x v="0"/>
    <s v="08 Oct 2025"/>
    <d v="2025-10-08T00:00:00"/>
    <n v="474"/>
    <s v="OK"/>
    <s v="CUST-7690"/>
    <s v="Karan Malhotra"/>
    <s v="Karan Malhotra"/>
    <s v="Home Office"/>
    <x v="3"/>
    <s v="West"/>
    <x v="3"/>
    <s v="OK"/>
    <s v="Goa"/>
    <s v="Goa"/>
    <s v="Panaji"/>
    <s v="Panaji"/>
    <s v="Furniture"/>
    <x v="1"/>
    <s v="Furnishings"/>
    <x v="3"/>
    <s v="Elite Furnishings 706"/>
    <s v="Second Class"/>
    <x v="0"/>
    <s v="OK"/>
    <n v="9"/>
    <n v="2153.75"/>
    <n v="0"/>
    <n v="0"/>
    <s v="OK"/>
    <n v="19383.75"/>
    <n v="11667.43"/>
    <n v="7716.32"/>
    <n v="19383.75"/>
    <n v="7716.32"/>
    <x v="326"/>
    <s v="Paid"/>
    <x v="0"/>
    <s v="OK"/>
    <s v="Completed"/>
    <x v="0"/>
    <s v="OK"/>
    <s v="CLEAN"/>
    <s v="MATCH"/>
    <s v="MATCH"/>
  </r>
  <r>
    <x v="332"/>
    <n v="1"/>
    <d v="2024-05-20T00:00:00"/>
    <d v="2024-05-20T00:00:00"/>
    <x v="3"/>
    <x v="0"/>
    <s v="11-03-2024"/>
    <d v="2024-11-03T00:00:00"/>
    <n v="167"/>
    <s v="OK"/>
    <s v="CUST-2779"/>
    <s v="Karan Malhotra"/>
    <s v="Karan Malhotra"/>
    <s v="Home Office"/>
    <x v="3"/>
    <s v="West"/>
    <x v="3"/>
    <s v="OK"/>
    <s v="Madhya Pradesh"/>
    <s v="Madhya Pradesh"/>
    <s v="Indore"/>
    <s v="Indore"/>
    <s v="Furniture"/>
    <x v="1"/>
    <s v="Chairs"/>
    <x v="10"/>
    <s v="Pro Chairs 712"/>
    <s v="Standard Class"/>
    <x v="3"/>
    <s v="OK"/>
    <n v="1"/>
    <n v="3032.95"/>
    <n v="0.1"/>
    <n v="0.1"/>
    <s v="OK"/>
    <n v="2729.65"/>
    <n v="1715.36"/>
    <n v="1014.29"/>
    <n v="2729.6549999999997"/>
    <n v="1014.2949999999998"/>
    <x v="327"/>
    <s v="Paid"/>
    <x v="0"/>
    <s v="OK"/>
    <s v="Completed"/>
    <x v="0"/>
    <s v="OK"/>
    <s v="CLEAN"/>
    <s v="MISMATCH"/>
    <s v="MISMATCH"/>
  </r>
  <r>
    <x v="333"/>
    <n v="1"/>
    <d v="2024-05-10T00:00:00"/>
    <d v="2024-05-10T00:00:00"/>
    <x v="3"/>
    <x v="0"/>
    <s v="2024-09-22"/>
    <d v="2024-09-22T00:00:00"/>
    <n v="135"/>
    <s v="OK"/>
    <s v="CUST-9311"/>
    <s v="Diya Patel"/>
    <s v="Diya Patel"/>
    <s v="Home Office"/>
    <x v="3"/>
    <s v="West"/>
    <x v="3"/>
    <s v="OK"/>
    <s v="Gujarat"/>
    <s v="Gujarat"/>
    <s v="Ahmedabad"/>
    <s v="Ahmedabad"/>
    <s v="Technology"/>
    <x v="2"/>
    <s v="Machines"/>
    <x v="12"/>
    <s v="Basic Machines 413"/>
    <s v="Same Day"/>
    <x v="1"/>
    <s v="OK"/>
    <n v="9"/>
    <n v="3361.3"/>
    <n v="0.25"/>
    <n v="0.25"/>
    <s v="OK"/>
    <n v="22688.78"/>
    <n v="14672.41"/>
    <n v="8016.37"/>
    <n v="22688.775000000001"/>
    <n v="8016.3650000000016"/>
    <x v="328"/>
    <s v="Paid"/>
    <x v="0"/>
    <s v="OK"/>
    <s v="Completed"/>
    <x v="0"/>
    <s v="OK"/>
    <s v="CLEAN"/>
    <s v="MATCH"/>
    <s v="MATCH"/>
  </r>
  <r>
    <x v="334"/>
    <n v="1"/>
    <d v="2024-02-11T00:00:00"/>
    <d v="2024-02-11T00:00:00"/>
    <x v="11"/>
    <x v="0"/>
    <s v="28-07-2025"/>
    <d v="2025-07-28T00:00:00"/>
    <n v="533"/>
    <s v="OK"/>
    <s v="CUST-8154"/>
    <s v="Ananya Rao"/>
    <s v="Ananya Rao"/>
    <s v="Home Office"/>
    <x v="3"/>
    <s v="South"/>
    <x v="2"/>
    <s v="OK"/>
    <s v="Telangana"/>
    <s v="Telangana"/>
    <s v="Hyderabad"/>
    <s v="Hyderabad"/>
    <s v="Furniture"/>
    <x v="1"/>
    <s v="Chairs"/>
    <x v="10"/>
    <s v="Elite Chairs 140"/>
    <s v="Standard Class"/>
    <x v="3"/>
    <s v="OK"/>
    <n v="8"/>
    <n v="3398.32"/>
    <n v="0.25"/>
    <n v="0.25"/>
    <s v="OK"/>
    <n v="20389.919999999998"/>
    <n v="16661.080000000002"/>
    <n v="3728.84"/>
    <n v="20389.920000000002"/>
    <n v="3728.84"/>
    <x v="329"/>
    <s v="Refunded"/>
    <x v="2"/>
    <s v="REFUNDED_PAYMENT"/>
    <s v="Cancelled"/>
    <x v="2"/>
    <s v="EXCLUDE_FROM_SALES"/>
    <s v="CLEAN"/>
    <s v="MATCH"/>
    <s v="MATCH"/>
  </r>
  <r>
    <x v="335"/>
    <n v="1"/>
    <d v="2024-04-10T00:00:00"/>
    <d v="2024-04-10T00:00:00"/>
    <x v="6"/>
    <x v="0"/>
    <s v="12/08/2024"/>
    <d v="2024-12-08T00:00:00"/>
    <n v="242"/>
    <s v="OK"/>
    <s v="CUST-4462"/>
    <s v="Rahul Verma"/>
    <s v="Rahul Verma"/>
    <s v="Corporate"/>
    <x v="2"/>
    <s v="South"/>
    <x v="2"/>
    <s v="OK"/>
    <s v="Kerala"/>
    <s v="Kerala"/>
    <s v="Kochi"/>
    <s v="Kochi"/>
    <s v="Office Supplies"/>
    <x v="0"/>
    <s v="Art"/>
    <x v="2"/>
    <s v="Basic Art 771"/>
    <s v="Second Class"/>
    <x v="0"/>
    <s v="OK"/>
    <n v="2"/>
    <n v="3144.38"/>
    <n v="0.1"/>
    <n v="0.1"/>
    <s v="OK"/>
    <n v="5904.57"/>
    <n v="4337.79"/>
    <n v="1322.09"/>
    <n v="5659.884"/>
    <n v="1322.0940000000001"/>
    <x v="330"/>
    <s v="Paid"/>
    <x v="0"/>
    <s v="OK"/>
    <s v="Completed"/>
    <x v="0"/>
    <s v="OK"/>
    <s v="CLEAN"/>
    <s v="MISMATCH"/>
    <s v="MATCH"/>
  </r>
  <r>
    <x v="336"/>
    <n v="1"/>
    <d v="2024-08-16T00:00:00"/>
    <d v="2024-08-16T00:00:00"/>
    <x v="1"/>
    <x v="0"/>
    <s v="06/07/2024"/>
    <d v="2024-06-07T00:00:00"/>
    <n v="-70"/>
    <s v="INVALID_SHIPPING"/>
    <s v="CUST-4660"/>
    <s v="Kabir Singh"/>
    <s v="Kabir Singh"/>
    <s v="Consumer"/>
    <x v="0"/>
    <s v="South"/>
    <x v="2"/>
    <s v="OK"/>
    <s v="Telangana"/>
    <s v="Telangana"/>
    <s v="Hyderabad"/>
    <s v="Hyderabad"/>
    <s v="Office Supplies"/>
    <x v="0"/>
    <s v="Paper"/>
    <x v="0"/>
    <s v="Prime Paper 664"/>
    <s v="Standard Class"/>
    <x v="3"/>
    <s v="OK"/>
    <n v="6"/>
    <n v="3925.55"/>
    <n v="0.2"/>
    <n v="0.2"/>
    <s v="OK"/>
    <n v="18842.64"/>
    <n v="11840.58"/>
    <n v="7002.06"/>
    <n v="18842.640000000003"/>
    <n v="7002.0600000000031"/>
    <x v="331"/>
    <s v="Paid"/>
    <x v="0"/>
    <s v="OK"/>
    <s v="Completed"/>
    <x v="0"/>
    <s v="OK"/>
    <s v="INVALID"/>
    <s v="MATCH"/>
    <s v="MATCH"/>
  </r>
  <r>
    <x v="337"/>
    <n v="1"/>
    <d v="2024-09-29T00:00:00"/>
    <d v="2024-09-29T00:00:00"/>
    <x v="5"/>
    <x v="0"/>
    <s v="09/29/2025"/>
    <d v="2025-09-29T00:00:00"/>
    <n v="365"/>
    <s v="OK"/>
    <s v="CUST-9002"/>
    <s v="Mira Das"/>
    <s v="Mira Das"/>
    <s v="Home Office"/>
    <x v="3"/>
    <s v="South"/>
    <x v="2"/>
    <s v="OK"/>
    <s v="Telangana"/>
    <s v="Telangana"/>
    <s v="Hyderabad"/>
    <s v="Hyderabad"/>
    <s v="Technology"/>
    <x v="2"/>
    <s v="Phones"/>
    <x v="8"/>
    <s v="Pro Phones 226"/>
    <s v="Standard Class"/>
    <x v="3"/>
    <s v="OK"/>
    <n v="9"/>
    <n v="2741.91"/>
    <n v="0"/>
    <n v="0"/>
    <s v="OK"/>
    <n v="24677.19"/>
    <n v="20350.849999999999"/>
    <n v="4326.34"/>
    <n v="24677.19"/>
    <n v="4326.34"/>
    <x v="332"/>
    <s v="Paid"/>
    <x v="0"/>
    <s v="OK"/>
    <s v="Completed"/>
    <x v="0"/>
    <s v="OK"/>
    <s v="CLEAN"/>
    <s v="MATCH"/>
    <s v="MATCH"/>
  </r>
  <r>
    <x v="338"/>
    <n v="1"/>
    <d v="2024-07-23T00:00:00"/>
    <d v="2024-07-23T00:00:00"/>
    <x v="0"/>
    <x v="0"/>
    <s v="14 Jan 2024"/>
    <d v="2024-01-14T00:00:00"/>
    <n v="-191"/>
    <s v="INVALID_SHIPPING"/>
    <s v="CUST-1057"/>
    <s v="Kabir Singh"/>
    <s v="Kabir Singh"/>
    <s v="Corporate"/>
    <x v="2"/>
    <s v="North"/>
    <x v="0"/>
    <s v="OK"/>
    <s v="Rajasthan"/>
    <s v="Rajasthan"/>
    <s v="Jaipur"/>
    <s v="Jaipur"/>
    <s v="Furniture"/>
    <x v="1"/>
    <s v="Tables"/>
    <x v="1"/>
    <s v="Basic Tables 684"/>
    <s v="Same Day"/>
    <x v="1"/>
    <s v="OK"/>
    <n v="9"/>
    <n v="1870.11"/>
    <n v="0.25"/>
    <n v="0.25"/>
    <s v="OK"/>
    <n v="12623.24"/>
    <n v="10540.8"/>
    <n v="2082.44"/>
    <n v="12623.242499999998"/>
    <n v="2082.4424999999992"/>
    <x v="333"/>
    <s v="Failed"/>
    <x v="3"/>
    <s v="EXCLUDE_FROM_SALES"/>
    <s v="Cancelled"/>
    <x v="2"/>
    <s v="EXCLUDE_FROM_SALES"/>
    <s v="INVALID"/>
    <s v="MATCH"/>
    <s v="MATCH"/>
  </r>
  <r>
    <x v="339"/>
    <n v="1"/>
    <d v="2024-11-22T00:00:00"/>
    <d v="2024-11-22T00:00:00"/>
    <x v="2"/>
    <x v="0"/>
    <s v="27 May 2025"/>
    <d v="2025-05-27T00:00:00"/>
    <n v="186"/>
    <s v="OK"/>
    <s v="CUST-9596"/>
    <s v="Priya Menon"/>
    <s v="Priya Menon"/>
    <s v="Corporate"/>
    <x v="2"/>
    <s v="South"/>
    <x v="2"/>
    <s v="OK"/>
    <s v="Tamil Nadu"/>
    <s v="Tamil Nadu"/>
    <s v="Chennai"/>
    <s v="Chennai"/>
    <s v="Office Supplies"/>
    <x v="0"/>
    <s v="Binders"/>
    <x v="11"/>
    <s v="Prime Binders 938"/>
    <s v="First Class"/>
    <x v="2"/>
    <s v="OK"/>
    <n v="1"/>
    <n v="4251.26"/>
    <n v="0.2"/>
    <n v="0.2"/>
    <s v="OK"/>
    <n v="3401.01"/>
    <n v="2917.54"/>
    <n v="483.47"/>
    <n v="3401.0080000000003"/>
    <n v="483.4680000000003"/>
    <x v="334"/>
    <s v="Refunded"/>
    <x v="2"/>
    <s v="REFUNDED_PAYMENT"/>
    <s v="Returned"/>
    <x v="1"/>
    <s v="RETURNED_ORDER"/>
    <s v="CLEAN"/>
    <s v="MATCH"/>
    <s v="MATCH"/>
  </r>
  <r>
    <x v="340"/>
    <n v="1"/>
    <d v="2024-08-18T00:00:00"/>
    <d v="2024-08-18T00:00:00"/>
    <x v="1"/>
    <x v="0"/>
    <s v="08/17/2025"/>
    <d v="2025-08-17T00:00:00"/>
    <n v="364"/>
    <s v="OK"/>
    <s v="CUST-6947"/>
    <s v="Vikram Iyer"/>
    <s v="Vikram Iyer"/>
    <s v="Consumer"/>
    <x v="0"/>
    <s v="North"/>
    <x v="0"/>
    <s v="OK"/>
    <s v="Uttar Pradesh"/>
    <s v="Uttar Pradesh"/>
    <s v="Noida"/>
    <s v="Noida"/>
    <s v="Technology"/>
    <x v="2"/>
    <s v="Machines"/>
    <x v="12"/>
    <s v="Classic Machines 337"/>
    <s v="Standard Class"/>
    <x v="3"/>
    <s v="OK"/>
    <n v="9"/>
    <n v="734.34"/>
    <n v="0"/>
    <n v="0"/>
    <s v="OK"/>
    <n v="6609.06"/>
    <n v="4946.78"/>
    <n v="1662.28"/>
    <n v="6609.06"/>
    <n v="1662.2800000000007"/>
    <x v="335"/>
    <s v="Paid"/>
    <x v="0"/>
    <s v="OK"/>
    <s v="Completed"/>
    <x v="0"/>
    <s v="OK"/>
    <s v="CLEAN"/>
    <s v="MATCH"/>
    <s v="MATCH"/>
  </r>
  <r>
    <x v="341"/>
    <n v="1"/>
    <d v="2024-11-28T00:00:00"/>
    <d v="2024-11-28T00:00:00"/>
    <x v="2"/>
    <x v="0"/>
    <s v="27-02-2025"/>
    <d v="2025-02-27T00:00:00"/>
    <n v="91"/>
    <s v="OK"/>
    <s v="CUST-7236"/>
    <s v="Aditi Sen"/>
    <s v="Aditi Sen"/>
    <s v="Consumer"/>
    <x v="0"/>
    <s v="West"/>
    <x v="3"/>
    <s v="OK"/>
    <s v="Maharashtra"/>
    <s v="Maharashtra"/>
    <s v="Mumbai"/>
    <s v="Mumbai"/>
    <s v="Furniture"/>
    <x v="1"/>
    <s v="Chairs"/>
    <x v="10"/>
    <s v="Max Chairs 748"/>
    <s v="Same Day"/>
    <x v="1"/>
    <s v="OK"/>
    <n v="5"/>
    <n v="1092.8399999999999"/>
    <m/>
    <n v="0"/>
    <s v="Missing Discount"/>
    <n v="5464.2"/>
    <n v="3318.09"/>
    <n v="2146.11"/>
    <n v="5464.2"/>
    <n v="2146.1099999999997"/>
    <x v="336"/>
    <s v="Paid"/>
    <x v="0"/>
    <s v="OK"/>
    <s v="Completed"/>
    <x v="0"/>
    <s v="OK"/>
    <s v="INVALID"/>
    <s v="MATCH"/>
    <s v="MATCH"/>
  </r>
  <r>
    <x v="342"/>
    <n v="1"/>
    <d v="2024-08-08T00:00:00"/>
    <d v="2024-08-08T00:00:00"/>
    <x v="1"/>
    <x v="0"/>
    <s v="2024-12-31"/>
    <d v="2024-12-31T00:00:00"/>
    <n v="145"/>
    <s v="OK"/>
    <s v="CUST-6262"/>
    <s v="Vikram Iyer"/>
    <s v="Vikram Iyer"/>
    <s v="Home Office"/>
    <x v="3"/>
    <s v="North"/>
    <x v="0"/>
    <s v="OK"/>
    <s v="Punjab"/>
    <s v="Punjab"/>
    <s v="Ludhiana"/>
    <s v="Ludhiana"/>
    <s v="Office Supplies"/>
    <x v="0"/>
    <s v="Storage"/>
    <x v="7"/>
    <s v="Pro Storage 509"/>
    <s v="Second Class"/>
    <x v="0"/>
    <s v="OK"/>
    <n v="8"/>
    <n v="1359.19"/>
    <n v="0.05"/>
    <n v="0.05"/>
    <s v="OK"/>
    <n v="10329.84"/>
    <n v="7512.22"/>
    <n v="2817.62"/>
    <n v="10329.843999999999"/>
    <n v="2817.6239999999989"/>
    <x v="337"/>
    <s v="Paid"/>
    <x v="0"/>
    <s v="OK"/>
    <s v="Completed"/>
    <x v="0"/>
    <s v="OK"/>
    <s v="CLEAN"/>
    <s v="MATCH"/>
    <s v="MATCH"/>
  </r>
  <r>
    <x v="343"/>
    <n v="1"/>
    <d v="2024-01-30T00:00:00"/>
    <d v="2024-01-30T00:00:00"/>
    <x v="9"/>
    <x v="0"/>
    <s v="2024-05-09"/>
    <d v="2024-05-09T00:00:00"/>
    <n v="100"/>
    <s v="OK"/>
    <s v="CUST-5070"/>
    <s v="Neha Gupta"/>
    <s v="Neha Gupta"/>
    <s v="Home Office"/>
    <x v="3"/>
    <s v="East"/>
    <x v="1"/>
    <s v="OK"/>
    <s v="Assam"/>
    <s v="Assam"/>
    <s v="Guwahati"/>
    <s v="Guwahati"/>
    <s v="Furniture"/>
    <x v="1"/>
    <s v="Chairs"/>
    <x v="10"/>
    <s v="Prime Chairs 765"/>
    <s v="First Class"/>
    <x v="2"/>
    <s v="OK"/>
    <n v="2"/>
    <n v="4451.03"/>
    <n v="0.05"/>
    <n v="0.05"/>
    <s v="OK"/>
    <n v="8456.9599999999991"/>
    <n v="5462.85"/>
    <n v="2994.11"/>
    <n v="8456.9569999999985"/>
    <n v="2994.1069999999982"/>
    <x v="338"/>
    <s v="Paid"/>
    <x v="0"/>
    <s v="OK"/>
    <s v="Completed"/>
    <x v="0"/>
    <s v="OK"/>
    <s v="CLEAN"/>
    <s v="MATCH"/>
    <s v="MATCH"/>
  </r>
  <r>
    <x v="344"/>
    <n v="1"/>
    <d v="2024-12-15T00:00:00"/>
    <d v="2024-12-15T00:00:00"/>
    <x v="4"/>
    <x v="0"/>
    <s v="29 Jun 2025"/>
    <d v="2025-06-29T00:00:00"/>
    <n v="196"/>
    <s v="OK"/>
    <s v="CUST-7946"/>
    <s v="Diya Patel"/>
    <s v="Diya Patel"/>
    <s v="Corporate"/>
    <x v="2"/>
    <s v="West"/>
    <x v="3"/>
    <s v="OK"/>
    <s v="Rajasthan"/>
    <s v="Rajasthan"/>
    <s v="Udaipur"/>
    <s v="Udaipur"/>
    <s v="Furniture"/>
    <x v="1"/>
    <s v="Chairs"/>
    <x v="10"/>
    <s v="Elite Chairs 358"/>
    <s v="Same Day"/>
    <x v="1"/>
    <s v="OK"/>
    <n v="3"/>
    <n v="527.66999999999996"/>
    <n v="0.2"/>
    <n v="0.2"/>
    <s v="OK"/>
    <n v="1266.4100000000001"/>
    <n v="983.92"/>
    <n v="282.49"/>
    <n v="1266.4079999999999"/>
    <n v="282.48799999999994"/>
    <x v="339"/>
    <s v="Paid"/>
    <x v="0"/>
    <s v="OK"/>
    <s v="Completed"/>
    <x v="0"/>
    <s v="OK"/>
    <s v="CLEAN"/>
    <s v="MATCH"/>
    <s v="MATCH"/>
  </r>
  <r>
    <x v="345"/>
    <n v="1"/>
    <d v="2024-09-04T00:00:00"/>
    <d v="2024-09-04T00:00:00"/>
    <x v="5"/>
    <x v="0"/>
    <s v="01/29/2025"/>
    <d v="2025-01-29T00:00:00"/>
    <n v="147"/>
    <s v="OK"/>
    <s v="CUST-6075"/>
    <s v="Priya Menon"/>
    <s v="Priya Menon"/>
    <s v="Corporate"/>
    <x v="2"/>
    <s v="East"/>
    <x v="1"/>
    <s v="OK"/>
    <s v="Assam"/>
    <s v="Assam"/>
    <s v="Guwahati"/>
    <s v="Guwahati"/>
    <s v="Office Supplies"/>
    <x v="0"/>
    <s v="Paper"/>
    <x v="0"/>
    <s v="Elite Paper 239"/>
    <s v="Standard Class"/>
    <x v="3"/>
    <s v="OK"/>
    <n v="4"/>
    <n v="3047.05"/>
    <n v="0.1"/>
    <n v="0.1"/>
    <s v="OK"/>
    <n v="10969.38"/>
    <n v="9254.4599999999991"/>
    <n v="1714.92"/>
    <n v="10969.380000000001"/>
    <n v="1714.9200000000019"/>
    <x v="340"/>
    <s v="Paid"/>
    <x v="0"/>
    <s v="OK"/>
    <s v="Completed"/>
    <x v="0"/>
    <s v="OK"/>
    <s v="CLEAN"/>
    <s v="MATCH"/>
    <s v="MATCH"/>
  </r>
  <r>
    <x v="346"/>
    <n v="1"/>
    <d v="2024-10-04T00:00:00"/>
    <d v="2024-10-04T00:00:00"/>
    <x v="7"/>
    <x v="0"/>
    <s v="2025-08-07"/>
    <d v="2025-08-07T00:00:00"/>
    <n v="307"/>
    <s v="OK"/>
    <s v="CUST-6381"/>
    <s v="Aarav Sharma"/>
    <s v="Aarav Sharma"/>
    <s v="Home Office"/>
    <x v="3"/>
    <s v="West"/>
    <x v="3"/>
    <s v="OK"/>
    <s v="Rajasthan"/>
    <s v="Rajasthan"/>
    <s v="Udaipur"/>
    <s v="Udaipur"/>
    <s v="Furniture"/>
    <x v="1"/>
    <s v="Chairs"/>
    <x v="10"/>
    <s v="Eco Chairs 452"/>
    <s v="Standard Class"/>
    <x v="3"/>
    <s v="OK"/>
    <n v="8"/>
    <n v="4362.4799999999996"/>
    <n v="0.1"/>
    <n v="0.1"/>
    <s v="OK"/>
    <n v="31409.86"/>
    <n v="22523.54"/>
    <n v="8886.32"/>
    <n v="31409.855999999996"/>
    <n v="8886.3159999999953"/>
    <x v="341"/>
    <s v="Paid"/>
    <x v="0"/>
    <s v="OK"/>
    <s v="Completed"/>
    <x v="0"/>
    <s v="OK"/>
    <s v="CLEAN"/>
    <s v="MATCH"/>
    <s v="MATCH"/>
  </r>
  <r>
    <x v="347"/>
    <n v="1"/>
    <d v="2024-05-20T00:00:00"/>
    <d v="2024-05-20T00:00:00"/>
    <x v="3"/>
    <x v="0"/>
    <s v="22-08-2024"/>
    <d v="2024-08-22T00:00:00"/>
    <n v="94"/>
    <s v="OK"/>
    <s v="CUST-7931"/>
    <s v="Mira Das"/>
    <s v="Mira Das"/>
    <s v="Corporate"/>
    <x v="2"/>
    <s v="South"/>
    <x v="2"/>
    <s v="OK"/>
    <s v="Andhra Pradesh"/>
    <s v="Andhra Pradesh"/>
    <s v="Vijayawada"/>
    <s v="Vijayawada"/>
    <s v="Furniture"/>
    <x v="1"/>
    <s v="Chairs"/>
    <x v="10"/>
    <s v="Max Chairs 305"/>
    <s v="Same Day"/>
    <x v="1"/>
    <s v="OK"/>
    <n v="7"/>
    <n v="3122.85"/>
    <n v="0.25"/>
    <n v="0.25"/>
    <s v="OK"/>
    <n v="16394.96"/>
    <n v="10404.17"/>
    <n v="5990.79"/>
    <n v="16394.962500000001"/>
    <n v="5990.7925000000014"/>
    <x v="342"/>
    <s v="Paid"/>
    <x v="0"/>
    <s v="OK"/>
    <s v="Completed"/>
    <x v="0"/>
    <s v="OK"/>
    <s v="CLEAN"/>
    <s v="MATCH"/>
    <s v="MATCH"/>
  </r>
  <r>
    <x v="348"/>
    <n v="1"/>
    <d v="2024-02-10T00:00:00"/>
    <d v="2024-02-10T00:00:00"/>
    <x v="11"/>
    <x v="0"/>
    <s v="2024-06-20"/>
    <d v="2024-06-20T00:00:00"/>
    <n v="131"/>
    <s v="OK"/>
    <s v="CUST-7221"/>
    <s v="Ananya Rao"/>
    <s v="Ananya Rao"/>
    <s v="Consumer"/>
    <x v="0"/>
    <s v="South"/>
    <x v="2"/>
    <s v="OK"/>
    <s v="Tamil Nadu"/>
    <s v="Tamil Nadu"/>
    <s v="Chennai"/>
    <s v="Chennai"/>
    <s v="Office Supplies"/>
    <x v="0"/>
    <s v="Paper"/>
    <x v="0"/>
    <s v="Smart Paper 872"/>
    <s v="Standard Class"/>
    <x v="3"/>
    <s v="OK"/>
    <n v="8"/>
    <n v="1910.31"/>
    <n v="0.15"/>
    <n v="0.15"/>
    <s v="OK"/>
    <n v="12990.11"/>
    <n v="10200.799999999999"/>
    <n v="2789.31"/>
    <n v="12990.108"/>
    <n v="2789.3080000000009"/>
    <x v="343"/>
    <s v="Paid"/>
    <x v="0"/>
    <s v="OK"/>
    <s v="Completed"/>
    <x v="0"/>
    <s v="OK"/>
    <s v="CLEAN"/>
    <s v="MATCH"/>
    <s v="MATCH"/>
  </r>
  <r>
    <x v="349"/>
    <n v="1"/>
    <d v="2024-05-26T00:00:00"/>
    <d v="2024-05-26T00:00:00"/>
    <x v="3"/>
    <x v="0"/>
    <s v="2025-04-02"/>
    <d v="2025-04-02T00:00:00"/>
    <n v="311"/>
    <s v="OK"/>
    <s v="CUST-2594"/>
    <s v="Rahul Verma"/>
    <s v="Rahul Verma"/>
    <s v="Small Business"/>
    <x v="1"/>
    <s v="West"/>
    <x v="3"/>
    <s v="OK"/>
    <s v="Goa"/>
    <s v="Goa"/>
    <s v="Panaji"/>
    <s v="Panaji"/>
    <s v="Technology"/>
    <x v="2"/>
    <s v="Copiers"/>
    <x v="6"/>
    <s v="Max Copiers 994"/>
    <s v="First Class"/>
    <x v="2"/>
    <s v="OK"/>
    <n v="2"/>
    <n v="3192.47"/>
    <n v="0.2"/>
    <n v="0.2"/>
    <s v="OK"/>
    <n v="5107.95"/>
    <n v="3133.08"/>
    <n v="1974.87"/>
    <n v="5107.9520000000002"/>
    <n v="1974.8720000000003"/>
    <x v="344"/>
    <s v="Paid"/>
    <x v="0"/>
    <s v="OK"/>
    <s v="Completed"/>
    <x v="0"/>
    <s v="OK"/>
    <s v="CLEAN"/>
    <s v="MATCH"/>
    <s v="MATCH"/>
  </r>
  <r>
    <x v="350"/>
    <n v="1"/>
    <d v="2024-01-26T00:00:00"/>
    <d v="2024-01-26T00:00:00"/>
    <x v="9"/>
    <x v="0"/>
    <s v="25-08-2024"/>
    <d v="2024-08-25T00:00:00"/>
    <n v="212"/>
    <s v="OK"/>
    <s v="CUST-2111"/>
    <s v="Karan Malhotra"/>
    <s v="Karan Malhotra"/>
    <s v="Corporate"/>
    <x v="2"/>
    <s v="South"/>
    <x v="2"/>
    <s v="OK"/>
    <s v="Kerala"/>
    <s v="Kerala"/>
    <s v="Kochi"/>
    <s v="Kochi"/>
    <s v="Office Supplies"/>
    <x v="0"/>
    <s v="Storage"/>
    <x v="7"/>
    <s v="Pro Storage 744"/>
    <s v="Second Class"/>
    <x v="0"/>
    <s v="OK"/>
    <n v="3"/>
    <n v="3224.32"/>
    <n v="0.2"/>
    <n v="0.2"/>
    <s v="OK"/>
    <n v="7738.37"/>
    <n v="4626.8500000000004"/>
    <n v="3111.52"/>
    <n v="7738.3680000000013"/>
    <n v="3111.5180000000009"/>
    <x v="345"/>
    <s v="Failed"/>
    <x v="3"/>
    <s v="EXCLUDE_FROM_SALES"/>
    <s v="Returned"/>
    <x v="1"/>
    <s v="RETURNED_ORDER"/>
    <s v="CLEAN"/>
    <s v="MATCH"/>
    <s v="MATCH"/>
  </r>
  <r>
    <x v="351"/>
    <n v="1"/>
    <d v="2024-12-27T00:00:00"/>
    <d v="2024-12-27T00:00:00"/>
    <x v="4"/>
    <x v="0"/>
    <s v="07/12/2025"/>
    <d v="2025-07-12T00:00:00"/>
    <n v="197"/>
    <s v="OK"/>
    <s v="CUST-6829"/>
    <s v="Isha Nair"/>
    <s v="Isha Nair"/>
    <s v="Small Business"/>
    <x v="1"/>
    <s v="East"/>
    <x v="1"/>
    <s v="OK"/>
    <s v="Odisha"/>
    <s v="Odisha"/>
    <s v="Bhubaneswar"/>
    <s v="Bhubaneswar"/>
    <s v="Furniture"/>
    <x v="1"/>
    <s v="Chairs"/>
    <x v="10"/>
    <s v="Elite Chairs 744"/>
    <s v="Second Class"/>
    <x v="0"/>
    <s v="OK"/>
    <n v="1"/>
    <n v="1594.7"/>
    <n v="0.05"/>
    <n v="0.05"/>
    <s v="OK"/>
    <n v="1514.96"/>
    <n v="1046.17"/>
    <n v="468.79"/>
    <n v="1514.9649999999999"/>
    <n v="468.79499999999985"/>
    <x v="346"/>
    <s v="Paid"/>
    <x v="0"/>
    <s v="OK"/>
    <s v="Completed"/>
    <x v="0"/>
    <s v="OK"/>
    <s v="CLEAN"/>
    <s v="MISMATCH"/>
    <s v="MISMATCH"/>
  </r>
  <r>
    <x v="352"/>
    <n v="1"/>
    <d v="2024-08-29T00:00:00"/>
    <d v="2024-08-29T00:00:00"/>
    <x v="1"/>
    <x v="0"/>
    <s v="2025-03-24"/>
    <d v="2025-03-24T00:00:00"/>
    <n v="207"/>
    <s v="OK"/>
    <s v="CUST-1940"/>
    <s v="Isha Nair"/>
    <s v="Isha Nair"/>
    <s v="Home Office"/>
    <x v="3"/>
    <s v="East"/>
    <x v="1"/>
    <s v="OK"/>
    <s v="Assam"/>
    <s v="Assam"/>
    <s v="Guwahati"/>
    <s v="Guwahati"/>
    <s v="Office Supplies"/>
    <x v="0"/>
    <s v="Binders"/>
    <x v="11"/>
    <s v="Prime Binders 287"/>
    <s v="Second Class"/>
    <x v="0"/>
    <s v="OK"/>
    <n v="9"/>
    <n v="1275.21"/>
    <n v="0.25"/>
    <n v="0.25"/>
    <s v="OK"/>
    <n v="8607.67"/>
    <n v="5337.64"/>
    <n v="3270.03"/>
    <n v="8607.6674999999996"/>
    <n v="3270.0274999999992"/>
    <x v="347"/>
    <s v="Failed"/>
    <x v="3"/>
    <s v="EXCLUDE_FROM_SALES"/>
    <s v="Returned"/>
    <x v="1"/>
    <s v="RETURNED_ORDER"/>
    <s v="CLEAN"/>
    <s v="MATCH"/>
    <s v="MATCH"/>
  </r>
  <r>
    <x v="353"/>
    <n v="1"/>
    <d v="2024-02-05T00:00:00"/>
    <d v="2024-02-05T00:00:00"/>
    <x v="11"/>
    <x v="0"/>
    <s v="21-06-2024"/>
    <d v="2024-06-21T00:00:00"/>
    <n v="137"/>
    <s v="OK"/>
    <s v="CUST-1986"/>
    <s v="Aarav Sharma"/>
    <s v="Aarav Sharma"/>
    <s v="Home Office"/>
    <x v="3"/>
    <s v="North"/>
    <x v="0"/>
    <s v="OK"/>
    <s v="Uttar Pradesh"/>
    <s v="Uttar Pradesh"/>
    <s v="Noida"/>
    <s v="Noida"/>
    <s v="Office Supplies"/>
    <x v="0"/>
    <s v="Labels"/>
    <x v="5"/>
    <s v="Elite Labels 654"/>
    <s v="Standard Class"/>
    <x v="3"/>
    <s v="OK"/>
    <n v="8"/>
    <n v="3871.18"/>
    <n v="0.15"/>
    <n v="0.15"/>
    <s v="OK"/>
    <n v="26324.02"/>
    <n v="16277.96"/>
    <n v="10046.06"/>
    <n v="26324.023999999998"/>
    <n v="10046.063999999998"/>
    <x v="348"/>
    <s v="Failed"/>
    <x v="3"/>
    <s v="EXCLUDE_FROM_SALES"/>
    <s v="Returned"/>
    <x v="1"/>
    <s v="RETURNED_ORDER"/>
    <s v="CLEAN"/>
    <s v="MATCH"/>
    <s v="MATCH"/>
  </r>
  <r>
    <x v="354"/>
    <n v="1"/>
    <d v="2024-04-01T00:00:00"/>
    <d v="2024-04-01T00:00:00"/>
    <x v="6"/>
    <x v="0"/>
    <s v="2025-01-22"/>
    <d v="2025-01-22T00:00:00"/>
    <n v="296"/>
    <s v="OK"/>
    <s v="CUST-2314"/>
    <s v="Kabir Singh"/>
    <s v="Kabir Singh"/>
    <s v="Consumer"/>
    <x v="0"/>
    <s v="East"/>
    <x v="1"/>
    <s v="OK"/>
    <s v="Bihar"/>
    <s v="Bihar"/>
    <s v="Patna"/>
    <s v="Patna"/>
    <s v="Furniture"/>
    <x v="1"/>
    <s v="Chairs"/>
    <x v="10"/>
    <s v="Basic Chairs 480"/>
    <s v="Second Class"/>
    <x v="0"/>
    <s v="OK"/>
    <n v="6"/>
    <n v="2423.61"/>
    <n v="0.1"/>
    <n v="0.1"/>
    <s v="OK"/>
    <n v="13087.49"/>
    <n v="7608.89"/>
    <n v="5133.22"/>
    <n v="13087.494000000001"/>
    <n v="5478.6040000000003"/>
    <x v="349"/>
    <s v="Paid"/>
    <x v="0"/>
    <s v="OK"/>
    <s v="Completed"/>
    <x v="0"/>
    <s v="OK"/>
    <s v="CLEAN"/>
    <s v="MATCH"/>
    <s v="MISMATCH"/>
  </r>
  <r>
    <x v="355"/>
    <n v="1"/>
    <d v="2024-09-18T00:00:00"/>
    <d v="2024-09-18T00:00:00"/>
    <x v="5"/>
    <x v="0"/>
    <s v="03/16/2024"/>
    <d v="2024-03-16T00:00:00"/>
    <n v="-186"/>
    <s v="INVALID_SHIPPING"/>
    <s v="CUST-6360"/>
    <s v="Vikram Iyer"/>
    <s v="Vikram Iyer"/>
    <s v="Small Business"/>
    <x v="1"/>
    <s v="East"/>
    <x v="1"/>
    <s v="OK"/>
    <s v="Jharkhand"/>
    <s v="Jharkhand"/>
    <s v="Ranchi"/>
    <s v="Ranchi"/>
    <s v="Technology"/>
    <x v="2"/>
    <s v="Machines"/>
    <x v="12"/>
    <s v="Elite Machines 955"/>
    <s v="First Class"/>
    <x v="2"/>
    <s v="OK"/>
    <n v="3"/>
    <n v="729.14"/>
    <n v="0.25"/>
    <n v="0.25"/>
    <s v="OK"/>
    <n v="1640.57"/>
    <n v="1136.98"/>
    <n v="503.59"/>
    <n v="1640.5650000000001"/>
    <n v="503.58500000000004"/>
    <x v="350"/>
    <s v="Paid"/>
    <x v="0"/>
    <s v="OK"/>
    <s v="Completed"/>
    <x v="0"/>
    <s v="OK"/>
    <s v="INVALID"/>
    <s v="MATCH"/>
    <s v="MATCH"/>
  </r>
  <r>
    <x v="356"/>
    <n v="1"/>
    <d v="2024-04-21T00:00:00"/>
    <d v="2024-04-21T00:00:00"/>
    <x v="6"/>
    <x v="0"/>
    <s v="06-07-2025"/>
    <d v="2025-06-07T00:00:00"/>
    <n v="412"/>
    <s v="OK"/>
    <s v="CUST-1808"/>
    <s v="Neha Gupta"/>
    <s v="Neha Gupta"/>
    <s v="Small Business"/>
    <x v="1"/>
    <s v="South"/>
    <x v="2"/>
    <s v="OK"/>
    <s v="Andhra Pradesh"/>
    <s v="Andhra Pradesh"/>
    <s v="Vijayawada"/>
    <s v="Vijayawada"/>
    <s v="Office Supplies"/>
    <x v="0"/>
    <s v="Art"/>
    <x v="2"/>
    <s v="Prime Art 301"/>
    <s v="Same Day"/>
    <x v="1"/>
    <s v="OK"/>
    <n v="9"/>
    <n v="703.59"/>
    <n v="0.2"/>
    <n v="0.2"/>
    <s v="OK"/>
    <n v="5065.8500000000004"/>
    <n v="3517.23"/>
    <n v="1548.62"/>
    <n v="5065.8480000000009"/>
    <n v="1548.6180000000008"/>
    <x v="351"/>
    <s v="Failed"/>
    <x v="3"/>
    <s v="EXCLUDE_FROM_SALES"/>
    <s v="Returned"/>
    <x v="1"/>
    <s v="RETURNED_ORDER"/>
    <s v="CLEAN"/>
    <s v="MATCH"/>
    <s v="MATCH"/>
  </r>
  <r>
    <x v="357"/>
    <n v="1"/>
    <d v="2024-04-13T00:00:00"/>
    <d v="2024-04-13T00:00:00"/>
    <x v="6"/>
    <x v="0"/>
    <s v="01/30/2025"/>
    <d v="2025-01-30T00:00:00"/>
    <n v="292"/>
    <s v="OK"/>
    <s v="CUST-7744"/>
    <s v="Aarav Sharma"/>
    <s v="Aarav Sharma"/>
    <s v="Home Office"/>
    <x v="3"/>
    <s v="East"/>
    <x v="1"/>
    <s v="OK"/>
    <s v="Bihar"/>
    <s v="Bihar"/>
    <s v="Patna"/>
    <s v="Patna"/>
    <s v="Technology"/>
    <x v="2"/>
    <s v="Accessories"/>
    <x v="4"/>
    <s v="Basic Accessories 210"/>
    <s v="Same Day"/>
    <x v="1"/>
    <s v="OK"/>
    <n v="7"/>
    <n v="2648.76"/>
    <n v="0.15"/>
    <n v="0.15"/>
    <s v="OK"/>
    <n v="15760.12"/>
    <n v="9931.5300000000007"/>
    <n v="5828.59"/>
    <n v="15760.121999999999"/>
    <n v="5828.5919999999987"/>
    <x v="352"/>
    <s v="Failed"/>
    <x v="3"/>
    <s v="EXCLUDE_FROM_SALES"/>
    <s v="Returned"/>
    <x v="1"/>
    <s v="RETURNED_ORDER"/>
    <s v="CLEAN"/>
    <s v="MATCH"/>
    <s v="MATCH"/>
  </r>
  <r>
    <x v="358"/>
    <n v="1"/>
    <d v="2024-05-07T00:00:00"/>
    <d v="2024-05-07T00:00:00"/>
    <x v="3"/>
    <x v="0"/>
    <s v="21 Aug 2024"/>
    <d v="2024-08-21T00:00:00"/>
    <n v="106"/>
    <s v="OK"/>
    <s v="CUST-4446"/>
    <s v="Neha Gupta"/>
    <s v="Neha Gupta"/>
    <s v="Small Business"/>
    <x v="1"/>
    <s v="North"/>
    <x v="0"/>
    <s v="OK"/>
    <s v="Haryana"/>
    <s v="Haryana"/>
    <s v="Gurugram"/>
    <s v="Gurugram"/>
    <s v="Technology"/>
    <x v="2"/>
    <s v="Machines"/>
    <x v="12"/>
    <s v="Pro Machines 589"/>
    <s v="Same Day"/>
    <x v="1"/>
    <s v="OK"/>
    <n v="4"/>
    <n v="2751.1"/>
    <n v="-0.05"/>
    <n v="-0.05"/>
    <s v="Invalid Negative Discount"/>
    <n v="9903.9599999999991"/>
    <n v="7696.28"/>
    <n v="2207.6799999999998"/>
    <s v="INVALID"/>
    <s v="INVALID"/>
    <x v="12"/>
    <s v="Paid"/>
    <x v="0"/>
    <s v="OK"/>
    <s v="Completed"/>
    <x v="0"/>
    <s v="OK"/>
    <s v="INVALID"/>
    <s v="INVALID"/>
    <s v="INVALID"/>
  </r>
  <r>
    <x v="359"/>
    <n v="1"/>
    <d v="2024-05-17T00:00:00"/>
    <d v="2024-05-17T00:00:00"/>
    <x v="3"/>
    <x v="0"/>
    <s v="2024-01-24"/>
    <d v="2024-01-24T00:00:00"/>
    <n v="-114"/>
    <s v="INVALID_SHIPPING"/>
    <s v="CUST-4537"/>
    <s v="Sneha Kapoor"/>
    <s v="Sneha Kapoor"/>
    <s v="Consumer"/>
    <x v="0"/>
    <s v="South"/>
    <x v="2"/>
    <s v="OK"/>
    <s v="Andhra Pradesh"/>
    <s v="Andhra Pradesh"/>
    <s v="Vijayawada"/>
    <s v="Vijayawada"/>
    <s v="Technology"/>
    <x v="2"/>
    <s v="Machines"/>
    <x v="12"/>
    <s v="Max Machines 595"/>
    <s v="Second Class"/>
    <x v="0"/>
    <s v="OK"/>
    <n v="7"/>
    <n v="232.5"/>
    <n v="0"/>
    <n v="0"/>
    <s v="OK"/>
    <n v="1627.5"/>
    <n v="939.9"/>
    <n v="687.6"/>
    <n v="1627.5"/>
    <n v="687.6"/>
    <x v="353"/>
    <s v="Paid"/>
    <x v="0"/>
    <s v="OK"/>
    <s v="Completed"/>
    <x v="0"/>
    <s v="OK"/>
    <s v="INVALID"/>
    <s v="MATCH"/>
    <s v="MATCH"/>
  </r>
  <r>
    <x v="360"/>
    <n v="1"/>
    <d v="2024-01-14T00:00:00"/>
    <d v="2024-01-14T00:00:00"/>
    <x v="9"/>
    <x v="0"/>
    <s v="2025-08-18"/>
    <d v="2025-08-18T00:00:00"/>
    <n v="582"/>
    <s v="OK"/>
    <s v="CUST-3181"/>
    <s v="Mira Das"/>
    <s v="Mira Das"/>
    <s v="Home Office"/>
    <x v="3"/>
    <s v="West"/>
    <x v="3"/>
    <s v="OK"/>
    <s v="Rajasthan"/>
    <s v="Rajasthan"/>
    <s v="Udaipur"/>
    <s v="Udaipur"/>
    <s v="Technology"/>
    <x v="2"/>
    <s v="Machines"/>
    <x v="12"/>
    <s v="Elite Machines 367"/>
    <s v="Same Day"/>
    <x v="1"/>
    <s v="OK"/>
    <n v="6"/>
    <n v="1784.8"/>
    <n v="0.1"/>
    <n v="0.1"/>
    <s v="OK"/>
    <n v="9637.92"/>
    <n v="7329.29"/>
    <n v="2308.63"/>
    <n v="9637.92"/>
    <n v="2308.63"/>
    <x v="354"/>
    <s v="Paid"/>
    <x v="0"/>
    <s v="OK"/>
    <s v="Completed"/>
    <x v="0"/>
    <s v="OK"/>
    <s v="CLEAN"/>
    <s v="MATCH"/>
    <s v="MATCH"/>
  </r>
  <r>
    <x v="361"/>
    <n v="1"/>
    <d v="2024-02-05T00:00:00"/>
    <d v="2024-02-05T00:00:00"/>
    <x v="11"/>
    <x v="0"/>
    <s v="2025-04-13"/>
    <d v="2025-04-13T00:00:00"/>
    <n v="433"/>
    <s v="OK"/>
    <s v="CUST-1015"/>
    <s v="Rahul Verma"/>
    <s v="Rahul Verma"/>
    <s v="Home Office"/>
    <x v="3"/>
    <s v="East"/>
    <x v="1"/>
    <s v="OK"/>
    <s v="Jharkhand"/>
    <s v="Jharkhand"/>
    <s v="Ranchi"/>
    <s v="Ranchi"/>
    <s v="Technology"/>
    <x v="2"/>
    <s v="Copiers"/>
    <x v="6"/>
    <s v="Basic Copiers 787"/>
    <s v="Second Class"/>
    <x v="0"/>
    <s v="OK"/>
    <n v="2"/>
    <n v="3185.01"/>
    <n v="-0.24"/>
    <n v="-0.24"/>
    <s v="Invalid Negative Discount"/>
    <n v="4777.5200000000004"/>
    <n v="3152.98"/>
    <n v="1624.54"/>
    <s v="INVALID"/>
    <s v="INVALID"/>
    <x v="12"/>
    <s v="Paid"/>
    <x v="0"/>
    <s v="OK"/>
    <s v="Completed"/>
    <x v="0"/>
    <s v="OK"/>
    <s v="INVALID"/>
    <s v="INVALID"/>
    <s v="INVALID"/>
  </r>
  <r>
    <x v="362"/>
    <n v="1"/>
    <d v="2024-07-12T00:00:00"/>
    <d v="2024-07-12T00:00:00"/>
    <x v="0"/>
    <x v="0"/>
    <s v="28-02-2025"/>
    <d v="2025-02-28T00:00:00"/>
    <n v="231"/>
    <s v="OK"/>
    <s v="CUST-2709"/>
    <s v="Mira Das"/>
    <s v="Mira Das"/>
    <s v="Home Office"/>
    <x v="3"/>
    <s v="South"/>
    <x v="2"/>
    <s v="OK"/>
    <s v="Telangana"/>
    <s v="Telangana"/>
    <s v="Hyderabad"/>
    <s v="Hyderabad"/>
    <s v="Technology"/>
    <x v="2"/>
    <s v="Accessories"/>
    <x v="4"/>
    <s v="Max Accessories 903"/>
    <s v="Standard Class"/>
    <x v="3"/>
    <s v="OK"/>
    <n v="1"/>
    <n v="1908.83"/>
    <n v="0.2"/>
    <n v="0.2"/>
    <s v="OK"/>
    <n v="1527.06"/>
    <n v="1055.8900000000001"/>
    <n v="471.17"/>
    <n v="1527.0640000000001"/>
    <n v="471.17399999999998"/>
    <x v="355"/>
    <s v="Paid"/>
    <x v="0"/>
    <s v="OK"/>
    <s v="Completed"/>
    <x v="0"/>
    <s v="OK"/>
    <s v="CLEAN"/>
    <s v="MATCH"/>
    <s v="MATCH"/>
  </r>
  <r>
    <x v="363"/>
    <n v="1"/>
    <d v="2024-06-21T00:00:00"/>
    <d v="2024-06-21T00:00:00"/>
    <x v="8"/>
    <x v="0"/>
    <s v="04 Jan 2025"/>
    <d v="2025-01-04T00:00:00"/>
    <n v="197"/>
    <s v="OK"/>
    <s v="CUST-7758"/>
    <s v="Rohan Mehta"/>
    <s v="Rohan Mehta"/>
    <s v="Small Business"/>
    <x v="1"/>
    <s v="North"/>
    <x v="0"/>
    <s v="OK"/>
    <s v="Punjab"/>
    <s v="Punjab"/>
    <s v="Ludhiana"/>
    <s v="Ludhiana"/>
    <s v="Technology"/>
    <x v="2"/>
    <s v="Copiers"/>
    <x v="6"/>
    <s v="Classic Copiers 908"/>
    <s v="Same Day"/>
    <x v="1"/>
    <s v="OK"/>
    <n v="1"/>
    <n v="279.83"/>
    <n v="0.05"/>
    <n v="0.05"/>
    <s v="OK"/>
    <n v="265.83999999999997"/>
    <n v="223.49"/>
    <n v="42.35"/>
    <n v="265.83849999999995"/>
    <n v="42.348499999999945"/>
    <x v="356"/>
    <s v="Paid"/>
    <x v="0"/>
    <s v="OK"/>
    <s v="Completed"/>
    <x v="0"/>
    <s v="OK"/>
    <s v="CLEAN"/>
    <s v="MATCH"/>
    <s v="MATCH"/>
  </r>
  <r>
    <x v="364"/>
    <n v="1"/>
    <d v="2024-11-21T00:00:00"/>
    <d v="2024-11-21T00:00:00"/>
    <x v="2"/>
    <x v="0"/>
    <s v="2024-12-31"/>
    <d v="2024-12-31T00:00:00"/>
    <n v="40"/>
    <s v="OK"/>
    <s v="CUST-4190"/>
    <s v="Mira Das"/>
    <s v="Mira Das"/>
    <s v="Corporate"/>
    <x v="2"/>
    <s v="West"/>
    <x v="3"/>
    <s v="OK"/>
    <s v="Gujarat"/>
    <s v="Gujarat"/>
    <s v="Ahmedabad"/>
    <s v="Ahmedabad"/>
    <s v="Office Supplies"/>
    <x v="0"/>
    <s v="Paper"/>
    <x v="0"/>
    <s v="Pro Paper 187"/>
    <s v="Second Class"/>
    <x v="0"/>
    <s v="OK"/>
    <n v="5"/>
    <n v="600.46"/>
    <n v="0.2"/>
    <n v="0.2"/>
    <s v="OK"/>
    <n v="2401.84"/>
    <n v="1873.11"/>
    <n v="528.73"/>
    <n v="2401.84"/>
    <n v="528.73000000000025"/>
    <x v="357"/>
    <s v="Paid"/>
    <x v="0"/>
    <s v="OK"/>
    <s v="Completed"/>
    <x v="0"/>
    <s v="OK"/>
    <s v="CLEAN"/>
    <s v="MATCH"/>
    <s v="MATCH"/>
  </r>
  <r>
    <x v="365"/>
    <n v="1"/>
    <d v="2024-03-24T00:00:00"/>
    <d v="2024-03-24T00:00:00"/>
    <x v="10"/>
    <x v="0"/>
    <s v="30-05-2025"/>
    <d v="2025-05-30T00:00:00"/>
    <n v="432"/>
    <s v="OK"/>
    <s v="CUST-7568"/>
    <s v="Ananya Rao"/>
    <s v="Ananya Rao"/>
    <s v="Home Office"/>
    <x v="3"/>
    <s v="West"/>
    <x v="3"/>
    <s v="OK"/>
    <s v="Maharashtra"/>
    <s v="Maharashtra"/>
    <s v="Mumbai"/>
    <s v="Mumbai"/>
    <s v="Furniture"/>
    <x v="1"/>
    <s v="Tables"/>
    <x v="1"/>
    <s v="Classic Tables 606"/>
    <s v="Second Class"/>
    <x v="0"/>
    <s v="OK"/>
    <n v="4"/>
    <n v="1700.72"/>
    <n v="0.25"/>
    <n v="0.25"/>
    <s v="OK"/>
    <n v="5102.16"/>
    <n v="3226.45"/>
    <n v="1875.71"/>
    <n v="5102.16"/>
    <n v="1875.71"/>
    <x v="358"/>
    <s v="Paid"/>
    <x v="0"/>
    <s v="OK"/>
    <s v="Completed"/>
    <x v="0"/>
    <s v="OK"/>
    <s v="CLEAN"/>
    <s v="MATCH"/>
    <s v="MATCH"/>
  </r>
  <r>
    <x v="366"/>
    <n v="1"/>
    <d v="2024-03-22T00:00:00"/>
    <d v="2024-03-22T00:00:00"/>
    <x v="10"/>
    <x v="0"/>
    <s v="22-05-2025"/>
    <d v="2025-05-22T00:00:00"/>
    <n v="426"/>
    <s v="OK"/>
    <s v="CUST-3293"/>
    <s v="Aditi Sen"/>
    <s v="Aditi Sen"/>
    <s v="Home Office"/>
    <x v="3"/>
    <s v="West"/>
    <x v="3"/>
    <s v="OK"/>
    <s v="Goa"/>
    <s v="Goa"/>
    <s v="Panaji"/>
    <s v="Panaji"/>
    <s v="Technology"/>
    <x v="2"/>
    <s v="Copiers"/>
    <x v="6"/>
    <s v="Classic Copiers 583"/>
    <s v="Second Class"/>
    <x v="0"/>
    <s v="OK"/>
    <n v="9"/>
    <n v="3649.51"/>
    <n v="0.05"/>
    <n v="0.05"/>
    <s v="OK"/>
    <n v="31203.31"/>
    <n v="17738.13"/>
    <n v="13465.18"/>
    <n v="31203.310500000003"/>
    <n v="13465.180500000002"/>
    <x v="359"/>
    <s v="Paid"/>
    <x v="0"/>
    <s v="OK"/>
    <s v="Completed"/>
    <x v="0"/>
    <s v="OK"/>
    <s v="CLEAN"/>
    <s v="MATCH"/>
    <s v="MATCH"/>
  </r>
  <r>
    <x v="367"/>
    <n v="1"/>
    <d v="2024-04-09T00:00:00"/>
    <d v="2024-04-09T00:00:00"/>
    <x v="6"/>
    <x v="0"/>
    <s v="23 Sep 2024"/>
    <d v="2024-09-23T00:00:00"/>
    <n v="167"/>
    <s v="OK"/>
    <s v="CUST-8180"/>
    <s v="Aditi Sen"/>
    <s v="Aditi Sen"/>
    <s v="Corporate"/>
    <x v="2"/>
    <s v="West"/>
    <x v="3"/>
    <s v="OK"/>
    <s v="Madhya Pradesh"/>
    <s v="Madhya Pradesh"/>
    <s v="Indore"/>
    <s v="Indore"/>
    <s v="Furniture"/>
    <x v="1"/>
    <s v="Chairs"/>
    <x v="10"/>
    <s v="Classic Chairs 460"/>
    <s v="Standard Class"/>
    <x v="3"/>
    <s v="OK"/>
    <n v="5"/>
    <n v="2528.5300000000002"/>
    <n v="0.05"/>
    <n v="0.05"/>
    <s v="OK"/>
    <n v="12010.52"/>
    <n v="7864.61"/>
    <n v="4145.91"/>
    <n v="12010.5175"/>
    <n v="4145.9075000000003"/>
    <x v="360"/>
    <s v="Paid"/>
    <x v="0"/>
    <s v="OK"/>
    <s v="Returned"/>
    <x v="1"/>
    <s v="RETURNED_ORDER"/>
    <s v="CLEAN"/>
    <s v="MATCH"/>
    <s v="MATCH"/>
  </r>
  <r>
    <x v="368"/>
    <n v="1"/>
    <d v="2024-05-18T00:00:00"/>
    <d v="2024-05-18T00:00:00"/>
    <x v="3"/>
    <x v="0"/>
    <s v="14-04-2024"/>
    <d v="2024-04-14T00:00:00"/>
    <n v="-34"/>
    <s v="INVALID_SHIPPING"/>
    <s v="CUST-4081"/>
    <s v="Vikram Iyer"/>
    <s v="Vikram Iyer"/>
    <s v="Corporate"/>
    <x v="2"/>
    <s v="East"/>
    <x v="1"/>
    <s v="OK"/>
    <s v="Jharkhand"/>
    <s v="Jharkhand"/>
    <s v="Ranchi"/>
    <s v="Ranchi"/>
    <s v="Technology"/>
    <x v="2"/>
    <s v="Accessories"/>
    <x v="4"/>
    <s v="Basic Accessories 944"/>
    <s v="Second Class"/>
    <x v="0"/>
    <s v="OK"/>
    <n v="1"/>
    <n v="1033.71"/>
    <n v="0"/>
    <n v="0"/>
    <s v="OK"/>
    <n v="1033.71"/>
    <n v="630.82000000000005"/>
    <n v="402.89"/>
    <n v="1033.71"/>
    <n v="402.89"/>
    <x v="361"/>
    <s v="Pending"/>
    <x v="1"/>
    <s v="OK"/>
    <s v="Returned"/>
    <x v="1"/>
    <s v="RETURNED_ORDER"/>
    <s v="INVALID"/>
    <s v="MATCH"/>
    <s v="MATCH"/>
  </r>
  <r>
    <x v="369"/>
    <n v="1"/>
    <d v="2024-06-22T00:00:00"/>
    <d v="2024-06-22T00:00:00"/>
    <x v="8"/>
    <x v="0"/>
    <s v="23-09-2025"/>
    <d v="2025-09-23T00:00:00"/>
    <n v="458"/>
    <s v="OK"/>
    <s v="CUST-4655"/>
    <s v="Isha Nair"/>
    <s v="Isha Nair"/>
    <s v="Home Office"/>
    <x v="3"/>
    <s v="South"/>
    <x v="2"/>
    <s v="OK"/>
    <s v="Karnataka"/>
    <s v="Karnataka"/>
    <s v="Bengaluru"/>
    <s v="Bengaluru"/>
    <s v="Furniture"/>
    <x v="1"/>
    <s v="Chairs"/>
    <x v="10"/>
    <s v="Smart Chairs 610"/>
    <s v="Same Day"/>
    <x v="1"/>
    <s v="OK"/>
    <n v="7"/>
    <n v="2623.48"/>
    <n v="0"/>
    <n v="0"/>
    <s v="OK"/>
    <n v="18364.36"/>
    <n v="15445.81"/>
    <n v="2918.55"/>
    <n v="18364.36"/>
    <n v="2918.5500000000011"/>
    <x v="362"/>
    <s v="Paid"/>
    <x v="0"/>
    <s v="OK"/>
    <s v="Completed"/>
    <x v="0"/>
    <s v="OK"/>
    <s v="CLEAN"/>
    <s v="MATCH"/>
    <s v="MATCH"/>
  </r>
  <r>
    <x v="370"/>
    <n v="1"/>
    <d v="2024-11-24T00:00:00"/>
    <d v="2024-11-24T00:00:00"/>
    <x v="2"/>
    <x v="0"/>
    <s v="03/08/2025"/>
    <d v="2025-03-08T00:00:00"/>
    <n v="104"/>
    <s v="OK"/>
    <s v="CUST-1674"/>
    <s v="Kabir Singh"/>
    <s v="Kabir Singh"/>
    <s v="Corporate"/>
    <x v="2"/>
    <s v="South"/>
    <x v="2"/>
    <s v="OK"/>
    <s v="Karnataka"/>
    <s v="Karnataka"/>
    <s v="Bengaluru"/>
    <s v="Bengaluru"/>
    <s v="Furniture"/>
    <x v="1"/>
    <s v="Tables"/>
    <x v="1"/>
    <s v="Prime Tables 123"/>
    <s v="Second Class"/>
    <x v="0"/>
    <s v="OK"/>
    <n v="9"/>
    <n v="2763.61"/>
    <n v="0.15"/>
    <n v="0.15"/>
    <s v="OK"/>
    <n v="21141.62"/>
    <n v="11676.33"/>
    <n v="9465.2900000000009"/>
    <n v="21141.6165"/>
    <n v="9465.2865000000002"/>
    <x v="363"/>
    <s v="Paid"/>
    <x v="0"/>
    <s v="OK"/>
    <s v="Completed"/>
    <x v="0"/>
    <s v="OK"/>
    <s v="CLEAN"/>
    <s v="MATCH"/>
    <s v="MATCH"/>
  </r>
  <r>
    <x v="371"/>
    <n v="1"/>
    <d v="2024-05-29T00:00:00"/>
    <d v="2024-05-29T00:00:00"/>
    <x v="3"/>
    <x v="0"/>
    <s v="05 Jul 2025"/>
    <d v="2025-07-05T00:00:00"/>
    <n v="402"/>
    <s v="OK"/>
    <s v="CUST-1136"/>
    <s v="Kabir Singh"/>
    <s v="Kabir Singh"/>
    <s v="Corporate"/>
    <x v="2"/>
    <s v="South"/>
    <x v="2"/>
    <s v="OK"/>
    <s v="Tamil Nadu"/>
    <s v="Tamil Nadu"/>
    <s v="Chennai"/>
    <s v="Chennai"/>
    <s v="Technology"/>
    <x v="2"/>
    <s v="Accessories"/>
    <x v="4"/>
    <s v="Eco Accessories 658"/>
    <s v="First Class"/>
    <x v="2"/>
    <s v="OK"/>
    <n v="4"/>
    <n v="3700.24"/>
    <n v="0"/>
    <n v="0"/>
    <s v="OK"/>
    <n v="14800.96"/>
    <n v="12048.39"/>
    <n v="2752.57"/>
    <n v="14800.96"/>
    <n v="2752.5699999999997"/>
    <x v="364"/>
    <s v="Paid"/>
    <x v="0"/>
    <s v="OK"/>
    <s v="Completed"/>
    <x v="0"/>
    <s v="OK"/>
    <s v="CLEAN"/>
    <s v="MATCH"/>
    <s v="MATCH"/>
  </r>
  <r>
    <x v="372"/>
    <n v="1"/>
    <d v="2024-04-07T00:00:00"/>
    <d v="2024-04-07T00:00:00"/>
    <x v="6"/>
    <x v="0"/>
    <s v="2024-03-20"/>
    <d v="2024-03-20T00:00:00"/>
    <n v="-18"/>
    <s v="INVALID_SHIPPING"/>
    <s v="CUST-1376"/>
    <s v="Vikram Iyer"/>
    <s v="Vikram Iyer"/>
    <s v="Corporate"/>
    <x v="2"/>
    <s v="North"/>
    <x v="0"/>
    <s v="OK"/>
    <s v="Delhi"/>
    <s v="Delhi"/>
    <s v="New Delhi"/>
    <s v="New Delhi"/>
    <s v="Furniture"/>
    <x v="1"/>
    <s v="Tables"/>
    <x v="1"/>
    <s v="Smart Tables 777"/>
    <s v="Second Class"/>
    <x v="0"/>
    <s v="OK"/>
    <n v="5"/>
    <n v="1200.27"/>
    <n v="0"/>
    <n v="0"/>
    <s v="OK"/>
    <n v="6001.35"/>
    <n v="4182.99"/>
    <n v="1818.36"/>
    <n v="6001.35"/>
    <n v="1818.3600000000006"/>
    <x v="365"/>
    <s v="Paid"/>
    <x v="0"/>
    <s v="OK"/>
    <s v="Cancelled"/>
    <x v="2"/>
    <s v="EXCLUDE_FROM_SALES"/>
    <s v="INVALID"/>
    <s v="MATCH"/>
    <s v="MATCH"/>
  </r>
  <r>
    <x v="373"/>
    <n v="1"/>
    <d v="2024-03-25T00:00:00"/>
    <d v="2024-03-25T00:00:00"/>
    <x v="10"/>
    <x v="0"/>
    <s v="30 Jun 2025"/>
    <d v="2025-06-30T00:00:00"/>
    <n v="462"/>
    <s v="OK"/>
    <s v="CUST-3127"/>
    <s v="Sneha Kapoor"/>
    <s v="Sneha Kapoor"/>
    <s v="Home Office"/>
    <x v="3"/>
    <s v="South"/>
    <x v="2"/>
    <s v="OK"/>
    <s v="Tamil Nadu"/>
    <s v="Tamil Nadu"/>
    <s v="Chennai"/>
    <s v="Chennai"/>
    <s v="Technology"/>
    <x v="2"/>
    <s v="Copiers"/>
    <x v="6"/>
    <s v="Pro Copiers 502"/>
    <s v="Standard Class"/>
    <x v="3"/>
    <s v="OK"/>
    <n v="2"/>
    <n v="2349.13"/>
    <n v="0"/>
    <n v="0"/>
    <s v="OK"/>
    <n v="4698.26"/>
    <n v="2654.92"/>
    <n v="2043.34"/>
    <n v="4698.26"/>
    <n v="2043.3400000000001"/>
    <x v="366"/>
    <s v="Paid"/>
    <x v="0"/>
    <s v="OK"/>
    <s v="Completed"/>
    <x v="0"/>
    <s v="OK"/>
    <s v="CLEAN"/>
    <s v="MATCH"/>
    <s v="MATCH"/>
  </r>
  <r>
    <x v="374"/>
    <n v="1"/>
    <d v="2024-10-05T00:00:00"/>
    <d v="2024-10-05T00:00:00"/>
    <x v="7"/>
    <x v="0"/>
    <s v="14-02-2025"/>
    <d v="2025-02-14T00:00:00"/>
    <n v="132"/>
    <s v="OK"/>
    <s v="CUST-4382"/>
    <s v="Rohan Mehta"/>
    <s v="Rohan Mehta"/>
    <s v="Small Business"/>
    <x v="1"/>
    <s v="North"/>
    <x v="0"/>
    <s v="OK"/>
    <s v="Punjab"/>
    <s v="Punjab"/>
    <s v="Ludhiana"/>
    <s v="Ludhiana"/>
    <s v="Furniture"/>
    <x v="1"/>
    <s v="Tables"/>
    <x v="1"/>
    <s v="Elite Tables 717"/>
    <s v="Standard Class"/>
    <x v="3"/>
    <s v="OK"/>
    <n v="9"/>
    <n v="489.58"/>
    <n v="0.15"/>
    <n v="0.15"/>
    <s v="OK"/>
    <n v="3745.29"/>
    <n v="2302.65"/>
    <n v="1442.64"/>
    <n v="3745.2870000000003"/>
    <n v="1442.6370000000002"/>
    <x v="367"/>
    <s v="Failed"/>
    <x v="3"/>
    <s v="EXCLUDE_FROM_SALES"/>
    <s v="Cancelled"/>
    <x v="2"/>
    <s v="EXCLUDE_FROM_SALES"/>
    <s v="CLEAN"/>
    <s v="MATCH"/>
    <s v="MATCH"/>
  </r>
  <r>
    <x v="375"/>
    <n v="1"/>
    <d v="2024-11-09T00:00:00"/>
    <d v="2024-11-09T00:00:00"/>
    <x v="2"/>
    <x v="0"/>
    <s v="08/13/2025"/>
    <d v="2025-08-13T00:00:00"/>
    <n v="277"/>
    <s v="OK"/>
    <s v="CUST-6815"/>
    <s v="Sneha Kapoor"/>
    <s v="Sneha Kapoor"/>
    <s v="Corporate"/>
    <x v="2"/>
    <s v="South"/>
    <x v="2"/>
    <s v="OK"/>
    <s v="Tamil Nadu"/>
    <s v="Tamil Nadu"/>
    <s v="Chennai"/>
    <s v="Chennai"/>
    <s v="Office Supplies"/>
    <x v="0"/>
    <s v="Art"/>
    <x v="2"/>
    <s v="Max Art 725"/>
    <s v="Standard Class"/>
    <x v="3"/>
    <s v="OK"/>
    <n v="4"/>
    <n v="865.63"/>
    <n v="0"/>
    <n v="0"/>
    <s v="OK"/>
    <n v="3462.52"/>
    <n v="2797.29"/>
    <n v="665.23"/>
    <n v="3462.52"/>
    <n v="665.23"/>
    <x v="368"/>
    <s v="Failed"/>
    <x v="3"/>
    <s v="EXCLUDE_FROM_SALES"/>
    <s v="Returned"/>
    <x v="1"/>
    <s v="RETURNED_ORDER"/>
    <s v="CLEAN"/>
    <s v="MATCH"/>
    <s v="MATCH"/>
  </r>
  <r>
    <x v="376"/>
    <n v="1"/>
    <d v="2024-12-15T00:00:00"/>
    <d v="2024-12-15T00:00:00"/>
    <x v="4"/>
    <x v="0"/>
    <s v="18 May 2024"/>
    <d v="2024-05-18T00:00:00"/>
    <n v="-211"/>
    <s v="INVALID_SHIPPING"/>
    <s v="CUST-7309"/>
    <s v="Rohan Mehta"/>
    <s v="Rohan Mehta"/>
    <s v="Consumer"/>
    <x v="0"/>
    <s v="East"/>
    <x v="1"/>
    <s v="OK"/>
    <s v="Odisha"/>
    <s v="Odisha"/>
    <s v="Bhubaneswar"/>
    <s v="Bhubaneswar"/>
    <s v="Technology"/>
    <x v="2"/>
    <s v="Copiers"/>
    <x v="6"/>
    <s v="Smart Copiers 456"/>
    <s v="Second Class"/>
    <x v="0"/>
    <s v="OK"/>
    <n v="6"/>
    <n v="1538.1"/>
    <n v="0.05"/>
    <n v="0.05"/>
    <s v="OK"/>
    <n v="8767.17"/>
    <n v="5098.2"/>
    <n v="3668.97"/>
    <n v="8767.1699999999983"/>
    <n v="3668.9699999999984"/>
    <x v="369"/>
    <s v="Paid"/>
    <x v="0"/>
    <s v="OK"/>
    <s v="Completed"/>
    <x v="0"/>
    <s v="OK"/>
    <s v="INVALID"/>
    <s v="MATCH"/>
    <s v="MATCH"/>
  </r>
  <r>
    <x v="377"/>
    <n v="1"/>
    <d v="2024-01-07T00:00:00"/>
    <d v="2024-01-07T00:00:00"/>
    <x v="9"/>
    <x v="0"/>
    <s v="13 Apr 2024"/>
    <d v="2024-04-13T00:00:00"/>
    <n v="97"/>
    <s v="OK"/>
    <s v="CUST-6257"/>
    <s v="Aarav Sharma"/>
    <s v="Aarav Sharma"/>
    <s v="Consumer"/>
    <x v="0"/>
    <s v="West"/>
    <x v="3"/>
    <s v="OK"/>
    <s v="Madhya Pradesh"/>
    <s v="Madhya Pradesh"/>
    <s v="Indore"/>
    <s v="Indore"/>
    <s v="Technology"/>
    <x v="2"/>
    <s v="Machines"/>
    <x v="12"/>
    <s v="Prime Machines 102"/>
    <s v="Standard Class"/>
    <x v="3"/>
    <s v="OK"/>
    <n v="4"/>
    <n v="257.39"/>
    <n v="0"/>
    <n v="0"/>
    <s v="OK"/>
    <n v="1029.56"/>
    <n v="626.33000000000004"/>
    <n v="403.23"/>
    <n v="1029.56"/>
    <n v="403.2299999999999"/>
    <x v="370"/>
    <s v="Paid"/>
    <x v="0"/>
    <s v="OK"/>
    <s v="Completed"/>
    <x v="0"/>
    <s v="OK"/>
    <s v="CLEAN"/>
    <s v="MATCH"/>
    <s v="MATCH"/>
  </r>
  <r>
    <x v="378"/>
    <n v="1"/>
    <d v="2024-09-14T00:00:00"/>
    <d v="2024-09-14T00:00:00"/>
    <x v="5"/>
    <x v="0"/>
    <s v="11-11-2024"/>
    <d v="2024-11-11T00:00:00"/>
    <n v="58"/>
    <s v="OK"/>
    <s v="CUST-5357"/>
    <s v="Mira Das"/>
    <s v="Mira Das"/>
    <s v="Corporate"/>
    <x v="2"/>
    <s v="North"/>
    <x v="0"/>
    <s v="OK"/>
    <s v="Rajasthan"/>
    <s v="Rajasthan"/>
    <s v="Jaipur"/>
    <s v="Jaipur"/>
    <s v="Technology"/>
    <x v="2"/>
    <s v="Machines"/>
    <x v="12"/>
    <s v="Classic Machines 648"/>
    <s v="Standard Class"/>
    <x v="3"/>
    <s v="OK"/>
    <n v="8"/>
    <n v="4081.66"/>
    <n v="0.15"/>
    <n v="0.15"/>
    <s v="OK"/>
    <n v="28208.1"/>
    <n v="23751.91"/>
    <n v="4003.38"/>
    <n v="27755.287999999997"/>
    <n v="4003.377999999997"/>
    <x v="371"/>
    <s v="Paid"/>
    <x v="0"/>
    <s v="OK"/>
    <s v="Returned"/>
    <x v="1"/>
    <s v="RETURNED_ORDER"/>
    <s v="CLEAN"/>
    <s v="MISMATCH"/>
    <s v="MATCH"/>
  </r>
  <r>
    <x v="379"/>
    <n v="1"/>
    <d v="2024-11-06T00:00:00"/>
    <d v="2024-11-06T00:00:00"/>
    <x v="2"/>
    <x v="0"/>
    <s v="14 Feb 2025"/>
    <d v="2025-02-14T00:00:00"/>
    <n v="100"/>
    <s v="OK"/>
    <s v="CUST-9802"/>
    <s v="Arjun Bose"/>
    <s v="Arjun Bose"/>
    <s v="Small Business"/>
    <x v="1"/>
    <s v="South"/>
    <x v="2"/>
    <s v="OK"/>
    <s v="Karnataka"/>
    <s v="Karnataka"/>
    <s v="Bengaluru"/>
    <s v="Bengaluru"/>
    <s v="Furniture"/>
    <x v="1"/>
    <s v="Bookcases"/>
    <x v="9"/>
    <s v="Max Bookcases 565"/>
    <s v="Standard Class"/>
    <x v="3"/>
    <s v="OK"/>
    <n v="9"/>
    <n v="1400.11"/>
    <n v="0.25"/>
    <n v="0.25"/>
    <s v="OK"/>
    <n v="9450.74"/>
    <n v="7798.56"/>
    <n v="1652.18"/>
    <n v="9450.7425000000003"/>
    <n v="1652.1824999999999"/>
    <x v="372"/>
    <s v="Paid"/>
    <x v="0"/>
    <s v="OK"/>
    <s v="Completed"/>
    <x v="0"/>
    <s v="OK"/>
    <s v="CLEAN"/>
    <s v="MATCH"/>
    <s v="MATCH"/>
  </r>
  <r>
    <x v="380"/>
    <n v="1"/>
    <d v="2024-09-18T00:00:00"/>
    <d v="2024-09-18T00:00:00"/>
    <x v="5"/>
    <x v="0"/>
    <s v="22 Feb 2024"/>
    <d v="2024-02-22T00:00:00"/>
    <n v="-209"/>
    <s v="INVALID_SHIPPING"/>
    <s v="CUST-5646"/>
    <s v="Neha Gupta"/>
    <s v="Neha Gupta"/>
    <s v="Corporate"/>
    <x v="2"/>
    <s v="East"/>
    <x v="1"/>
    <s v="OK"/>
    <s v="West Bengal"/>
    <s v="West Bengal"/>
    <s v="Kolkata"/>
    <s v="Kolkata"/>
    <s v="Technology"/>
    <x v="2"/>
    <s v="Machines"/>
    <x v="12"/>
    <s v="Basic Machines 220"/>
    <s v="Standard Class"/>
    <x v="3"/>
    <s v="OK"/>
    <n v="3"/>
    <n v="3055.9"/>
    <n v="0.15"/>
    <n v="0.15"/>
    <s v="OK"/>
    <n v="7792.55"/>
    <n v="4691.7299999999996"/>
    <n v="3100.82"/>
    <n v="7792.5450000000001"/>
    <n v="3100.8150000000005"/>
    <x v="373"/>
    <s v="Paid"/>
    <x v="0"/>
    <s v="OK"/>
    <s v="Completed"/>
    <x v="0"/>
    <s v="OK"/>
    <s v="INVALID"/>
    <s v="MATCH"/>
    <s v="MATCH"/>
  </r>
  <r>
    <x v="381"/>
    <n v="1"/>
    <d v="2024-04-30T00:00:00"/>
    <d v="2024-04-30T00:00:00"/>
    <x v="6"/>
    <x v="0"/>
    <s v="08/29/2024"/>
    <d v="2024-08-29T00:00:00"/>
    <n v="121"/>
    <s v="OK"/>
    <s v="CUST-7171"/>
    <s v="Rohan Mehta"/>
    <s v="Rohan Mehta"/>
    <s v="Small Business"/>
    <x v="1"/>
    <s v="West"/>
    <x v="3"/>
    <s v="OK"/>
    <s v="Gujarat"/>
    <s v="Gujarat"/>
    <s v="Ahmedabad"/>
    <s v="Ahmedabad"/>
    <s v="Office Supplies"/>
    <x v="0"/>
    <s v="Art"/>
    <x v="2"/>
    <s v="Pro Art 151"/>
    <s v="Same Day"/>
    <x v="1"/>
    <s v="OK"/>
    <n v="7"/>
    <n v="1224.94"/>
    <n v="0"/>
    <n v="0"/>
    <s v="OK"/>
    <n v="8574.58"/>
    <n v="6685.81"/>
    <n v="1888.77"/>
    <n v="8574.58"/>
    <n v="1888.7699999999995"/>
    <x v="374"/>
    <s v="Paid"/>
    <x v="0"/>
    <s v="OK"/>
    <s v="Returned"/>
    <x v="1"/>
    <s v="RETURNED_ORDER"/>
    <s v="CLEAN"/>
    <s v="MATCH"/>
    <s v="MATCH"/>
  </r>
  <r>
    <x v="382"/>
    <n v="1"/>
    <d v="2024-10-19T00:00:00"/>
    <d v="2024-10-19T00:00:00"/>
    <x v="7"/>
    <x v="0"/>
    <s v="04 Apr 2024"/>
    <d v="2024-04-04T00:00:00"/>
    <n v="-198"/>
    <s v="INVALID_SHIPPING"/>
    <s v="CUST-8734"/>
    <s v="Aditi Sen"/>
    <s v="Aditi Sen"/>
    <s v="Corporate"/>
    <x v="2"/>
    <s v="North"/>
    <x v="0"/>
    <s v="OK"/>
    <s v="Rajasthan"/>
    <s v="Rajasthan"/>
    <s v="Jaipur"/>
    <s v="Jaipur"/>
    <s v="Furniture"/>
    <x v="1"/>
    <s v="Tables"/>
    <x v="1"/>
    <s v="Classic Tables 997"/>
    <s v="First Class"/>
    <x v="2"/>
    <s v="OK"/>
    <n v="1"/>
    <n v="1150.03"/>
    <n v="0.1"/>
    <n v="0.1"/>
    <s v="OK"/>
    <n v="1035.03"/>
    <n v="854.35"/>
    <n v="180.68"/>
    <n v="1035.027"/>
    <n v="180.67700000000002"/>
    <x v="375"/>
    <s v="Paid"/>
    <x v="0"/>
    <s v="OK"/>
    <s v="Completed"/>
    <x v="0"/>
    <s v="OK"/>
    <s v="INVALID"/>
    <s v="MATCH"/>
    <s v="MATCH"/>
  </r>
  <r>
    <x v="383"/>
    <n v="2"/>
    <d v="2024-03-13T00:00:00"/>
    <d v="2024-03-13T00:00:00"/>
    <x v="10"/>
    <x v="0"/>
    <s v="06/07/2024"/>
    <d v="2024-06-07T00:00:00"/>
    <n v="86"/>
    <s v="OK"/>
    <s v="CUST-4916"/>
    <s v="Priya Menon"/>
    <s v="Priya Menon"/>
    <s v="Home Office"/>
    <x v="3"/>
    <s v="South"/>
    <x v="2"/>
    <s v="OK"/>
    <s v="Tamil Nadu"/>
    <s v="Tamil Nadu"/>
    <s v="Chennai"/>
    <s v="Chennai"/>
    <s v="Furniture"/>
    <x v="1"/>
    <s v="Bookcases"/>
    <x v="9"/>
    <s v="Max Bookcases 738"/>
    <m/>
    <x v="4"/>
    <s v="MISSING_SHIP_MODE"/>
    <n v="1"/>
    <n v="2825.63"/>
    <n v="0.15"/>
    <n v="0.15"/>
    <s v="OK"/>
    <n v="2401.79"/>
    <n v="1820.34"/>
    <n v="581.45000000000005"/>
    <n v="2401.7855"/>
    <n v="581.44550000000004"/>
    <x v="376"/>
    <s v="Paid"/>
    <x v="0"/>
    <s v="OK"/>
    <s v="Completed"/>
    <x v="0"/>
    <s v="OK"/>
    <s v="WARNING"/>
    <s v="MATCH"/>
    <s v="MATCH"/>
  </r>
  <r>
    <x v="383"/>
    <n v="2"/>
    <d v="2024-03-13T00:00:00"/>
    <d v="2024-03-13T00:00:00"/>
    <x v="10"/>
    <x v="0"/>
    <s v="22 Apr 2025"/>
    <d v="2025-04-22T00:00:00"/>
    <n v="405"/>
    <s v="OK"/>
    <s v="CUST-4916"/>
    <s v="Priya Menon"/>
    <s v="Priya Menon"/>
    <s v="Home Office"/>
    <x v="3"/>
    <s v="South"/>
    <x v="2"/>
    <s v="OK"/>
    <s v="Tamil Nadu"/>
    <s v="Tamil Nadu"/>
    <s v="Chennai"/>
    <s v="Chennai"/>
    <s v="Furniture"/>
    <x v="1"/>
    <s v="Bookcases"/>
    <x v="9"/>
    <s v="Max Bookcases 738"/>
    <m/>
    <x v="4"/>
    <s v="MISSING_SHIP_MODE"/>
    <n v="1"/>
    <n v="2825.63"/>
    <n v="0.15"/>
    <n v="0.15"/>
    <s v="OK"/>
    <n v="2401.79"/>
    <n v="1820.34"/>
    <n v="581.45000000000005"/>
    <n v="2401.7855"/>
    <n v="581.44550000000004"/>
    <x v="376"/>
    <s v="Paid"/>
    <x v="0"/>
    <s v="OK"/>
    <s v="Completed"/>
    <x v="0"/>
    <s v="OK"/>
    <s v="WARNING"/>
    <s v="MATCH"/>
    <s v="MATCH"/>
  </r>
  <r>
    <x v="384"/>
    <n v="1"/>
    <d v="2024-08-09T00:00:00"/>
    <d v="2024-08-09T00:00:00"/>
    <x v="1"/>
    <x v="0"/>
    <s v="10 Jun 2025"/>
    <d v="2025-06-10T00:00:00"/>
    <n v="305"/>
    <s v="OK"/>
    <s v="CUST-3289"/>
    <s v="Rohan Mehta"/>
    <s v="Rohan Mehta"/>
    <s v="Consumer"/>
    <x v="0"/>
    <s v="North"/>
    <x v="0"/>
    <s v="OK"/>
    <s v="Rajasthan"/>
    <s v="Rajasthan"/>
    <s v="Jaipur"/>
    <s v="Jaipur"/>
    <s v="Office Supplies"/>
    <x v="0"/>
    <s v="Binders"/>
    <x v="11"/>
    <s v="Max Binders 411"/>
    <s v="Standard Class"/>
    <x v="3"/>
    <s v="OK"/>
    <n v="5"/>
    <n v="3371.75"/>
    <n v="0.05"/>
    <n v="0.05"/>
    <s v="OK"/>
    <n v="16015.81"/>
    <n v="11352.38"/>
    <n v="4663.43"/>
    <n v="16015.8125"/>
    <n v="4663.4325000000008"/>
    <x v="377"/>
    <s v="Paid"/>
    <x v="0"/>
    <s v="OK"/>
    <s v="Completed"/>
    <x v="0"/>
    <s v="OK"/>
    <s v="CLEAN"/>
    <s v="MATCH"/>
    <s v="MATCH"/>
  </r>
  <r>
    <x v="385"/>
    <n v="1"/>
    <d v="2024-06-24T00:00:00"/>
    <d v="2024-06-24T00:00:00"/>
    <x v="8"/>
    <x v="0"/>
    <s v="2024-07-26"/>
    <d v="2024-07-26T00:00:00"/>
    <n v="32"/>
    <s v="OK"/>
    <s v="CUST-4928"/>
    <s v="Isha Nair"/>
    <s v="Isha Nair"/>
    <s v="Small Business"/>
    <x v="1"/>
    <s v="East"/>
    <x v="1"/>
    <s v="OK"/>
    <s v="Odisha"/>
    <s v="Odisha"/>
    <s v="Bhubaneswar"/>
    <s v="Bhubaneswar"/>
    <s v="Office Supplies"/>
    <x v="0"/>
    <s v="Paper"/>
    <x v="0"/>
    <s v="Max Paper 343"/>
    <s v="Same Day"/>
    <x v="1"/>
    <s v="OK"/>
    <n v="1"/>
    <n v="2112.75"/>
    <n v="0.1"/>
    <n v="0.1"/>
    <s v="OK"/>
    <n v="1901.48"/>
    <n v="1354.28"/>
    <n v="547.20000000000005"/>
    <n v="1901.4750000000001"/>
    <n v="547.19500000000016"/>
    <x v="378"/>
    <s v="Paid"/>
    <x v="0"/>
    <s v="OK"/>
    <s v="Completed"/>
    <x v="0"/>
    <s v="OK"/>
    <s v="CLEAN"/>
    <s v="MATCH"/>
    <s v="MATCH"/>
  </r>
  <r>
    <x v="386"/>
    <n v="1"/>
    <d v="2024-12-07T00:00:00"/>
    <d v="2024-12-07T00:00:00"/>
    <x v="4"/>
    <x v="0"/>
    <s v="2025-04-29"/>
    <d v="2025-04-29T00:00:00"/>
    <n v="143"/>
    <s v="OK"/>
    <s v="CUST-7199"/>
    <s v="Vikram Iyer"/>
    <s v="Vikram Iyer"/>
    <s v="Corporate"/>
    <x v="2"/>
    <s v="North"/>
    <x v="0"/>
    <s v="OK"/>
    <s v="Punjab"/>
    <s v="Punjab"/>
    <s v="Ludhiana"/>
    <s v="Ludhiana"/>
    <s v="Office Supplies"/>
    <x v="0"/>
    <s v="Art"/>
    <x v="2"/>
    <s v="Smart Art 279"/>
    <s v="Second Class"/>
    <x v="0"/>
    <s v="OK"/>
    <n v="5"/>
    <n v="1559.16"/>
    <n v="0.05"/>
    <n v="0.05"/>
    <s v="OK"/>
    <n v="7406.01"/>
    <n v="5941.74"/>
    <n v="1464.27"/>
    <n v="7406.01"/>
    <n v="1464.2700000000004"/>
    <x v="379"/>
    <s v="Paid"/>
    <x v="0"/>
    <s v="OK"/>
    <s v="Completed"/>
    <x v="0"/>
    <s v="OK"/>
    <s v="CLEAN"/>
    <s v="MATCH"/>
    <s v="MATCH"/>
  </r>
  <r>
    <x v="387"/>
    <n v="2"/>
    <d v="2024-10-02T00:00:00"/>
    <d v="2024-10-02T00:00:00"/>
    <x v="7"/>
    <x v="0"/>
    <s v="2025-06-11"/>
    <d v="2025-06-11T00:00:00"/>
    <n v="252"/>
    <s v="OK"/>
    <s v="CUST-5127"/>
    <s v="Isha Nair"/>
    <s v="Isha Nair"/>
    <s v="Home Office"/>
    <x v="3"/>
    <s v="West"/>
    <x v="3"/>
    <s v="OK"/>
    <s v="Madhya Pradesh"/>
    <s v="Madhya Pradesh"/>
    <s v="Indore"/>
    <s v="Indore"/>
    <s v="Furniture"/>
    <x v="1"/>
    <s v="Chairs"/>
    <x v="10"/>
    <s v="Smart Chairs 259"/>
    <s v="First Class"/>
    <x v="2"/>
    <s v="OK"/>
    <n v="7"/>
    <n v="1382.86"/>
    <n v="0"/>
    <n v="0"/>
    <s v="OK"/>
    <n v="9680.02"/>
    <n v="6876.66"/>
    <n v="2803.36"/>
    <n v="9680.0199999999986"/>
    <n v="2803.3599999999988"/>
    <x v="380"/>
    <s v="Paid"/>
    <x v="0"/>
    <s v="OK"/>
    <s v="Completed"/>
    <x v="0"/>
    <s v="OK"/>
    <s v="CLEAN"/>
    <s v="MATCH"/>
    <s v="MATCH"/>
  </r>
  <r>
    <x v="387"/>
    <n v="2"/>
    <d v="2024-10-02T00:00:00"/>
    <d v="2024-10-02T00:00:00"/>
    <x v="7"/>
    <x v="0"/>
    <s v="16-03-2025"/>
    <d v="2025-03-16T00:00:00"/>
    <n v="165"/>
    <s v="OK"/>
    <s v="CUST-5127"/>
    <s v="Isha Nair"/>
    <s v="Isha Nair"/>
    <s v="Home Office"/>
    <x v="3"/>
    <s v="West"/>
    <x v="3"/>
    <s v="OK"/>
    <s v="Madhya Pradesh"/>
    <s v="Madhya Pradesh"/>
    <s v="Indore"/>
    <s v="Indore"/>
    <s v="Furniture"/>
    <x v="1"/>
    <s v="Chairs"/>
    <x v="10"/>
    <s v="Smart Chairs 259"/>
    <s v="First Class"/>
    <x v="2"/>
    <s v="OK"/>
    <n v="7"/>
    <n v="1382.86"/>
    <n v="0"/>
    <n v="0"/>
    <s v="OK"/>
    <n v="9680.02"/>
    <n v="6876.66"/>
    <n v="2803.36"/>
    <n v="9680.0199999999986"/>
    <n v="2803.3599999999988"/>
    <x v="380"/>
    <s v="Paid"/>
    <x v="0"/>
    <s v="OK"/>
    <s v="Completed"/>
    <x v="0"/>
    <s v="OK"/>
    <s v="CLEAN"/>
    <s v="MATCH"/>
    <s v="MATCH"/>
  </r>
  <r>
    <x v="388"/>
    <n v="1"/>
    <d v="2024-06-09T00:00:00"/>
    <d v="2024-06-09T00:00:00"/>
    <x v="8"/>
    <x v="0"/>
    <s v="03/22/2024"/>
    <d v="2024-03-22T00:00:00"/>
    <n v="-79"/>
    <s v="INVALID_SHIPPING"/>
    <s v="CUST-3918"/>
    <s v="Mira Das"/>
    <s v="Mira Das"/>
    <s v="Consumer"/>
    <x v="0"/>
    <s v="West"/>
    <x v="3"/>
    <s v="OK"/>
    <s v="Maharashtra"/>
    <s v="Maharashtra"/>
    <s v="Mumbai"/>
    <s v="Mumbai"/>
    <s v="Office Supplies"/>
    <x v="0"/>
    <s v="Art"/>
    <x v="2"/>
    <s v="Smart Art 866"/>
    <s v="Same Day"/>
    <x v="1"/>
    <s v="OK"/>
    <n v="3"/>
    <n v="1972.27"/>
    <n v="0.2"/>
    <n v="0.2"/>
    <s v="OK"/>
    <n v="4733.45"/>
    <n v="3672.32"/>
    <n v="1061.1300000000001"/>
    <n v="4733.4479999999994"/>
    <n v="1061.1279999999992"/>
    <x v="381"/>
    <s v="Paid"/>
    <x v="0"/>
    <s v="OK"/>
    <s v="Completed"/>
    <x v="0"/>
    <s v="OK"/>
    <s v="INVALID"/>
    <s v="MATCH"/>
    <s v="MATCH"/>
  </r>
  <r>
    <x v="389"/>
    <n v="1"/>
    <d v="2024-07-16T00:00:00"/>
    <d v="2024-07-16T00:00:00"/>
    <x v="0"/>
    <x v="0"/>
    <s v="04-10-2024"/>
    <d v="2024-04-10T00:00:00"/>
    <n v="-97"/>
    <s v="INVALID_SHIPPING"/>
    <s v="CUST-1991"/>
    <s v="Aditi Sen"/>
    <s v="Aditi Sen"/>
    <s v="Home Office"/>
    <x v="3"/>
    <s v="West"/>
    <x v="3"/>
    <s v="OK"/>
    <s v="Madhya Pradesh"/>
    <s v="Madhya Pradesh"/>
    <s v="Indore"/>
    <s v="Indore"/>
    <s v="Technology"/>
    <x v="2"/>
    <s v="Copiers"/>
    <x v="6"/>
    <s v="Smart Copiers 196"/>
    <s v="Same Day"/>
    <x v="1"/>
    <s v="OK"/>
    <n v="4"/>
    <n v="4479.92"/>
    <n v="0.15"/>
    <n v="0.15"/>
    <s v="OK"/>
    <n v="15231.73"/>
    <n v="12451.46"/>
    <n v="2780.27"/>
    <n v="15231.727999999999"/>
    <n v="2780.268"/>
    <x v="382"/>
    <s v="Paid"/>
    <x v="0"/>
    <s v="OK"/>
    <s v="Completed"/>
    <x v="0"/>
    <s v="OK"/>
    <s v="INVALID"/>
    <s v="MATCH"/>
    <s v="MATCH"/>
  </r>
  <r>
    <x v="390"/>
    <n v="1"/>
    <d v="2024-07-10T00:00:00"/>
    <d v="2024-07-10T00:00:00"/>
    <x v="0"/>
    <x v="0"/>
    <s v="02/03/2024"/>
    <d v="2024-02-03T00:00:00"/>
    <n v="-158"/>
    <s v="INVALID_SHIPPING"/>
    <s v="CUST-8844"/>
    <s v="Vikram Iyer"/>
    <s v="Vikram Iyer"/>
    <s v="Consumer"/>
    <x v="0"/>
    <s v="East"/>
    <x v="1"/>
    <s v="OK"/>
    <s v="West Bengal"/>
    <s v="West Bengal"/>
    <s v="Kolkata"/>
    <s v="Kolkata"/>
    <s v="Furniture"/>
    <x v="1"/>
    <s v="Chairs"/>
    <x v="10"/>
    <s v="Eco Chairs 442"/>
    <s v="Second Class"/>
    <x v="0"/>
    <s v="OK"/>
    <n v="9"/>
    <n v="481.51"/>
    <m/>
    <n v="0"/>
    <s v="Missing Discount"/>
    <n v="4333.59"/>
    <n v="2533.59"/>
    <n v="1800"/>
    <n v="4333.59"/>
    <n v="1800"/>
    <x v="383"/>
    <s v="Refunded"/>
    <x v="2"/>
    <s v="REFUNDED_PAYMENT"/>
    <s v="Cancelled"/>
    <x v="2"/>
    <s v="EXCLUDE_FROM_SALES"/>
    <s v="INVALID"/>
    <s v="MATCH"/>
    <s v="MATCH"/>
  </r>
  <r>
    <x v="391"/>
    <n v="1"/>
    <d v="2024-10-02T00:00:00"/>
    <d v="2024-10-02T00:00:00"/>
    <x v="7"/>
    <x v="0"/>
    <s v="24 Sep 2024"/>
    <d v="2024-09-24T00:00:00"/>
    <n v="-8"/>
    <s v="INVALID_SHIPPING"/>
    <s v="CUST-5891"/>
    <s v="Karan Malhotra"/>
    <s v="Karan Malhotra"/>
    <s v="Consumer"/>
    <x v="0"/>
    <s v="West"/>
    <x v="3"/>
    <s v="OK"/>
    <s v="Goa"/>
    <s v="Goa"/>
    <s v="Panaji"/>
    <s v="Panaji"/>
    <s v="Furniture"/>
    <x v="1"/>
    <s v="Furnishings"/>
    <x v="3"/>
    <s v="Elite Furnishings 921"/>
    <s v="Second Class"/>
    <x v="0"/>
    <s v="OK"/>
    <n v="3"/>
    <n v="253.43"/>
    <n v="0"/>
    <n v="0"/>
    <s v="OK"/>
    <n v="760.29"/>
    <n v="497.77"/>
    <n v="262.52"/>
    <n v="760.29"/>
    <n v="262.52"/>
    <x v="384"/>
    <s v="Paid"/>
    <x v="0"/>
    <s v="OK"/>
    <s v="Completed"/>
    <x v="0"/>
    <s v="OK"/>
    <s v="INVALID"/>
    <s v="MATCH"/>
    <s v="MATCH"/>
  </r>
  <r>
    <x v="392"/>
    <n v="1"/>
    <d v="2024-01-17T00:00:00"/>
    <d v="2024-01-17T00:00:00"/>
    <x v="9"/>
    <x v="0"/>
    <s v="25 Feb 2025"/>
    <d v="2025-02-25T00:00:00"/>
    <n v="405"/>
    <s v="OK"/>
    <s v="CUST-6655"/>
    <s v="Kabir Singh"/>
    <s v="Kabir Singh"/>
    <s v="Home Office"/>
    <x v="3"/>
    <s v="West"/>
    <x v="3"/>
    <s v="OK"/>
    <s v="Gujarat"/>
    <s v="Gujarat"/>
    <s v="Ahmedabad"/>
    <s v="Ahmedabad"/>
    <s v="Technology"/>
    <x v="2"/>
    <s v="Phones"/>
    <x v="8"/>
    <s v="Pro Phones 857"/>
    <s v="Standard Class"/>
    <x v="3"/>
    <s v="OK"/>
    <n v="5"/>
    <n v="2018"/>
    <n v="0.2"/>
    <n v="0.2"/>
    <s v="OK"/>
    <n v="8072"/>
    <n v="5379.22"/>
    <n v="2692.78"/>
    <n v="8072"/>
    <n v="2692.7799999999997"/>
    <x v="385"/>
    <s v="Pending"/>
    <x v="1"/>
    <s v="OK"/>
    <s v="Returned"/>
    <x v="1"/>
    <s v="RETURNED_ORDER"/>
    <s v="CLEAN"/>
    <s v="MATCH"/>
    <s v="MATCH"/>
  </r>
  <r>
    <x v="393"/>
    <n v="1"/>
    <d v="2024-10-13T00:00:00"/>
    <d v="2024-10-13T00:00:00"/>
    <x v="7"/>
    <x v="0"/>
    <s v="13 May 2024"/>
    <d v="2024-05-13T00:00:00"/>
    <n v="-153"/>
    <s v="INVALID_SHIPPING"/>
    <s v="CUST-6492"/>
    <s v="Aarav Sharma"/>
    <s v="Aarav Sharma"/>
    <s v="Small Business"/>
    <x v="1"/>
    <s v="East"/>
    <x v="1"/>
    <s v="OK"/>
    <s v="Assam"/>
    <s v="Assam"/>
    <s v="Guwahati"/>
    <s v="Guwahati"/>
    <s v="Technology"/>
    <x v="2"/>
    <s v="Accessories"/>
    <x v="4"/>
    <s v="Max Accessories 567"/>
    <s v="Second Class"/>
    <x v="0"/>
    <s v="OK"/>
    <n v="8"/>
    <n v="3730.66"/>
    <n v="0.05"/>
    <n v="0.05"/>
    <s v="OK"/>
    <n v="28353.02"/>
    <n v="19257.849999999999"/>
    <n v="9095.17"/>
    <n v="28353.015999999996"/>
    <n v="9095.1659999999974"/>
    <x v="386"/>
    <s v="Paid"/>
    <x v="0"/>
    <s v="OK"/>
    <s v="Completed"/>
    <x v="0"/>
    <s v="OK"/>
    <s v="INVALID"/>
    <s v="MATCH"/>
    <s v="MATCH"/>
  </r>
  <r>
    <x v="394"/>
    <n v="1"/>
    <d v="2024-04-01T00:00:00"/>
    <d v="2024-04-01T00:00:00"/>
    <x v="6"/>
    <x v="0"/>
    <s v="08/03/2025"/>
    <d v="2025-08-03T00:00:00"/>
    <n v="489"/>
    <s v="OK"/>
    <s v="CUST-1154"/>
    <s v="Sneha Kapoor"/>
    <s v="Sneha Kapoor"/>
    <s v="Small Business"/>
    <x v="1"/>
    <s v="South"/>
    <x v="2"/>
    <s v="OK"/>
    <s v="Karnataka"/>
    <s v="Karnataka"/>
    <s v="Bengaluru"/>
    <s v="Bengaluru"/>
    <s v="Technology"/>
    <x v="2"/>
    <s v="Machines"/>
    <x v="12"/>
    <s v="Max Machines 200"/>
    <s v="First Class"/>
    <x v="2"/>
    <s v="OK"/>
    <n v="1"/>
    <n v="2363.02"/>
    <n v="0.15"/>
    <n v="0.15"/>
    <s v="OK"/>
    <n v="2008.57"/>
    <n v="1194.83"/>
    <n v="813.74"/>
    <n v="2008.567"/>
    <n v="813.73700000000008"/>
    <x v="387"/>
    <s v="Paid"/>
    <x v="0"/>
    <s v="OK"/>
    <s v="Completed"/>
    <x v="0"/>
    <s v="OK"/>
    <s v="CLEAN"/>
    <s v="MATCH"/>
    <s v="MATCH"/>
  </r>
  <r>
    <x v="395"/>
    <n v="1"/>
    <d v="2024-03-17T00:00:00"/>
    <d v="2024-03-17T00:00:00"/>
    <x v="10"/>
    <x v="0"/>
    <s v="15-02-2025"/>
    <d v="2025-02-15T00:00:00"/>
    <n v="335"/>
    <s v="OK"/>
    <s v="CUST-6849"/>
    <s v="Ananya Rao"/>
    <s v="Ananya Rao"/>
    <s v="Corporate"/>
    <x v="2"/>
    <s v="East"/>
    <x v="1"/>
    <s v="OK"/>
    <s v="Odisha"/>
    <s v="Odisha"/>
    <s v="Bhubaneswar"/>
    <s v="Bhubaneswar"/>
    <s v="Office Supplies"/>
    <x v="0"/>
    <s v="Binders"/>
    <x v="11"/>
    <s v="Eco Binders 178"/>
    <s v="First Class"/>
    <x v="2"/>
    <s v="OK"/>
    <n v="4"/>
    <n v="4376.68"/>
    <n v="0.1"/>
    <n v="0.1"/>
    <s v="OK"/>
    <n v="15756.05"/>
    <n v="10245.44"/>
    <n v="5510.61"/>
    <n v="15756.048000000001"/>
    <n v="5510.6080000000002"/>
    <x v="388"/>
    <s v="Paid"/>
    <x v="0"/>
    <s v="OK"/>
    <s v="Completed"/>
    <x v="0"/>
    <s v="OK"/>
    <s v="CLEAN"/>
    <s v="MATCH"/>
    <s v="MATCH"/>
  </r>
  <r>
    <x v="396"/>
    <n v="1"/>
    <d v="2024-11-28T00:00:00"/>
    <d v="2024-11-28T00:00:00"/>
    <x v="2"/>
    <x v="0"/>
    <s v="20 Apr 2024"/>
    <d v="2024-04-20T00:00:00"/>
    <n v="-222"/>
    <s v="INVALID_SHIPPING"/>
    <s v="CUST-4973"/>
    <s v="Arjun Bose"/>
    <s v="Arjun Bose"/>
    <s v="Small Business"/>
    <x v="1"/>
    <s v="North"/>
    <x v="0"/>
    <s v="OK"/>
    <s v="Punjab"/>
    <s v="Punjab"/>
    <s v="Ludhiana"/>
    <s v="Ludhiana"/>
    <s v="Technology"/>
    <x v="2"/>
    <s v="Phones"/>
    <x v="8"/>
    <s v="Max Phones 678"/>
    <s v="Standard Class"/>
    <x v="3"/>
    <s v="OK"/>
    <n v="6"/>
    <n v="2464.63"/>
    <n v="0"/>
    <n v="0"/>
    <s v="OK"/>
    <n v="14787.78"/>
    <n v="8596.65"/>
    <n v="6191.13"/>
    <n v="14787.78"/>
    <n v="6191.130000000001"/>
    <x v="389"/>
    <s v="Paid"/>
    <x v="0"/>
    <s v="OK"/>
    <s v="Completed"/>
    <x v="0"/>
    <s v="OK"/>
    <s v="INVALID"/>
    <s v="MATCH"/>
    <s v="MATCH"/>
  </r>
  <r>
    <x v="397"/>
    <n v="1"/>
    <d v="2024-06-21T00:00:00"/>
    <d v="2024-06-21T00:00:00"/>
    <x v="8"/>
    <x v="0"/>
    <s v="2025-08-28"/>
    <d v="2025-08-28T00:00:00"/>
    <n v="433"/>
    <s v="OK"/>
    <s v="CUST-2394"/>
    <s v="Aarav Sharma"/>
    <s v="Aarav Sharma"/>
    <s v="Home Office"/>
    <x v="3"/>
    <s v="North"/>
    <x v="0"/>
    <s v="OK"/>
    <s v="Rajasthan"/>
    <s v="Rajasthan"/>
    <s v="Jaipur"/>
    <s v="Jaipur"/>
    <s v="Furniture"/>
    <x v="1"/>
    <s v="Furnishings"/>
    <x v="3"/>
    <s v="Classic Furnishings 582"/>
    <s v="First Class"/>
    <x v="2"/>
    <s v="OK"/>
    <n v="9"/>
    <n v="2797.96"/>
    <n v="0"/>
    <n v="0"/>
    <s v="OK"/>
    <n v="25181.64"/>
    <n v="15337.9"/>
    <n v="9843.74"/>
    <n v="25181.64"/>
    <n v="9843.74"/>
    <x v="390"/>
    <s v="Paid"/>
    <x v="0"/>
    <s v="OK"/>
    <s v="Completed"/>
    <x v="0"/>
    <s v="OK"/>
    <s v="CLEAN"/>
    <s v="MATCH"/>
    <s v="MATCH"/>
  </r>
  <r>
    <x v="398"/>
    <n v="1"/>
    <d v="2024-08-24T00:00:00"/>
    <d v="2024-08-24T00:00:00"/>
    <x v="1"/>
    <x v="0"/>
    <s v="30-01-2024"/>
    <d v="2024-01-30T00:00:00"/>
    <n v="-207"/>
    <s v="INVALID_SHIPPING"/>
    <s v="CUST-5406"/>
    <s v="Ananya Rao"/>
    <s v="Ananya Rao"/>
    <s v="Small Business"/>
    <x v="1"/>
    <s v="North"/>
    <x v="0"/>
    <s v="OK"/>
    <s v="Rajasthan"/>
    <s v="Rajasthan"/>
    <s v="Jaipur"/>
    <s v="Jaipur"/>
    <s v="Technology"/>
    <x v="2"/>
    <s v="Accessories"/>
    <x v="4"/>
    <s v="Classic Accessories 981"/>
    <s v="First Class"/>
    <x v="2"/>
    <s v="OK"/>
    <n v="4"/>
    <n v="2761.86"/>
    <n v="0.2"/>
    <n v="0.2"/>
    <s v="OK"/>
    <n v="8837.9500000000007"/>
    <n v="6157.27"/>
    <n v="2680.68"/>
    <n v="8837.9520000000011"/>
    <n v="2680.6820000000007"/>
    <x v="391"/>
    <s v="Paid"/>
    <x v="0"/>
    <s v="OK"/>
    <s v="Completed"/>
    <x v="0"/>
    <s v="OK"/>
    <s v="INVALID"/>
    <s v="MATCH"/>
    <s v="MATCH"/>
  </r>
  <r>
    <x v="399"/>
    <n v="1"/>
    <d v="2024-11-08T00:00:00"/>
    <d v="2024-11-08T00:00:00"/>
    <x v="2"/>
    <x v="0"/>
    <s v="17-08-2025"/>
    <d v="2025-08-17T00:00:00"/>
    <n v="282"/>
    <s v="OK"/>
    <s v="CUST-1963"/>
    <s v="Mira Das"/>
    <s v="Mira Das"/>
    <s v="Consumer"/>
    <x v="0"/>
    <s v="West"/>
    <x v="3"/>
    <s v="OK"/>
    <s v="Maharashtra"/>
    <s v="Maharashtra"/>
    <s v="Mumbai"/>
    <s v="Mumbai"/>
    <s v="Furniture"/>
    <x v="1"/>
    <s v="Tables"/>
    <x v="1"/>
    <s v="Classic Tables 534"/>
    <s v="Standard Class"/>
    <x v="3"/>
    <s v="OK"/>
    <n v="6"/>
    <n v="1515.79"/>
    <n v="0.2"/>
    <n v="0.2"/>
    <s v="OK"/>
    <n v="7275.79"/>
    <n v="6152.87"/>
    <n v="1122.92"/>
    <n v="7275.7920000000004"/>
    <n v="1122.9220000000005"/>
    <x v="392"/>
    <s v="Paid"/>
    <x v="0"/>
    <s v="OK"/>
    <s v="Completed"/>
    <x v="0"/>
    <s v="OK"/>
    <s v="CLEAN"/>
    <s v="MATCH"/>
    <s v="MATCH"/>
  </r>
  <r>
    <x v="400"/>
    <n v="1"/>
    <d v="2024-06-12T00:00:00"/>
    <d v="2024-06-12T00:00:00"/>
    <x v="8"/>
    <x v="0"/>
    <s v="08/30/2024"/>
    <d v="2024-08-30T00:00:00"/>
    <n v="79"/>
    <s v="OK"/>
    <s v="CUST-9017"/>
    <s v="Aditi Sen"/>
    <s v="Aditi Sen"/>
    <s v="Consumer"/>
    <x v="0"/>
    <s v="West"/>
    <x v="3"/>
    <s v="OK"/>
    <s v="Maharashtra"/>
    <s v="Maharashtra"/>
    <s v="Mumbai"/>
    <s v="Mumbai"/>
    <s v="Furniture"/>
    <x v="1"/>
    <s v="Chairs"/>
    <x v="10"/>
    <s v="Pro Chairs 383"/>
    <s v="Second Class"/>
    <x v="0"/>
    <s v="OK"/>
    <n v="9"/>
    <n v="290.75"/>
    <n v="0.1"/>
    <n v="0.1"/>
    <s v="OK"/>
    <n v="2355.08"/>
    <n v="1350.03"/>
    <n v="1005.05"/>
    <n v="2355.0750000000003"/>
    <n v="1005.0450000000003"/>
    <x v="393"/>
    <s v="Paid"/>
    <x v="0"/>
    <s v="OK"/>
    <s v="Completed"/>
    <x v="0"/>
    <s v="OK"/>
    <s v="CLEAN"/>
    <s v="MATCH"/>
    <s v="MATCH"/>
  </r>
  <r>
    <x v="401"/>
    <n v="1"/>
    <d v="2024-10-02T00:00:00"/>
    <d v="2024-10-02T00:00:00"/>
    <x v="7"/>
    <x v="0"/>
    <s v="27 Jan 2024"/>
    <d v="2024-01-27T00:00:00"/>
    <n v="-249"/>
    <s v="INVALID_SHIPPING"/>
    <s v="CUST-7967"/>
    <s v="Isha Nair"/>
    <s v="Isha Nair"/>
    <s v="Home Office"/>
    <x v="3"/>
    <s v="West"/>
    <x v="3"/>
    <s v="OK"/>
    <s v="Maharashtra"/>
    <s v="Maharashtra"/>
    <s v="Mumbai"/>
    <s v="Mumbai"/>
    <s v="Furniture"/>
    <x v="1"/>
    <s v="Chairs"/>
    <x v="10"/>
    <s v="Max Chairs 845"/>
    <s v="Same Day"/>
    <x v="1"/>
    <s v="OK"/>
    <n v="6"/>
    <n v="601.52"/>
    <n v="0"/>
    <n v="0"/>
    <s v="OK"/>
    <n v="3609.12"/>
    <n v="2645.5"/>
    <n v="963.62"/>
    <n v="3609.12"/>
    <n v="963.61999999999989"/>
    <x v="394"/>
    <s v="Paid"/>
    <x v="0"/>
    <s v="OK"/>
    <s v="Completed"/>
    <x v="0"/>
    <s v="OK"/>
    <s v="INVALID"/>
    <s v="MATCH"/>
    <s v="MATCH"/>
  </r>
  <r>
    <x v="402"/>
    <n v="1"/>
    <d v="2024-03-12T00:00:00"/>
    <d v="2024-03-12T00:00:00"/>
    <x v="10"/>
    <x v="0"/>
    <s v="16-01-2025"/>
    <d v="2025-01-16T00:00:00"/>
    <n v="310"/>
    <s v="OK"/>
    <s v="CUST-5846"/>
    <s v="Neha Gupta"/>
    <s v="Neha Gupta"/>
    <s v="Corporate"/>
    <x v="2"/>
    <s v="North"/>
    <x v="0"/>
    <s v="OK"/>
    <s v="Rajasthan"/>
    <s v="Rajasthan"/>
    <s v="Jaipur"/>
    <s v="Jaipur"/>
    <s v="Technology"/>
    <x v="2"/>
    <s v="Phones"/>
    <x v="8"/>
    <s v="Basic Phones 859"/>
    <s v="Standard Class"/>
    <x v="3"/>
    <s v="OK"/>
    <n v="5"/>
    <n v="2393.86"/>
    <n v="0.05"/>
    <n v="0.05"/>
    <s v="OK"/>
    <n v="11370.84"/>
    <n v="7469.58"/>
    <n v="3901.26"/>
    <n v="11370.835000000001"/>
    <n v="3901.255000000001"/>
    <x v="395"/>
    <s v="Paid"/>
    <x v="0"/>
    <s v="OK"/>
    <s v="Completed"/>
    <x v="0"/>
    <s v="OK"/>
    <s v="CLEAN"/>
    <s v="MATCH"/>
    <s v="MATCH"/>
  </r>
  <r>
    <x v="403"/>
    <n v="1"/>
    <d v="2024-02-04T00:00:00"/>
    <d v="2024-02-04T00:00:00"/>
    <x v="11"/>
    <x v="0"/>
    <s v="02/05/2025"/>
    <d v="2025-02-05T00:00:00"/>
    <n v="367"/>
    <s v="OK"/>
    <s v="CUST-7932"/>
    <s v="Sneha Kapoor"/>
    <s v="Sneha Kapoor"/>
    <s v="Small Business"/>
    <x v="1"/>
    <s v="West"/>
    <x v="3"/>
    <s v="OK"/>
    <s v="Maharashtra"/>
    <s v="Maharashtra"/>
    <s v="Mumbai"/>
    <s v="Mumbai"/>
    <s v="Furniture"/>
    <x v="1"/>
    <s v="Chairs"/>
    <x v="10"/>
    <s v="Eco Chairs 883"/>
    <s v="First Class"/>
    <x v="2"/>
    <s v="OK"/>
    <n v="4"/>
    <n v="2583"/>
    <n v="0.1"/>
    <n v="0.1"/>
    <s v="OK"/>
    <n v="9298.7999999999993"/>
    <n v="6548.5"/>
    <n v="2750.3"/>
    <n v="9298.8000000000011"/>
    <n v="2750.3000000000011"/>
    <x v="396"/>
    <s v="Paid"/>
    <x v="0"/>
    <s v="OK"/>
    <s v="Completed"/>
    <x v="0"/>
    <s v="OK"/>
    <s v="CLEAN"/>
    <s v="MATCH"/>
    <s v="MATCH"/>
  </r>
  <r>
    <x v="404"/>
    <n v="1"/>
    <d v="2024-10-15T00:00:00"/>
    <d v="2024-10-15T00:00:00"/>
    <x v="7"/>
    <x v="0"/>
    <s v="11/17/2024"/>
    <d v="2024-11-17T00:00:00"/>
    <n v="33"/>
    <s v="OK"/>
    <s v="CUST-6368"/>
    <s v="Karan Malhotra"/>
    <s v="Karan Malhotra"/>
    <s v="Corporate"/>
    <x v="2"/>
    <s v="East"/>
    <x v="1"/>
    <s v="OK"/>
    <s v="Odisha"/>
    <s v="Odisha"/>
    <s v="Bhubaneswar"/>
    <s v="Bhubaneswar"/>
    <s v="Office Supplies"/>
    <x v="0"/>
    <s v="Paper"/>
    <x v="0"/>
    <s v="Prime Paper 768"/>
    <s v="Standard Class"/>
    <x v="3"/>
    <s v="OK"/>
    <n v="4"/>
    <n v="2260.9499999999998"/>
    <n v="0"/>
    <n v="0"/>
    <s v="OK"/>
    <n v="9043.7999999999993"/>
    <n v="5913.38"/>
    <n v="3130.42"/>
    <n v="9043.7999999999993"/>
    <n v="3130.4199999999992"/>
    <x v="397"/>
    <s v="Paid"/>
    <x v="0"/>
    <s v="OK"/>
    <s v="Completed"/>
    <x v="0"/>
    <s v="OK"/>
    <s v="CLEAN"/>
    <s v="MATCH"/>
    <s v="MATCH"/>
  </r>
  <r>
    <x v="405"/>
    <n v="1"/>
    <d v="2024-10-24T00:00:00"/>
    <d v="2024-10-24T00:00:00"/>
    <x v="7"/>
    <x v="0"/>
    <s v="09/30/2025"/>
    <d v="2025-09-30T00:00:00"/>
    <n v="341"/>
    <s v="OK"/>
    <s v="CUST-1493"/>
    <s v="Mira Das"/>
    <s v="Mira Das"/>
    <s v="Small Business"/>
    <x v="1"/>
    <s v="East"/>
    <x v="1"/>
    <s v="OK"/>
    <s v="Assam"/>
    <s v="Assam"/>
    <s v="Guwahati"/>
    <s v="Guwahati"/>
    <s v="Technology"/>
    <x v="2"/>
    <s v="Copiers"/>
    <x v="6"/>
    <s v="Max Copiers 866"/>
    <s v="Standard Class"/>
    <x v="3"/>
    <s v="OK"/>
    <n v="3"/>
    <n v="723.59"/>
    <n v="0.2"/>
    <n v="0.2"/>
    <s v="OK"/>
    <n v="1736.62"/>
    <n v="1059.52"/>
    <n v="677.1"/>
    <n v="1736.616"/>
    <n v="677.096"/>
    <x v="398"/>
    <s v="Paid"/>
    <x v="0"/>
    <s v="OK"/>
    <s v="Completed"/>
    <x v="0"/>
    <s v="OK"/>
    <s v="CLEAN"/>
    <s v="MATCH"/>
    <s v="MATCH"/>
  </r>
  <r>
    <x v="406"/>
    <n v="1"/>
    <d v="2024-01-05T00:00:00"/>
    <d v="2024-01-05T00:00:00"/>
    <x v="9"/>
    <x v="0"/>
    <s v="2025-03-19"/>
    <d v="2025-03-19T00:00:00"/>
    <n v="439"/>
    <s v="OK"/>
    <s v="CUST-8416"/>
    <s v="Isha Nair"/>
    <s v="Isha Nair"/>
    <s v="Home Office"/>
    <x v="3"/>
    <s v="East"/>
    <x v="1"/>
    <s v="OK"/>
    <s v="Odisha"/>
    <s v="Odisha"/>
    <s v="Bhubaneswar"/>
    <s v="Bhubaneswar"/>
    <s v="Office Supplies"/>
    <x v="0"/>
    <s v="Paper"/>
    <x v="0"/>
    <s v="Classic Paper 388"/>
    <s v="Same Day"/>
    <x v="1"/>
    <s v="OK"/>
    <n v="8"/>
    <n v="1473.83"/>
    <n v="0.15"/>
    <n v="0.15"/>
    <s v="OK"/>
    <n v="10022.040000000001"/>
    <n v="5576.98"/>
    <n v="4445.0600000000004"/>
    <n v="10022.044"/>
    <n v="4445.0640000000003"/>
    <x v="399"/>
    <s v="Paid"/>
    <x v="0"/>
    <s v="OK"/>
    <s v="Completed"/>
    <x v="0"/>
    <s v="OK"/>
    <s v="CLEAN"/>
    <s v="MATCH"/>
    <s v="MATCH"/>
  </r>
  <r>
    <x v="407"/>
    <n v="1"/>
    <d v="2024-05-30T00:00:00"/>
    <d v="2024-05-30T00:00:00"/>
    <x v="3"/>
    <x v="0"/>
    <s v="19 Jun 2025"/>
    <d v="2025-06-19T00:00:00"/>
    <n v="385"/>
    <s v="OK"/>
    <s v="CUST-3103"/>
    <s v="Diya Patel"/>
    <s v="Diya Patel"/>
    <s v="Home Office"/>
    <x v="3"/>
    <s v="North"/>
    <x v="0"/>
    <s v="OK"/>
    <s v="Haryana"/>
    <s v="Haryana"/>
    <s v="Gurugram"/>
    <s v="Gurugram"/>
    <s v="Technology"/>
    <x v="2"/>
    <s v="Phones"/>
    <x v="8"/>
    <s v="Pro Phones 765"/>
    <s v="Second Class"/>
    <x v="0"/>
    <s v="OK"/>
    <n v="1"/>
    <n v="3848.04"/>
    <n v="0.25"/>
    <n v="0.25"/>
    <s v="OK"/>
    <n v="2886.03"/>
    <n v="2064.83"/>
    <n v="821.2"/>
    <n v="2886.0299999999997"/>
    <n v="821.19999999999982"/>
    <x v="400"/>
    <s v="Paid"/>
    <x v="0"/>
    <s v="OK"/>
    <s v="Completed"/>
    <x v="0"/>
    <s v="OK"/>
    <s v="CLEAN"/>
    <s v="MATCH"/>
    <s v="MATCH"/>
  </r>
  <r>
    <x v="408"/>
    <n v="1"/>
    <d v="2024-03-21T00:00:00"/>
    <d v="2024-03-21T00:00:00"/>
    <x v="10"/>
    <x v="0"/>
    <s v="06 Sep 2025"/>
    <d v="2025-09-06T00:00:00"/>
    <n v="534"/>
    <s v="OK"/>
    <s v="CUST-4457"/>
    <s v="Aditi Sen"/>
    <s v="Aditi Sen"/>
    <s v="Home Office"/>
    <x v="3"/>
    <s v="East"/>
    <x v="1"/>
    <s v="OK"/>
    <s v="Assam"/>
    <s v="Assam"/>
    <s v="Guwahati"/>
    <s v="Guwahati"/>
    <s v="Technology"/>
    <x v="2"/>
    <s v="Machines"/>
    <x v="12"/>
    <s v="Classic Machines 543"/>
    <s v="Standard Class"/>
    <x v="3"/>
    <s v="OK"/>
    <n v="1"/>
    <n v="1716.7"/>
    <n v="0.15"/>
    <n v="0.15"/>
    <s v="OK"/>
    <n v="1459.19"/>
    <n v="1055.79"/>
    <n v="403.4"/>
    <n v="1459.1949999999999"/>
    <n v="403.40499999999997"/>
    <x v="401"/>
    <s v="Paid"/>
    <x v="0"/>
    <s v="OK"/>
    <s v="Completed"/>
    <x v="0"/>
    <s v="OK"/>
    <s v="CLEAN"/>
    <s v="MISMATCH"/>
    <s v="MISMATCH"/>
  </r>
  <r>
    <x v="409"/>
    <n v="1"/>
    <d v="2024-03-24T00:00:00"/>
    <d v="2024-03-24T00:00:00"/>
    <x v="10"/>
    <x v="0"/>
    <s v="27-02-2024"/>
    <d v="2024-02-27T00:00:00"/>
    <n v="-26"/>
    <s v="INVALID_SHIPPING"/>
    <s v="CUST-6345"/>
    <s v="Aditi Sen"/>
    <s v="Aditi Sen"/>
    <s v="Corporate"/>
    <x v="2"/>
    <s v="West"/>
    <x v="3"/>
    <s v="OK"/>
    <s v="Gujarat"/>
    <s v="Gujarat"/>
    <s v="Ahmedabad"/>
    <s v="Ahmedabad"/>
    <s v="Office Supplies"/>
    <x v="0"/>
    <s v="Storage"/>
    <x v="7"/>
    <s v="Basic Storage 273"/>
    <s v="First Class"/>
    <x v="2"/>
    <s v="OK"/>
    <n v="5"/>
    <n v="2465.2199999999998"/>
    <n v="0.05"/>
    <n v="0.05"/>
    <s v="OK"/>
    <n v="11709.79"/>
    <n v="8372.2900000000009"/>
    <n v="3337.5"/>
    <n v="11709.794999999998"/>
    <n v="3337.5049999999974"/>
    <x v="402"/>
    <s v="Paid"/>
    <x v="0"/>
    <s v="OK"/>
    <s v="Completed"/>
    <x v="0"/>
    <s v="OK"/>
    <s v="INVALID"/>
    <s v="MISMATCH"/>
    <s v="MISMATCH"/>
  </r>
  <r>
    <x v="410"/>
    <n v="1"/>
    <d v="2024-11-08T00:00:00"/>
    <d v="2024-11-08T00:00:00"/>
    <x v="2"/>
    <x v="0"/>
    <s v="2024-06-29"/>
    <d v="2024-06-29T00:00:00"/>
    <n v="-132"/>
    <s v="INVALID_SHIPPING"/>
    <s v="CUST-4505"/>
    <s v="Aditi Sen"/>
    <s v="Aditi Sen"/>
    <s v="Corporate"/>
    <x v="2"/>
    <s v="North"/>
    <x v="0"/>
    <s v="OK"/>
    <s v="Delhi"/>
    <s v="Delhi"/>
    <s v="New Delhi"/>
    <s v="New Delhi"/>
    <s v="Furniture"/>
    <x v="1"/>
    <s v="Furnishings"/>
    <x v="3"/>
    <s v="Elite Furnishings 588"/>
    <s v="Second Class"/>
    <x v="0"/>
    <s v="OK"/>
    <n v="3"/>
    <n v="1017.22"/>
    <n v="0.15"/>
    <n v="0.15"/>
    <s v="OK"/>
    <n v="2593.91"/>
    <n v="1848.48"/>
    <n v="745.43"/>
    <n v="2593.9109999999996"/>
    <n v="745.43099999999959"/>
    <x v="403"/>
    <s v="Failed"/>
    <x v="3"/>
    <s v="EXCLUDE_FROM_SALES"/>
    <s v="Returned"/>
    <x v="1"/>
    <s v="RETURNED_ORDER"/>
    <s v="INVALID"/>
    <s v="MATCH"/>
    <s v="MATCH"/>
  </r>
  <r>
    <x v="411"/>
    <n v="1"/>
    <d v="2024-10-27T00:00:00"/>
    <d v="2024-10-27T00:00:00"/>
    <x v="7"/>
    <x v="0"/>
    <s v="09/27/2024"/>
    <d v="2024-09-27T00:00:00"/>
    <n v="-30"/>
    <s v="INVALID_SHIPPING"/>
    <s v="CUST-1557"/>
    <s v="Rohan Mehta"/>
    <s v="Rohan Mehta"/>
    <s v="Consumer"/>
    <x v="0"/>
    <s v="North"/>
    <x v="0"/>
    <s v="OK"/>
    <s v="Rajasthan"/>
    <s v="Rajasthan"/>
    <s v="Jaipur"/>
    <s v="Jaipur"/>
    <s v="Technology"/>
    <x v="2"/>
    <s v="Accessories"/>
    <x v="4"/>
    <s v="Smart Accessories 362"/>
    <s v="Same Day"/>
    <x v="1"/>
    <s v="OK"/>
    <n v="7"/>
    <n v="2177.1"/>
    <n v="0.2"/>
    <n v="0.2"/>
    <s v="OK"/>
    <n v="12191.76"/>
    <n v="10457.49"/>
    <n v="1734.27"/>
    <n v="12191.76"/>
    <n v="1734.2700000000004"/>
    <x v="404"/>
    <s v="Paid"/>
    <x v="0"/>
    <s v="OK"/>
    <s v="Returned"/>
    <x v="1"/>
    <s v="RETURNED_ORDER"/>
    <s v="INVALID"/>
    <s v="MATCH"/>
    <s v="MATCH"/>
  </r>
  <r>
    <x v="412"/>
    <n v="1"/>
    <d v="2024-02-05T00:00:00"/>
    <d v="2024-02-05T00:00:00"/>
    <x v="11"/>
    <x v="0"/>
    <s v="01-07-2024"/>
    <d v="2024-01-07T00:00:00"/>
    <n v="-29"/>
    <s v="INVALID_SHIPPING"/>
    <s v="CUST-6076"/>
    <s v="Aarav Sharma"/>
    <s v="Aarav Sharma"/>
    <s v="Small Business"/>
    <x v="1"/>
    <s v="South"/>
    <x v="2"/>
    <s v="OK"/>
    <s v="Karnataka"/>
    <s v="Karnataka"/>
    <s v="Bengaluru"/>
    <s v="Bengaluru"/>
    <s v="Furniture"/>
    <x v="1"/>
    <s v="Chairs"/>
    <x v="10"/>
    <s v="Prime Chairs 721"/>
    <s v="Standard Class"/>
    <x v="3"/>
    <s v="OK"/>
    <n v="1"/>
    <n v="4166.91"/>
    <n v="0"/>
    <n v="0"/>
    <s v="OK"/>
    <n v="4166.91"/>
    <n v="3412.63"/>
    <n v="754.28"/>
    <n v="4166.91"/>
    <n v="754.27999999999975"/>
    <x v="405"/>
    <s v="Paid"/>
    <x v="0"/>
    <s v="OK"/>
    <s v="Completed"/>
    <x v="0"/>
    <s v="OK"/>
    <s v="INVALID"/>
    <s v="MATCH"/>
    <s v="MATCH"/>
  </r>
  <r>
    <x v="413"/>
    <n v="1"/>
    <d v="2024-07-19T00:00:00"/>
    <d v="2024-07-19T00:00:00"/>
    <x v="0"/>
    <x v="0"/>
    <s v="24-04-2025"/>
    <d v="2025-04-24T00:00:00"/>
    <n v="279"/>
    <s v="OK"/>
    <s v="CUST-2098"/>
    <s v="Arjun Bose"/>
    <s v="Arjun Bose"/>
    <s v="Home Office"/>
    <x v="3"/>
    <s v="South"/>
    <x v="2"/>
    <s v="OK"/>
    <s v="Karnataka"/>
    <s v="Karnataka"/>
    <s v="Bengaluru"/>
    <s v="Bengaluru"/>
    <s v="Furniture"/>
    <x v="1"/>
    <s v="Tables"/>
    <x v="1"/>
    <s v="Prime Tables 797"/>
    <s v="Second Class"/>
    <x v="0"/>
    <s v="OK"/>
    <n v="5"/>
    <n v="3986.01"/>
    <n v="0.25"/>
    <n v="0.25"/>
    <s v="OK"/>
    <n v="14947.54"/>
    <n v="9438.4599999999991"/>
    <n v="5509.08"/>
    <n v="14947.537500000002"/>
    <n v="5509.0775000000031"/>
    <x v="406"/>
    <s v="Paid"/>
    <x v="0"/>
    <s v="OK"/>
    <s v="Completed"/>
    <x v="0"/>
    <s v="OK"/>
    <s v="CLEAN"/>
    <s v="MATCH"/>
    <s v="MATCH"/>
  </r>
  <r>
    <x v="414"/>
    <n v="1"/>
    <d v="2024-08-28T00:00:00"/>
    <d v="2024-08-28T00:00:00"/>
    <x v="1"/>
    <x v="0"/>
    <s v="22 Mar 2025"/>
    <d v="2025-03-22T00:00:00"/>
    <n v="206"/>
    <s v="OK"/>
    <s v="CUST-7193"/>
    <s v="Aditi Sen"/>
    <s v="Aditi Sen"/>
    <s v="Home Office"/>
    <x v="3"/>
    <s v="East"/>
    <x v="1"/>
    <s v="OK"/>
    <s v="Assam"/>
    <s v="Assam"/>
    <s v="Guwahati"/>
    <s v="Guwahati"/>
    <s v="Office Supplies"/>
    <x v="0"/>
    <s v="Art"/>
    <x v="2"/>
    <s v="Max Art 926"/>
    <s v="Second Class"/>
    <x v="0"/>
    <s v="OK"/>
    <n v="4"/>
    <n v="3365.53"/>
    <n v="0"/>
    <n v="0"/>
    <s v="OK"/>
    <n v="13462.12"/>
    <n v="7600.63"/>
    <n v="5861.49"/>
    <n v="13462.12"/>
    <n v="5861.4900000000007"/>
    <x v="407"/>
    <s v="Pending"/>
    <x v="1"/>
    <s v="OK"/>
    <s v="Returned"/>
    <x v="1"/>
    <s v="RETURNED_ORDER"/>
    <s v="CLEAN"/>
    <s v="MATCH"/>
    <s v="MATCH"/>
  </r>
  <r>
    <x v="415"/>
    <n v="1"/>
    <d v="2024-01-01T00:00:00"/>
    <d v="2024-01-01T00:00:00"/>
    <x v="9"/>
    <x v="0"/>
    <s v="08-03-2025"/>
    <d v="2025-08-03T00:00:00"/>
    <n v="580"/>
    <s v="OK"/>
    <s v="CUST-6921"/>
    <s v="Diya Patel"/>
    <s v="Diya Patel"/>
    <s v="Corporate"/>
    <x v="2"/>
    <s v="West"/>
    <x v="3"/>
    <s v="OK"/>
    <s v="Madhya Pradesh"/>
    <s v="Madhya Pradesh"/>
    <s v="Indore"/>
    <s v="Indore"/>
    <s v="Technology"/>
    <x v="2"/>
    <s v="Machines"/>
    <x v="12"/>
    <s v="Classic Machines 122"/>
    <s v="Second Class"/>
    <x v="0"/>
    <s v="OK"/>
    <n v="2"/>
    <n v="3694.12"/>
    <n v="0.2"/>
    <n v="0.2"/>
    <s v="OK"/>
    <n v="5910.59"/>
    <n v="4775.4399999999996"/>
    <n v="1135.1500000000001"/>
    <n v="5910.5920000000006"/>
    <n v="1135.152000000001"/>
    <x v="408"/>
    <s v="Refunded"/>
    <x v="2"/>
    <s v="REFUNDED_PAYMENT"/>
    <s v="Returned"/>
    <x v="1"/>
    <s v="RETURNED_ORDER"/>
    <s v="CLEAN"/>
    <s v="MATCH"/>
    <s v="MATCH"/>
  </r>
  <r>
    <x v="416"/>
    <n v="1"/>
    <d v="2024-09-17T00:00:00"/>
    <d v="2024-09-17T00:00:00"/>
    <x v="5"/>
    <x v="0"/>
    <s v="02-09-2024"/>
    <d v="2024-02-09T00:00:00"/>
    <n v="-221"/>
    <s v="INVALID_SHIPPING"/>
    <s v="CUST-3156"/>
    <s v="Mira Das"/>
    <s v="Mira Das"/>
    <s v="Corporate"/>
    <x v="2"/>
    <s v="West"/>
    <x v="3"/>
    <s v="OK"/>
    <s v="Gujarat"/>
    <s v="Gujarat"/>
    <s v="Ahmedabad"/>
    <s v="Ahmedabad"/>
    <s v="Office Supplies"/>
    <x v="0"/>
    <s v="Art"/>
    <x v="2"/>
    <s v="Prime Art 380"/>
    <s v="Second Class"/>
    <x v="0"/>
    <s v="OK"/>
    <n v="9"/>
    <n v="2307.96"/>
    <n v="0.2"/>
    <n v="0.2"/>
    <s v="OK"/>
    <n v="16617.310000000001"/>
    <n v="9195.73"/>
    <n v="7421.58"/>
    <n v="16617.312000000002"/>
    <n v="7421.5820000000022"/>
    <x v="409"/>
    <s v="Paid"/>
    <x v="0"/>
    <s v="OK"/>
    <s v="Cancelled"/>
    <x v="2"/>
    <s v="EXCLUDE_FROM_SALES"/>
    <s v="INVALID"/>
    <s v="MATCH"/>
    <s v="MATCH"/>
  </r>
  <r>
    <x v="417"/>
    <n v="1"/>
    <d v="2024-03-05T00:00:00"/>
    <d v="2024-03-05T00:00:00"/>
    <x v="10"/>
    <x v="0"/>
    <s v="02/13/2024"/>
    <d v="2024-02-13T00:00:00"/>
    <n v="-21"/>
    <s v="INVALID_SHIPPING"/>
    <s v="CUST-2043"/>
    <s v="Ananya Rao"/>
    <s v="Ananya Rao"/>
    <s v="Home Office"/>
    <x v="3"/>
    <s v="North"/>
    <x v="0"/>
    <s v="OK"/>
    <s v="Uttar Pradesh"/>
    <s v="Uttar Pradesh"/>
    <s v="Noida"/>
    <s v="Noida"/>
    <s v="Office Supplies"/>
    <x v="0"/>
    <s v="Binders"/>
    <x v="11"/>
    <s v="Classic Binders 234"/>
    <s v="Standard Class"/>
    <x v="3"/>
    <s v="OK"/>
    <n v="1"/>
    <n v="1244.58"/>
    <n v="0.25"/>
    <n v="0.25"/>
    <s v="OK"/>
    <n v="933.43"/>
    <n v="583.09"/>
    <n v="350.34"/>
    <n v="933.43499999999995"/>
    <n v="350.34499999999991"/>
    <x v="410"/>
    <s v="Paid"/>
    <x v="0"/>
    <s v="OK"/>
    <s v="Completed"/>
    <x v="0"/>
    <s v="OK"/>
    <s v="INVALID"/>
    <s v="MISMATCH"/>
    <s v="MISMATCH"/>
  </r>
  <r>
    <x v="418"/>
    <n v="1"/>
    <d v="2024-11-05T00:00:00"/>
    <d v="2024-11-05T00:00:00"/>
    <x v="2"/>
    <x v="0"/>
    <s v="02-09-2024"/>
    <d v="2024-02-09T00:00:00"/>
    <n v="-270"/>
    <s v="INVALID_SHIPPING"/>
    <s v="CUST-1293"/>
    <s v="Priya Menon"/>
    <s v="Priya Menon"/>
    <s v="Home Office"/>
    <x v="3"/>
    <s v="West"/>
    <x v="3"/>
    <s v="OK"/>
    <s v="Goa"/>
    <s v="Goa"/>
    <s v="Panaji"/>
    <s v="Panaji"/>
    <s v="Furniture"/>
    <x v="1"/>
    <s v="Bookcases"/>
    <x v="9"/>
    <s v="Classic Bookcases 922"/>
    <s v="Same Day"/>
    <x v="1"/>
    <s v="OK"/>
    <n v="3"/>
    <n v="3612.75"/>
    <n v="0.25"/>
    <n v="0.25"/>
    <s v="OK"/>
    <n v="8128.69"/>
    <n v="5071.66"/>
    <n v="3057.03"/>
    <n v="8128.6875"/>
    <n v="3057.0275000000001"/>
    <x v="411"/>
    <s v="Paid"/>
    <x v="0"/>
    <s v="OK"/>
    <s v="Completed"/>
    <x v="0"/>
    <s v="OK"/>
    <s v="INVALID"/>
    <s v="MATCH"/>
    <s v="MATCH"/>
  </r>
  <r>
    <x v="419"/>
    <n v="1"/>
    <d v="2024-02-15T00:00:00"/>
    <d v="2024-02-15T00:00:00"/>
    <x v="11"/>
    <x v="0"/>
    <s v="20-04-2024"/>
    <d v="2024-04-20T00:00:00"/>
    <n v="65"/>
    <s v="OK"/>
    <s v="CUST-8384"/>
    <s v="Neha Gupta"/>
    <s v="Neha Gupta"/>
    <s v="Consumer"/>
    <x v="0"/>
    <s v="North"/>
    <x v="0"/>
    <s v="OK"/>
    <s v="Uttar Pradesh"/>
    <s v="Uttar Pradesh"/>
    <s v="Noida"/>
    <s v="Noida"/>
    <s v="Technology"/>
    <x v="2"/>
    <s v="Copiers"/>
    <x v="6"/>
    <s v="Eco Copiers 396"/>
    <s v="First Class"/>
    <x v="2"/>
    <s v="OK"/>
    <n v="4"/>
    <n v="863"/>
    <m/>
    <n v="0"/>
    <s v="Missing Discount"/>
    <n v="3106.8"/>
    <n v="2376.62"/>
    <n v="730.18"/>
    <n v="3452"/>
    <n v="1075.3800000000001"/>
    <x v="412"/>
    <s v="Paid"/>
    <x v="0"/>
    <s v="OK"/>
    <s v="Completed"/>
    <x v="0"/>
    <s v="OK"/>
    <s v="INVALID"/>
    <s v="MISMATCH"/>
    <s v="MISMATCH"/>
  </r>
  <r>
    <x v="420"/>
    <n v="1"/>
    <d v="2024-12-07T00:00:00"/>
    <d v="2024-12-07T00:00:00"/>
    <x v="4"/>
    <x v="0"/>
    <s v="2025-04-15"/>
    <d v="2025-04-15T00:00:00"/>
    <n v="129"/>
    <s v="OK"/>
    <s v="CUST-7861"/>
    <s v="Ananya Rao"/>
    <s v="Ananya Rao"/>
    <s v="Consumer"/>
    <x v="0"/>
    <s v="North"/>
    <x v="0"/>
    <s v="OK"/>
    <s v="Haryana"/>
    <s v="Haryana"/>
    <s v="Gurugram"/>
    <s v="Gurugram"/>
    <s v="Technology"/>
    <x v="2"/>
    <s v="Machines"/>
    <x v="12"/>
    <s v="Basic Machines 401"/>
    <s v="Second Class"/>
    <x v="0"/>
    <s v="OK"/>
    <n v="4"/>
    <n v="2131.41"/>
    <m/>
    <n v="0"/>
    <s v="Missing Discount"/>
    <n v="6394.23"/>
    <n v="3520.69"/>
    <n v="2873.54"/>
    <n v="8525.64"/>
    <n v="5004.9499999999989"/>
    <x v="413"/>
    <s v="Paid"/>
    <x v="0"/>
    <s v="OK"/>
    <s v="Completed"/>
    <x v="0"/>
    <s v="OK"/>
    <s v="INVALID"/>
    <s v="MISMATCH"/>
    <s v="MISMATCH"/>
  </r>
  <r>
    <x v="421"/>
    <n v="1"/>
    <d v="2024-04-14T00:00:00"/>
    <d v="2024-04-14T00:00:00"/>
    <x v="6"/>
    <x v="0"/>
    <s v="20-04-2025"/>
    <d v="2025-04-20T00:00:00"/>
    <n v="371"/>
    <s v="OK"/>
    <s v="CUST-4461"/>
    <s v="Arjun Bose"/>
    <s v="Arjun Bose"/>
    <s v="Consumer"/>
    <x v="0"/>
    <s v="North"/>
    <x v="0"/>
    <s v="OK"/>
    <s v="Haryana"/>
    <s v="Haryana"/>
    <s v="Gurugram"/>
    <s v="Gurugram"/>
    <s v="Technology"/>
    <x v="2"/>
    <s v="Accessories"/>
    <x v="4"/>
    <s v="Elite Accessories 312"/>
    <s v="Standard Class"/>
    <x v="3"/>
    <s v="OK"/>
    <n v="8"/>
    <n v="3956.12"/>
    <n v="0.25"/>
    <n v="0.25"/>
    <s v="OK"/>
    <n v="23736.720000000001"/>
    <n v="13890.9"/>
    <n v="9845.82"/>
    <n v="23736.720000000001"/>
    <n v="9845.8200000000015"/>
    <x v="414"/>
    <s v="Paid"/>
    <x v="0"/>
    <s v="OK"/>
    <s v="Completed"/>
    <x v="0"/>
    <s v="OK"/>
    <s v="CLEAN"/>
    <s v="MATCH"/>
    <s v="MATCH"/>
  </r>
  <r>
    <x v="422"/>
    <n v="1"/>
    <d v="2024-02-04T00:00:00"/>
    <d v="2024-02-04T00:00:00"/>
    <x v="11"/>
    <x v="0"/>
    <s v="21 Jun 2024"/>
    <d v="2024-06-21T00:00:00"/>
    <n v="138"/>
    <s v="OK"/>
    <s v="CUST-6879"/>
    <s v="Kabir Singh"/>
    <s v="Kabir Singh"/>
    <s v="Small Business"/>
    <x v="1"/>
    <s v="West"/>
    <x v="3"/>
    <s v="OK"/>
    <s v="Madhya Pradesh"/>
    <s v="Madhya Pradesh"/>
    <s v="Indore"/>
    <s v="Indore"/>
    <s v="Technology"/>
    <x v="2"/>
    <s v="Accessories"/>
    <x v="4"/>
    <s v="Elite Accessories 226"/>
    <s v="Second Class"/>
    <x v="0"/>
    <s v="OK"/>
    <n v="4"/>
    <n v="1489.74"/>
    <n v="0.15"/>
    <n v="0.15"/>
    <s v="OK"/>
    <n v="5065.12"/>
    <n v="3530.12"/>
    <n v="1535"/>
    <n v="5065.116"/>
    <n v="1534.9960000000001"/>
    <x v="415"/>
    <s v="Failed"/>
    <x v="3"/>
    <s v="EXCLUDE_FROM_SALES"/>
    <s v="Cancelled"/>
    <x v="2"/>
    <s v="EXCLUDE_FROM_SALES"/>
    <s v="CLEAN"/>
    <s v="MATCH"/>
    <s v="MATCH"/>
  </r>
  <r>
    <x v="423"/>
    <n v="1"/>
    <d v="2024-07-24T00:00:00"/>
    <d v="2024-07-24T00:00:00"/>
    <x v="0"/>
    <x v="0"/>
    <s v="2024-02-18"/>
    <d v="2024-02-18T00:00:00"/>
    <n v="-157"/>
    <s v="INVALID_SHIPPING"/>
    <s v="CUST-4714"/>
    <s v="Karan Malhotra"/>
    <s v="Karan Malhotra"/>
    <s v="Small Business"/>
    <x v="1"/>
    <s v="North"/>
    <x v="0"/>
    <s v="OK"/>
    <s v="Haryana"/>
    <s v="Haryana"/>
    <s v="Gurugram"/>
    <s v="Gurugram"/>
    <s v="Technology"/>
    <x v="2"/>
    <s v="Copiers"/>
    <x v="6"/>
    <s v="Pro Copiers 298"/>
    <s v="Second Class"/>
    <x v="0"/>
    <s v="OK"/>
    <n v="4"/>
    <n v="1676.88"/>
    <n v="0"/>
    <n v="0"/>
    <s v="OK"/>
    <n v="6707.52"/>
    <n v="5672.57"/>
    <n v="1034.95"/>
    <n v="6707.52"/>
    <n v="1034.9500000000007"/>
    <x v="416"/>
    <s v="Paid"/>
    <x v="0"/>
    <s v="OK"/>
    <s v="Completed"/>
    <x v="0"/>
    <s v="OK"/>
    <s v="INVALID"/>
    <s v="MATCH"/>
    <s v="MATCH"/>
  </r>
  <r>
    <x v="424"/>
    <n v="1"/>
    <d v="2024-01-15T00:00:00"/>
    <d v="2024-01-15T00:00:00"/>
    <x v="9"/>
    <x v="0"/>
    <s v="05/05/2025"/>
    <d v="2025-05-05T00:00:00"/>
    <n v="476"/>
    <s v="OK"/>
    <s v="CUST-7547"/>
    <s v="Priya Menon"/>
    <s v="Priya Menon"/>
    <s v="Small Business"/>
    <x v="1"/>
    <s v="South"/>
    <x v="2"/>
    <s v="OK"/>
    <s v="Andhra Pradesh"/>
    <s v="Andhra Pradesh"/>
    <s v="Vijayawada"/>
    <s v="Vijayawada"/>
    <s v="Furniture"/>
    <x v="1"/>
    <s v="Chairs"/>
    <x v="10"/>
    <s v="Prime Chairs 331"/>
    <s v="Standard Class"/>
    <x v="3"/>
    <s v="OK"/>
    <n v="4"/>
    <n v="3153.54"/>
    <n v="0.05"/>
    <n v="0.05"/>
    <s v="OK"/>
    <n v="11983.45"/>
    <n v="8572.9"/>
    <n v="3410.55"/>
    <n v="11983.451999999999"/>
    <n v="3410.5519999999997"/>
    <x v="417"/>
    <s v="Paid"/>
    <x v="0"/>
    <s v="OK"/>
    <s v="Completed"/>
    <x v="0"/>
    <s v="OK"/>
    <s v="CLEAN"/>
    <s v="MATCH"/>
    <s v="MATCH"/>
  </r>
  <r>
    <x v="425"/>
    <n v="1"/>
    <d v="2024-04-08T00:00:00"/>
    <d v="2024-04-08T00:00:00"/>
    <x v="6"/>
    <x v="0"/>
    <s v="03 Jul 2025"/>
    <d v="2025-07-03T00:00:00"/>
    <n v="451"/>
    <s v="OK"/>
    <s v="CUST-3288"/>
    <s v="Diya Patel"/>
    <s v="Diya Patel"/>
    <s v="Small Business"/>
    <x v="1"/>
    <s v="West"/>
    <x v="3"/>
    <s v="OK"/>
    <s v="Rajasthan"/>
    <s v="Rajasthan"/>
    <s v="Udaipur"/>
    <s v="Udaipur"/>
    <s v="Furniture"/>
    <x v="1"/>
    <s v="Chairs"/>
    <x v="10"/>
    <s v="Classic Chairs 798"/>
    <s v="Same Day"/>
    <x v="1"/>
    <s v="OK"/>
    <n v="4"/>
    <n v="426.43"/>
    <n v="0.2"/>
    <n v="0.2"/>
    <s v="OK"/>
    <n v="1364.58"/>
    <n v="978.16"/>
    <n v="386.42"/>
    <n v="1364.576"/>
    <n v="386.41600000000005"/>
    <x v="418"/>
    <s v="Paid"/>
    <x v="0"/>
    <s v="OK"/>
    <s v="Completed"/>
    <x v="0"/>
    <s v="OK"/>
    <s v="CLEAN"/>
    <s v="MATCH"/>
    <s v="MATCH"/>
  </r>
  <r>
    <x v="426"/>
    <n v="1"/>
    <d v="2024-02-02T00:00:00"/>
    <d v="2024-02-02T00:00:00"/>
    <x v="11"/>
    <x v="0"/>
    <s v="04/08/2024"/>
    <d v="2024-04-08T00:00:00"/>
    <n v="66"/>
    <s v="OK"/>
    <s v="CUST-8597"/>
    <s v="Karan Malhotra"/>
    <s v="Karan Malhotra"/>
    <s v="Home Office"/>
    <x v="3"/>
    <s v="West"/>
    <x v="3"/>
    <s v="OK"/>
    <s v="Rajasthan"/>
    <s v="Rajasthan"/>
    <s v="Udaipur"/>
    <s v="Udaipur"/>
    <s v="Office Supplies"/>
    <x v="0"/>
    <s v="Labels"/>
    <x v="5"/>
    <s v="Classic Labels 204"/>
    <s v="First Class"/>
    <x v="2"/>
    <s v="OK"/>
    <n v="3"/>
    <n v="383.4"/>
    <n v="0.25"/>
    <n v="0.25"/>
    <s v="OK"/>
    <n v="862.65"/>
    <n v="603.73"/>
    <n v="258.92"/>
    <n v="862.64999999999986"/>
    <n v="258.91999999999985"/>
    <x v="419"/>
    <s v="Pending"/>
    <x v="1"/>
    <s v="OK"/>
    <s v="Returned"/>
    <x v="1"/>
    <s v="RETURNED_ORDER"/>
    <s v="CLEAN"/>
    <s v="MATCH"/>
    <s v="MATCH"/>
  </r>
  <r>
    <x v="427"/>
    <n v="1"/>
    <d v="2024-07-06T00:00:00"/>
    <d v="2024-07-06T00:00:00"/>
    <x v="0"/>
    <x v="0"/>
    <s v="2024-10-03"/>
    <d v="2024-10-03T00:00:00"/>
    <n v="89"/>
    <s v="OK"/>
    <s v="CUST-7746"/>
    <s v="Aarav Sharma"/>
    <s v="Aarav Sharma"/>
    <s v="Small Business"/>
    <x v="1"/>
    <s v="East"/>
    <x v="1"/>
    <s v="OK"/>
    <s v="Bihar"/>
    <s v="Bihar"/>
    <s v="Patna"/>
    <s v="Patna"/>
    <s v="Office Supplies"/>
    <x v="0"/>
    <s v="Art"/>
    <x v="2"/>
    <s v="Basic Art 709"/>
    <s v="Second Class"/>
    <x v="0"/>
    <s v="OK"/>
    <n v="1"/>
    <n v="2581.9299999999998"/>
    <n v="0.05"/>
    <n v="0.05"/>
    <s v="OK"/>
    <n v="2452.83"/>
    <n v="1906.7"/>
    <n v="546.13"/>
    <n v="2452.8334999999997"/>
    <n v="546.13349999999969"/>
    <x v="420"/>
    <s v="Paid"/>
    <x v="0"/>
    <s v="OK"/>
    <s v="Completed"/>
    <x v="0"/>
    <s v="OK"/>
    <s v="CLEAN"/>
    <s v="MATCH"/>
    <s v="MATCH"/>
  </r>
  <r>
    <x v="428"/>
    <n v="1"/>
    <d v="2024-05-23T00:00:00"/>
    <d v="2024-05-23T00:00:00"/>
    <x v="3"/>
    <x v="0"/>
    <s v="2025-01-19"/>
    <d v="2025-01-19T00:00:00"/>
    <n v="241"/>
    <s v="OK"/>
    <s v="CUST-7518"/>
    <s v="Diya Patel"/>
    <s v="Diya Patel"/>
    <s v="Small Business"/>
    <x v="1"/>
    <s v="North"/>
    <x v="0"/>
    <s v="OK"/>
    <s v="Haryana"/>
    <s v="Haryana"/>
    <s v="Gurugram"/>
    <s v="Gurugram"/>
    <s v="Office Supplies"/>
    <x v="0"/>
    <s v="Storage"/>
    <x v="7"/>
    <s v="Eco Storage 183"/>
    <s v="Same Day"/>
    <x v="1"/>
    <s v="OK"/>
    <n v="2"/>
    <n v="3012.94"/>
    <n v="0.25"/>
    <n v="0.25"/>
    <s v="OK"/>
    <n v="4519.41"/>
    <n v="3504.16"/>
    <n v="1275.55"/>
    <n v="4519.41"/>
    <n v="1015.25"/>
    <x v="421"/>
    <s v="Failed"/>
    <x v="3"/>
    <s v="EXCLUDE_FROM_SALES"/>
    <s v="Cancelled"/>
    <x v="2"/>
    <s v="EXCLUDE_FROM_SALES"/>
    <s v="CLEAN"/>
    <s v="MATCH"/>
    <s v="MISMATCH"/>
  </r>
  <r>
    <x v="429"/>
    <n v="1"/>
    <d v="2024-12-09T00:00:00"/>
    <d v="2024-12-09T00:00:00"/>
    <x v="4"/>
    <x v="0"/>
    <s v="07 Apr 2024"/>
    <d v="2024-04-07T00:00:00"/>
    <n v="-246"/>
    <s v="INVALID_SHIPPING"/>
    <s v="CUST-7548"/>
    <s v="Ananya Rao"/>
    <s v="Ananya Rao"/>
    <s v="Home Office"/>
    <x v="3"/>
    <s v="East"/>
    <x v="1"/>
    <s v="OK"/>
    <s v="Bihar"/>
    <s v="Bihar"/>
    <s v="Patna"/>
    <s v="Patna"/>
    <s v="Office Supplies"/>
    <x v="0"/>
    <s v="Paper"/>
    <x v="0"/>
    <s v="Prime Paper 878"/>
    <s v="Second Class"/>
    <x v="0"/>
    <s v="OK"/>
    <n v="2"/>
    <n v="3718.77"/>
    <n v="0.05"/>
    <n v="0.05"/>
    <s v="OK"/>
    <n v="7065.66"/>
    <n v="4915.2700000000004"/>
    <n v="2150.39"/>
    <n v="7065.6629999999996"/>
    <n v="2150.3929999999991"/>
    <x v="422"/>
    <s v="Paid"/>
    <x v="0"/>
    <s v="OK"/>
    <s v="Completed"/>
    <x v="0"/>
    <s v="OK"/>
    <s v="INVALID"/>
    <s v="MATCH"/>
    <s v="MATCH"/>
  </r>
  <r>
    <x v="430"/>
    <n v="1"/>
    <d v="2024-01-08T00:00:00"/>
    <d v="2024-01-08T00:00:00"/>
    <x v="9"/>
    <x v="0"/>
    <s v="2025-08-16"/>
    <d v="2025-08-16T00:00:00"/>
    <n v="586"/>
    <s v="OK"/>
    <s v="CUST-3631"/>
    <s v="Isha Nair"/>
    <s v="Isha Nair"/>
    <s v="Corporate"/>
    <x v="2"/>
    <s v="North"/>
    <x v="0"/>
    <s v="OK"/>
    <s v="Uttar Pradesh"/>
    <s v="Uttar Pradesh"/>
    <s v="Noida"/>
    <s v="Noida"/>
    <s v="Furniture"/>
    <x v="1"/>
    <s v="Chairs"/>
    <x v="10"/>
    <s v="Smart Chairs 353"/>
    <s v="Standard Class"/>
    <x v="3"/>
    <s v="OK"/>
    <n v="8"/>
    <n v="2487.64"/>
    <n v="0.1"/>
    <n v="0.1"/>
    <s v="OK"/>
    <n v="17911.009999999998"/>
    <n v="11546.05"/>
    <n v="6364.96"/>
    <n v="17911.007999999998"/>
    <n v="6364.9579999999987"/>
    <x v="423"/>
    <s v="Failed"/>
    <x v="3"/>
    <s v="EXCLUDE_FROM_SALES"/>
    <s v="Returned"/>
    <x v="1"/>
    <s v="RETURNED_ORDER"/>
    <s v="CLEAN"/>
    <s v="MATCH"/>
    <s v="MATCH"/>
  </r>
  <r>
    <x v="431"/>
    <n v="1"/>
    <d v="2024-05-31T00:00:00"/>
    <d v="2024-05-31T00:00:00"/>
    <x v="3"/>
    <x v="0"/>
    <s v="05-05-2024"/>
    <d v="2024-05-05T00:00:00"/>
    <n v="-26"/>
    <s v="INVALID_SHIPPING"/>
    <s v="CUST-1951"/>
    <s v="Rahul Verma"/>
    <s v="Rahul Verma"/>
    <s v="Corporate"/>
    <x v="2"/>
    <s v="South"/>
    <x v="2"/>
    <s v="OK"/>
    <s v="Andhra Pradesh"/>
    <s v="Andhra Pradesh"/>
    <s v="Vijayawada"/>
    <s v="Vijayawada"/>
    <s v="Office Supplies"/>
    <x v="0"/>
    <s v="Art"/>
    <x v="2"/>
    <s v="Classic Art 781"/>
    <s v="Standard Class"/>
    <x v="3"/>
    <s v="OK"/>
    <n v="8"/>
    <n v="667.59"/>
    <n v="0.2"/>
    <n v="0.2"/>
    <s v="OK"/>
    <n v="4272.58"/>
    <n v="3328.92"/>
    <n v="943.66"/>
    <n v="4272.576"/>
    <n v="943.65599999999995"/>
    <x v="424"/>
    <s v="Paid"/>
    <x v="0"/>
    <s v="OK"/>
    <s v="Completed"/>
    <x v="0"/>
    <s v="OK"/>
    <s v="INVALID"/>
    <s v="MATCH"/>
    <s v="MATCH"/>
  </r>
  <r>
    <x v="432"/>
    <n v="1"/>
    <d v="2024-02-10T00:00:00"/>
    <d v="2024-02-10T00:00:00"/>
    <x v="11"/>
    <x v="0"/>
    <s v="19-09-2025"/>
    <d v="2025-09-19T00:00:00"/>
    <n v="587"/>
    <s v="OK"/>
    <s v="CUST-6300"/>
    <s v="Rahul Verma"/>
    <s v="Rahul Verma"/>
    <s v="Home Office"/>
    <x v="3"/>
    <s v="South"/>
    <x v="2"/>
    <s v="OK"/>
    <s v="Karnataka"/>
    <s v="Karnataka"/>
    <s v="Bengaluru"/>
    <s v="Bengaluru"/>
    <s v="Furniture"/>
    <x v="1"/>
    <s v="Bookcases"/>
    <x v="9"/>
    <s v="Eco Bookcases 144"/>
    <s v="Same Day"/>
    <x v="1"/>
    <s v="OK"/>
    <n v="8"/>
    <n v="1558.77"/>
    <n v="0.25"/>
    <n v="0.25"/>
    <s v="OK"/>
    <n v="9352.6200000000008"/>
    <n v="5269.41"/>
    <n v="4083.21"/>
    <n v="9352.619999999999"/>
    <n v="4083.2099999999991"/>
    <x v="425"/>
    <s v="Paid"/>
    <x v="0"/>
    <s v="OK"/>
    <s v="Completed"/>
    <x v="0"/>
    <s v="OK"/>
    <s v="CLEAN"/>
    <s v="MATCH"/>
    <s v="MATCH"/>
  </r>
  <r>
    <x v="433"/>
    <n v="1"/>
    <d v="2024-05-28T00:00:00"/>
    <d v="2024-05-28T00:00:00"/>
    <x v="3"/>
    <x v="0"/>
    <s v="10 Aug 2025"/>
    <d v="2025-08-10T00:00:00"/>
    <n v="439"/>
    <s v="OK"/>
    <s v="CUST-5421"/>
    <s v="Vikram Iyer"/>
    <s v="Vikram Iyer"/>
    <s v="Corporate"/>
    <x v="2"/>
    <s v="North"/>
    <x v="0"/>
    <s v="OK"/>
    <s v="Rajasthan"/>
    <s v="Rajasthan"/>
    <s v="Jaipur"/>
    <s v="Jaipur"/>
    <s v="Technology"/>
    <x v="2"/>
    <s v="Copiers"/>
    <x v="6"/>
    <s v="Basic Copiers 238"/>
    <s v="Second Class"/>
    <x v="0"/>
    <s v="OK"/>
    <n v="5"/>
    <n v="4302.32"/>
    <n v="0"/>
    <n v="0"/>
    <s v="OK"/>
    <n v="21511.599999999999"/>
    <n v="15408.47"/>
    <n v="6103.13"/>
    <n v="21511.599999999999"/>
    <n v="6103.1299999999992"/>
    <x v="426"/>
    <s v="Paid"/>
    <x v="0"/>
    <s v="OK"/>
    <s v="Completed"/>
    <x v="0"/>
    <s v="OK"/>
    <s v="CLEAN"/>
    <s v="MATCH"/>
    <s v="MATCH"/>
  </r>
  <r>
    <x v="434"/>
    <n v="1"/>
    <d v="2024-07-30T00:00:00"/>
    <d v="2024-07-30T00:00:00"/>
    <x v="0"/>
    <x v="0"/>
    <s v="18 Jan 2024"/>
    <d v="2024-01-18T00:00:00"/>
    <n v="-194"/>
    <s v="INVALID_SHIPPING"/>
    <s v="CUST-6529"/>
    <s v="Diya Patel"/>
    <s v="Diya Patel"/>
    <s v="Home Office"/>
    <x v="3"/>
    <s v="East"/>
    <x v="1"/>
    <s v="OK"/>
    <s v="Odisha"/>
    <s v="Odisha"/>
    <s v="Bhubaneswar"/>
    <s v="Bhubaneswar"/>
    <s v="Technology"/>
    <x v="2"/>
    <s v="Copiers"/>
    <x v="6"/>
    <s v="Pro Copiers 653"/>
    <s v="Same Day"/>
    <x v="1"/>
    <s v="OK"/>
    <n v="9"/>
    <n v="2894.66"/>
    <n v="0"/>
    <n v="0"/>
    <s v="OK"/>
    <n v="26051.94"/>
    <n v="16883.59"/>
    <n v="9168.35"/>
    <n v="26051.94"/>
    <n v="9168.3499999999985"/>
    <x v="427"/>
    <s v="Refunded"/>
    <x v="2"/>
    <s v="REFUNDED_PAYMENT"/>
    <s v="Cancelled"/>
    <x v="2"/>
    <s v="EXCLUDE_FROM_SALES"/>
    <s v="INVALID"/>
    <s v="MATCH"/>
    <s v="MATCH"/>
  </r>
  <r>
    <x v="435"/>
    <n v="1"/>
    <d v="2024-03-23T00:00:00"/>
    <d v="2024-03-23T00:00:00"/>
    <x v="10"/>
    <x v="0"/>
    <s v="13 Jun 2024"/>
    <d v="2024-06-13T00:00:00"/>
    <n v="82"/>
    <s v="OK"/>
    <s v="CUST-3126"/>
    <s v="Rohan Mehta"/>
    <s v="Rohan Mehta"/>
    <s v="Small Business"/>
    <x v="1"/>
    <s v="South"/>
    <x v="2"/>
    <s v="OK"/>
    <s v="Andhra Pradesh"/>
    <s v="Andhra Pradesh"/>
    <s v="Vijayawada"/>
    <s v="Vijayawada"/>
    <s v="Technology"/>
    <x v="2"/>
    <s v="Machines"/>
    <x v="12"/>
    <s v="Elite Machines 459"/>
    <s v="First Class"/>
    <x v="2"/>
    <s v="OK"/>
    <n v="6"/>
    <n v="1894.44"/>
    <n v="0.15"/>
    <n v="0.15"/>
    <s v="OK"/>
    <n v="9661.64"/>
    <n v="6303.77"/>
    <n v="3357.87"/>
    <n v="9661.6439999999984"/>
    <n v="3357.873999999998"/>
    <x v="428"/>
    <s v="Paid"/>
    <x v="0"/>
    <s v="OK"/>
    <s v="Completed"/>
    <x v="0"/>
    <s v="OK"/>
    <s v="CLEAN"/>
    <s v="MATCH"/>
    <s v="MATCH"/>
  </r>
  <r>
    <x v="436"/>
    <n v="1"/>
    <d v="2024-04-18T00:00:00"/>
    <d v="2024-04-18T00:00:00"/>
    <x v="6"/>
    <x v="0"/>
    <s v="2025-06-19"/>
    <d v="2025-06-19T00:00:00"/>
    <n v="427"/>
    <s v="OK"/>
    <s v="CUST-3991"/>
    <s v="Aarav Sharma"/>
    <s v="Aarav Sharma"/>
    <s v="Consumer"/>
    <x v="0"/>
    <s v="East"/>
    <x v="1"/>
    <s v="OK"/>
    <s v="Odisha"/>
    <s v="Odisha"/>
    <s v="Bhubaneswar"/>
    <s v="Bhubaneswar"/>
    <s v="Office Supplies"/>
    <x v="0"/>
    <s v="Binders"/>
    <x v="11"/>
    <s v="Elite Binders 764"/>
    <s v="First Class"/>
    <x v="2"/>
    <s v="OK"/>
    <n v="8"/>
    <n v="1714.37"/>
    <n v="0"/>
    <n v="0"/>
    <s v="OK"/>
    <n v="13714.96"/>
    <n v="10550.47"/>
    <n v="3164.49"/>
    <n v="13714.96"/>
    <n v="3164.49"/>
    <x v="429"/>
    <s v="Failed"/>
    <x v="3"/>
    <s v="EXCLUDE_FROM_SALES"/>
    <s v="Cancelled"/>
    <x v="2"/>
    <s v="EXCLUDE_FROM_SALES"/>
    <s v="CLEAN"/>
    <s v="MATCH"/>
    <s v="MATCH"/>
  </r>
  <r>
    <x v="437"/>
    <n v="1"/>
    <d v="2024-10-10T00:00:00"/>
    <d v="2024-10-10T00:00:00"/>
    <x v="7"/>
    <x v="0"/>
    <s v="26-03-2024"/>
    <d v="2024-03-26T00:00:00"/>
    <n v="-198"/>
    <s v="INVALID_SHIPPING"/>
    <s v="CUST-8527"/>
    <s v="Isha Nair"/>
    <s v="Isha Nair"/>
    <s v="Home Office"/>
    <x v="3"/>
    <s v="North"/>
    <x v="0"/>
    <s v="OK"/>
    <s v="Haryana"/>
    <s v="Haryana"/>
    <s v="Gurugram"/>
    <s v="Gurugram"/>
    <s v="Technology"/>
    <x v="2"/>
    <s v="Accessories"/>
    <x v="4"/>
    <s v="Smart Accessories 487"/>
    <m/>
    <x v="4"/>
    <s v="MISSING_SHIP_MODE"/>
    <n v="5"/>
    <n v="967.41"/>
    <n v="0.05"/>
    <n v="0.05"/>
    <s v="OK"/>
    <n v="4595.2"/>
    <n v="3887.41"/>
    <n v="707.79"/>
    <n v="4595.1975000000002"/>
    <n v="707.78750000000036"/>
    <x v="430"/>
    <s v="Paid"/>
    <x v="0"/>
    <s v="OK"/>
    <s v="Returned"/>
    <x v="1"/>
    <s v="RETURNED_ORDER"/>
    <s v="INVALID"/>
    <s v="MATCH"/>
    <s v="MATCH"/>
  </r>
  <r>
    <x v="438"/>
    <n v="1"/>
    <d v="2024-01-03T00:00:00"/>
    <d v="2024-01-03T00:00:00"/>
    <x v="9"/>
    <x v="0"/>
    <s v="16-05-2024"/>
    <d v="2024-05-16T00:00:00"/>
    <n v="134"/>
    <s v="OK"/>
    <s v="CUST-5015"/>
    <s v="Vikram Iyer"/>
    <s v="Vikram Iyer"/>
    <s v="Small Business"/>
    <x v="1"/>
    <s v="West"/>
    <x v="3"/>
    <s v="OK"/>
    <s v="Maharashtra"/>
    <s v="Maharashtra"/>
    <s v="Mumbai"/>
    <s v="Mumbai"/>
    <s v="Office Supplies"/>
    <x v="0"/>
    <s v="Storage"/>
    <x v="7"/>
    <s v="Elite Storage 825"/>
    <s v="Second Class"/>
    <x v="0"/>
    <s v="OK"/>
    <n v="6"/>
    <n v="4163.72"/>
    <n v="0.15"/>
    <n v="0.15"/>
    <s v="OK"/>
    <n v="21234.97"/>
    <n v="16736.09"/>
    <n v="4498.88"/>
    <n v="21234.971999999998"/>
    <n v="4498.8819999999978"/>
    <x v="431"/>
    <s v="Paid"/>
    <x v="0"/>
    <s v="OK"/>
    <s v="Completed"/>
    <x v="0"/>
    <s v="OK"/>
    <s v="CLEAN"/>
    <s v="MATCH"/>
    <s v="MATCH"/>
  </r>
  <r>
    <x v="439"/>
    <n v="1"/>
    <d v="2024-09-12T00:00:00"/>
    <d v="2024-09-12T00:00:00"/>
    <x v="5"/>
    <x v="0"/>
    <s v="2025-05-11"/>
    <d v="2025-05-11T00:00:00"/>
    <n v="241"/>
    <s v="OK"/>
    <s v="CUST-7180"/>
    <s v="Rohan Mehta"/>
    <s v="Rohan Mehta"/>
    <s v="Consumer"/>
    <x v="0"/>
    <m/>
    <x v="4"/>
    <s v="MISSING_REGION"/>
    <s v="Jharkhand"/>
    <s v="Jharkhand"/>
    <s v="Ranchi"/>
    <s v="Ranchi"/>
    <s v="Office Supplies"/>
    <x v="0"/>
    <s v="Labels"/>
    <x v="5"/>
    <s v="Basic Labels 359"/>
    <s v="First Class"/>
    <x v="2"/>
    <s v="OK"/>
    <n v="1"/>
    <n v="4306.6499999999996"/>
    <n v="0"/>
    <n v="0"/>
    <s v="OK"/>
    <n v="4306.6499999999996"/>
    <n v="2568.8200000000002"/>
    <n v="1737.83"/>
    <n v="4306.6499999999996"/>
    <n v="1737.8299999999995"/>
    <x v="432"/>
    <s v="Paid"/>
    <x v="0"/>
    <s v="OK"/>
    <s v="Completed"/>
    <x v="0"/>
    <s v="OK"/>
    <s v="WARNING"/>
    <s v="MATCH"/>
    <s v="MATCH"/>
  </r>
  <r>
    <x v="440"/>
    <n v="1"/>
    <d v="2024-11-09T00:00:00"/>
    <d v="2024-11-09T00:00:00"/>
    <x v="2"/>
    <x v="0"/>
    <s v="28-03-2025"/>
    <d v="2025-03-28T00:00:00"/>
    <n v="139"/>
    <s v="OK"/>
    <s v="CUST-3704"/>
    <s v="Isha Nair"/>
    <s v="Isha Nair"/>
    <s v="Home Office"/>
    <x v="3"/>
    <s v="North"/>
    <x v="0"/>
    <s v="OK"/>
    <s v="Rajasthan"/>
    <s v="Rajasthan"/>
    <s v="Jaipur"/>
    <s v="Jaipur"/>
    <s v="Technology"/>
    <x v="2"/>
    <s v="Copiers"/>
    <x v="6"/>
    <s v="Max Copiers 560"/>
    <s v="Standard Class"/>
    <x v="3"/>
    <s v="OK"/>
    <n v="1"/>
    <n v="3665.97"/>
    <n v="0.2"/>
    <n v="0.2"/>
    <s v="OK"/>
    <n v="2932.78"/>
    <n v="1900.35"/>
    <n v="1032.43"/>
    <n v="2932.7759999999998"/>
    <n v="1032.4259999999999"/>
    <x v="433"/>
    <s v="Failed"/>
    <x v="3"/>
    <s v="EXCLUDE_FROM_SALES"/>
    <s v="Cancelled"/>
    <x v="2"/>
    <s v="EXCLUDE_FROM_SALES"/>
    <s v="CLEAN"/>
    <s v="MATCH"/>
    <s v="MATCH"/>
  </r>
  <r>
    <x v="441"/>
    <n v="1"/>
    <d v="2024-03-04T00:00:00"/>
    <d v="2024-03-04T00:00:00"/>
    <x v="10"/>
    <x v="0"/>
    <s v="22-07-2024"/>
    <d v="2024-07-22T00:00:00"/>
    <n v="140"/>
    <s v="OK"/>
    <s v="CUST-4653"/>
    <s v="Kabir Singh"/>
    <s v="Kabir Singh"/>
    <s v="Home Office"/>
    <x v="3"/>
    <s v="West"/>
    <x v="3"/>
    <s v="OK"/>
    <s v="Gujarat"/>
    <s v="Gujarat"/>
    <s v="Ahmedabad"/>
    <s v="Ahmedabad"/>
    <s v="Technology"/>
    <x v="2"/>
    <s v="Copiers"/>
    <x v="6"/>
    <s v="Pro Copiers 867"/>
    <s v="First Class"/>
    <x v="2"/>
    <s v="OK"/>
    <n v="1"/>
    <n v="3151.85"/>
    <n v="0.25"/>
    <n v="0.25"/>
    <s v="OK"/>
    <n v="2363.89"/>
    <n v="1471.51"/>
    <n v="892.38"/>
    <n v="2363.8874999999998"/>
    <n v="892.37749999999983"/>
    <x v="434"/>
    <s v="Paid"/>
    <x v="0"/>
    <s v="OK"/>
    <s v="Completed"/>
    <x v="0"/>
    <s v="OK"/>
    <s v="CLEAN"/>
    <s v="MATCH"/>
    <s v="MATCH"/>
  </r>
  <r>
    <x v="442"/>
    <n v="1"/>
    <d v="2024-12-12T00:00:00"/>
    <d v="2024-12-12T00:00:00"/>
    <x v="4"/>
    <x v="0"/>
    <s v="2024-02-20"/>
    <d v="2024-02-20T00:00:00"/>
    <n v="-296"/>
    <s v="INVALID_SHIPPING"/>
    <s v="CUST-3303"/>
    <s v="Rohan Mehta"/>
    <s v="Rohan Mehta"/>
    <s v="Home Office"/>
    <x v="3"/>
    <s v="North"/>
    <x v="0"/>
    <s v="OK"/>
    <s v="Haryana"/>
    <s v="Haryana"/>
    <s v="Gurugram"/>
    <s v="Gurugram"/>
    <s v="Technology"/>
    <x v="2"/>
    <s v="Accessories"/>
    <x v="4"/>
    <s v="Eco Accessories 122"/>
    <s v="First Class"/>
    <x v="2"/>
    <s v="OK"/>
    <n v="2"/>
    <n v="1610.75"/>
    <n v="0.2"/>
    <n v="0.2"/>
    <s v="OK"/>
    <n v="2577.1999999999998"/>
    <n v="1475.87"/>
    <n v="1101.33"/>
    <n v="2577.2000000000003"/>
    <n v="1101.3300000000004"/>
    <x v="435"/>
    <s v="Paid"/>
    <x v="0"/>
    <s v="OK"/>
    <s v="Completed"/>
    <x v="0"/>
    <s v="OK"/>
    <s v="INVALID"/>
    <s v="MATCH"/>
    <s v="MATCH"/>
  </r>
  <r>
    <x v="443"/>
    <n v="1"/>
    <d v="2024-06-15T00:00:00"/>
    <d v="2024-06-15T00:00:00"/>
    <x v="8"/>
    <x v="0"/>
    <s v="2024-05-04"/>
    <d v="2024-05-04T00:00:00"/>
    <n v="-42"/>
    <s v="INVALID_SHIPPING"/>
    <s v="CUST-5754"/>
    <s v="Sneha Kapoor"/>
    <s v="Sneha Kapoor"/>
    <s v="Small Business"/>
    <x v="1"/>
    <s v="East"/>
    <x v="1"/>
    <s v="OK"/>
    <s v="Jharkhand"/>
    <s v="Jharkhand"/>
    <s v="Ranchi"/>
    <s v="Ranchi"/>
    <s v="Furniture"/>
    <x v="1"/>
    <s v="Tables"/>
    <x v="1"/>
    <s v="Basic Tables 127"/>
    <s v="First Class"/>
    <x v="2"/>
    <s v="OK"/>
    <n v="8"/>
    <n v="2228.4699999999998"/>
    <n v="0"/>
    <n v="0"/>
    <s v="OK"/>
    <n v="17827.759999999998"/>
    <n v="14122.13"/>
    <n v="3705.63"/>
    <n v="17827.759999999998"/>
    <n v="3705.6299999999992"/>
    <x v="436"/>
    <s v="Paid"/>
    <x v="0"/>
    <s v="OK"/>
    <s v="Completed"/>
    <x v="0"/>
    <s v="OK"/>
    <s v="INVALID"/>
    <s v="MATCH"/>
    <s v="MATCH"/>
  </r>
  <r>
    <x v="444"/>
    <n v="1"/>
    <d v="2024-01-04T00:00:00"/>
    <d v="2024-01-04T00:00:00"/>
    <x v="9"/>
    <x v="0"/>
    <s v="02/11/2024"/>
    <d v="2024-02-11T00:00:00"/>
    <n v="38"/>
    <s v="OK"/>
    <s v="CUST-2951"/>
    <s v="Diya Patel"/>
    <s v="Diya Patel"/>
    <s v="Consumer"/>
    <x v="0"/>
    <s v="East"/>
    <x v="1"/>
    <s v="OK"/>
    <s v="Odisha"/>
    <s v="Odisha"/>
    <s v="Bhubaneswar"/>
    <s v="Bhubaneswar"/>
    <s v="Technology"/>
    <x v="2"/>
    <s v="Machines"/>
    <x v="12"/>
    <s v="Max Machines 569"/>
    <s v="Standard Class"/>
    <x v="3"/>
    <s v="OK"/>
    <n v="7"/>
    <n v="715.81"/>
    <n v="0.15"/>
    <n v="0.15"/>
    <s v="OK"/>
    <n v="4259.07"/>
    <n v="3130.32"/>
    <n v="1128.75"/>
    <n v="4259.0694999999996"/>
    <n v="1128.7494999999994"/>
    <x v="437"/>
    <s v="Pending"/>
    <x v="1"/>
    <s v="OK"/>
    <s v="Cancelled"/>
    <x v="2"/>
    <s v="EXCLUDE_FROM_SALES"/>
    <s v="CLEAN"/>
    <s v="MATCH"/>
    <s v="MATCH"/>
  </r>
  <r>
    <x v="445"/>
    <n v="1"/>
    <d v="2024-11-27T00:00:00"/>
    <d v="2024-11-27T00:00:00"/>
    <x v="2"/>
    <x v="0"/>
    <s v="04-04-2024"/>
    <d v="2024-04-04T00:00:00"/>
    <n v="-237"/>
    <s v="INVALID_SHIPPING"/>
    <s v="CUST-3072"/>
    <s v="Rahul Verma"/>
    <s v="Rahul Verma"/>
    <s v="Small Business"/>
    <x v="1"/>
    <s v="East"/>
    <x v="1"/>
    <s v="OK"/>
    <s v="Jharkhand"/>
    <s v="Jharkhand"/>
    <s v="Ranchi"/>
    <s v="Ranchi"/>
    <s v="Furniture"/>
    <x v="1"/>
    <s v="Furnishings"/>
    <x v="3"/>
    <s v="Basic Furnishings 306"/>
    <s v="First Class"/>
    <x v="2"/>
    <s v="OK"/>
    <n v="1"/>
    <n v="874.3"/>
    <n v="0.1"/>
    <n v="0.1"/>
    <s v="OK"/>
    <n v="786.87"/>
    <n v="498.5"/>
    <n v="288.37"/>
    <n v="786.87"/>
    <n v="288.37"/>
    <x v="438"/>
    <s v="Paid"/>
    <x v="0"/>
    <s v="OK"/>
    <s v="Completed"/>
    <x v="0"/>
    <s v="OK"/>
    <s v="INVALID"/>
    <s v="MATCH"/>
    <s v="MATCH"/>
  </r>
  <r>
    <x v="446"/>
    <n v="1"/>
    <d v="2024-09-29T00:00:00"/>
    <d v="2024-09-29T00:00:00"/>
    <x v="5"/>
    <x v="0"/>
    <s v="06 Oct 2025"/>
    <d v="2025-10-06T00:00:00"/>
    <n v="372"/>
    <s v="OK"/>
    <s v="CUST-3943"/>
    <s v="Priya Menon"/>
    <s v="Priya Menon"/>
    <s v="Small Business"/>
    <x v="1"/>
    <s v="West"/>
    <x v="3"/>
    <s v="OK"/>
    <s v="Maharashtra"/>
    <s v="Maharashtra"/>
    <s v="Mumbai"/>
    <s v="Mumbai"/>
    <s v="Office Supplies"/>
    <x v="0"/>
    <s v="Labels"/>
    <x v="5"/>
    <s v="Pro Labels 611"/>
    <s v="First Class"/>
    <x v="2"/>
    <s v="OK"/>
    <n v="8"/>
    <n v="1981.04"/>
    <n v="-0.14000000000000001"/>
    <n v="-0.14000000000000001"/>
    <s v="Invalid Negative Discount"/>
    <n v="12678.66"/>
    <n v="10088.65"/>
    <n v="2590.0100000000002"/>
    <s v="INVALID"/>
    <s v="INVALID"/>
    <x v="12"/>
    <s v="Paid"/>
    <x v="0"/>
    <s v="OK"/>
    <s v="Completed"/>
    <x v="0"/>
    <s v="OK"/>
    <s v="INVALID"/>
    <s v="INVALID"/>
    <s v="INVALID"/>
  </r>
  <r>
    <x v="447"/>
    <n v="1"/>
    <d v="2024-07-31T00:00:00"/>
    <d v="2024-07-31T00:00:00"/>
    <x v="0"/>
    <x v="0"/>
    <s v="05/26/2025"/>
    <d v="2025-05-26T00:00:00"/>
    <n v="299"/>
    <s v="OK"/>
    <s v="CUST-7510"/>
    <s v="Karan Malhotra"/>
    <s v="Karan Malhotra"/>
    <s v="Home Office"/>
    <x v="3"/>
    <s v="South"/>
    <x v="2"/>
    <s v="OK"/>
    <s v="Kerala"/>
    <s v="Kerala"/>
    <s v="Kochi"/>
    <s v="Kochi"/>
    <s v="Technology"/>
    <x v="2"/>
    <s v="Machines"/>
    <x v="12"/>
    <s v="Prime Machines 524"/>
    <s v="Standard Class"/>
    <x v="3"/>
    <s v="OK"/>
    <n v="8"/>
    <n v="4246.01"/>
    <n v="0"/>
    <n v="0"/>
    <s v="OK"/>
    <n v="33968.080000000002"/>
    <n v="26902.44"/>
    <n v="7065.64"/>
    <n v="33968.080000000002"/>
    <n v="7065.6400000000031"/>
    <x v="439"/>
    <s v="Failed"/>
    <x v="3"/>
    <s v="EXCLUDE_FROM_SALES"/>
    <s v="Cancelled"/>
    <x v="2"/>
    <s v="EXCLUDE_FROM_SALES"/>
    <s v="CLEAN"/>
    <s v="MATCH"/>
    <s v="MATCH"/>
  </r>
  <r>
    <x v="448"/>
    <n v="1"/>
    <d v="2024-03-07T00:00:00"/>
    <d v="2024-03-07T00:00:00"/>
    <x v="10"/>
    <x v="0"/>
    <s v="25-09-2024"/>
    <d v="2024-09-25T00:00:00"/>
    <n v="202"/>
    <s v="OK"/>
    <s v="CUST-4466"/>
    <s v="Aarav Sharma"/>
    <s v="Aarav Sharma"/>
    <s v="Corporate"/>
    <x v="2"/>
    <s v="South"/>
    <x v="2"/>
    <s v="OK"/>
    <s v="Karnataka"/>
    <s v="Karnataka"/>
    <s v="Bengaluru"/>
    <s v="Bengaluru"/>
    <s v="Technology"/>
    <x v="2"/>
    <s v="Accessories"/>
    <x v="4"/>
    <s v="Classic Accessories 471"/>
    <s v="First Class"/>
    <x v="2"/>
    <s v="OK"/>
    <n v="7"/>
    <n v="1942.49"/>
    <n v="0.2"/>
    <n v="0.2"/>
    <s v="OK"/>
    <n v="10877.94"/>
    <n v="9110.14"/>
    <n v="1767.8"/>
    <n v="10877.944000000001"/>
    <n v="1767.8040000000019"/>
    <x v="440"/>
    <s v="Paid"/>
    <x v="0"/>
    <s v="OK"/>
    <s v="Completed"/>
    <x v="0"/>
    <s v="OK"/>
    <s v="CLEAN"/>
    <s v="MATCH"/>
    <s v="MATCH"/>
  </r>
  <r>
    <x v="449"/>
    <n v="1"/>
    <d v="2024-12-10T00:00:00"/>
    <d v="2024-12-10T00:00:00"/>
    <x v="4"/>
    <x v="0"/>
    <s v="2025-02-08"/>
    <d v="2025-02-08T00:00:00"/>
    <n v="60"/>
    <s v="OK"/>
    <s v="CUST-3188"/>
    <s v="Mira Das"/>
    <s v="Mira Das"/>
    <s v="Corporate"/>
    <x v="2"/>
    <s v="East"/>
    <x v="1"/>
    <s v="OK"/>
    <s v="Assam"/>
    <s v="Assam"/>
    <s v="Guwahati"/>
    <s v="Guwahati"/>
    <s v="Furniture"/>
    <x v="1"/>
    <s v="Furnishings"/>
    <x v="3"/>
    <s v="Smart Furnishings 175"/>
    <s v="Second Class"/>
    <x v="0"/>
    <s v="OK"/>
    <n v="4"/>
    <n v="3202.04"/>
    <n v="0.2"/>
    <n v="0.2"/>
    <s v="OK"/>
    <n v="10246.530000000001"/>
    <n v="8634.42"/>
    <n v="1612.11"/>
    <n v="10246.528"/>
    <n v="1612.1080000000002"/>
    <x v="441"/>
    <s v="Pending"/>
    <x v="1"/>
    <s v="OK"/>
    <s v="Returned"/>
    <x v="1"/>
    <s v="RETURNED_ORDER"/>
    <s v="CLEAN"/>
    <s v="MATCH"/>
    <s v="MATCH"/>
  </r>
  <r>
    <x v="450"/>
    <n v="1"/>
    <d v="2024-11-24T00:00:00"/>
    <d v="2024-11-24T00:00:00"/>
    <x v="2"/>
    <x v="0"/>
    <s v="03/15/2025"/>
    <d v="2025-03-15T00:00:00"/>
    <n v="111"/>
    <s v="OK"/>
    <s v="CUST-5125"/>
    <s v="Priya Menon"/>
    <s v="Priya Menon"/>
    <s v="Home Office"/>
    <x v="3"/>
    <s v="South"/>
    <x v="2"/>
    <s v="OK"/>
    <s v="Tamil Nadu"/>
    <s v="Tamil Nadu"/>
    <s v="Chennai"/>
    <s v="Chennai"/>
    <s v="Office Supplies"/>
    <x v="0"/>
    <s v="Paper"/>
    <x v="0"/>
    <s v="Basic Paper 707"/>
    <s v="Same Day"/>
    <x v="1"/>
    <s v="OK"/>
    <n v="1"/>
    <n v="844.89"/>
    <n v="0.25"/>
    <n v="0.25"/>
    <s v="OK"/>
    <n v="633.66999999999996"/>
    <n v="520.47"/>
    <n v="113.2"/>
    <n v="633.66750000000002"/>
    <n v="113.19749999999999"/>
    <x v="442"/>
    <s v="Paid"/>
    <x v="0"/>
    <s v="OK"/>
    <s v="Cancelled"/>
    <x v="2"/>
    <s v="EXCLUDE_FROM_SALES"/>
    <s v="CLEAN"/>
    <s v="MATCH"/>
    <s v="MATCH"/>
  </r>
  <r>
    <x v="451"/>
    <n v="1"/>
    <d v="2024-02-26T00:00:00"/>
    <d v="2024-02-26T00:00:00"/>
    <x v="11"/>
    <x v="0"/>
    <s v="2024-02-06"/>
    <d v="2024-02-06T00:00:00"/>
    <n v="-20"/>
    <s v="INVALID_SHIPPING"/>
    <s v="CUST-9036"/>
    <s v="Aditi Sen"/>
    <s v="Aditi Sen"/>
    <s v="Small Business"/>
    <x v="1"/>
    <s v="West"/>
    <x v="3"/>
    <s v="OK"/>
    <s v="Goa"/>
    <s v="Goa"/>
    <s v="Panaji"/>
    <s v="Panaji"/>
    <s v="Furniture"/>
    <x v="1"/>
    <s v="Furnishings"/>
    <x v="3"/>
    <s v="Pro Furnishings 192"/>
    <s v="Second Class"/>
    <x v="0"/>
    <s v="OK"/>
    <n v="7"/>
    <n v="1035.1400000000001"/>
    <n v="0.1"/>
    <n v="0.1"/>
    <s v="OK"/>
    <n v="6521.38"/>
    <n v="4511.1000000000004"/>
    <n v="2010.28"/>
    <n v="6521.3820000000005"/>
    <n v="2010.2820000000002"/>
    <x v="443"/>
    <s v="Paid"/>
    <x v="0"/>
    <s v="OK"/>
    <s v="Completed"/>
    <x v="0"/>
    <s v="OK"/>
    <s v="INVALID"/>
    <s v="MATCH"/>
    <s v="MATCH"/>
  </r>
  <r>
    <x v="452"/>
    <n v="1"/>
    <d v="2024-04-06T00:00:00"/>
    <d v="2024-04-06T00:00:00"/>
    <x v="6"/>
    <x v="0"/>
    <s v="01/08/2024"/>
    <d v="2024-01-08T00:00:00"/>
    <n v="-89"/>
    <s v="INVALID_SHIPPING"/>
    <s v="CUST-2689"/>
    <s v="Rahul Verma"/>
    <s v="Rahul Verma"/>
    <s v="Home Office"/>
    <x v="3"/>
    <s v="East"/>
    <x v="1"/>
    <s v="OK"/>
    <s v="West Bengal"/>
    <s v="West Bengal"/>
    <s v="Kolkata"/>
    <s v="Kolkata"/>
    <s v="Furniture"/>
    <x v="1"/>
    <s v="Bookcases"/>
    <x v="9"/>
    <s v="Basic Bookcases 499"/>
    <s v="First Class"/>
    <x v="2"/>
    <s v="OK"/>
    <n v="6"/>
    <n v="3949.4"/>
    <n v="0"/>
    <n v="0"/>
    <s v="OK"/>
    <n v="23696.400000000001"/>
    <n v="18109.77"/>
    <n v="5586.63"/>
    <n v="23696.400000000001"/>
    <n v="5586.630000000001"/>
    <x v="444"/>
    <s v="Paid"/>
    <x v="0"/>
    <s v="OK"/>
    <s v="Completed"/>
    <x v="0"/>
    <s v="OK"/>
    <s v="INVALID"/>
    <s v="MATCH"/>
    <s v="MATCH"/>
  </r>
  <r>
    <x v="453"/>
    <n v="1"/>
    <d v="2024-10-18T00:00:00"/>
    <d v="2024-10-18T00:00:00"/>
    <x v="7"/>
    <x v="0"/>
    <s v="21 Aug 2024"/>
    <d v="2024-08-21T00:00:00"/>
    <n v="-58"/>
    <s v="INVALID_SHIPPING"/>
    <s v="CUST-2879"/>
    <s v="Aarav Sharma"/>
    <s v="Aarav Sharma"/>
    <s v="Home Office"/>
    <x v="3"/>
    <s v="South"/>
    <x v="2"/>
    <s v="OK"/>
    <s v="Telangana"/>
    <s v="Telangana"/>
    <s v="Hyderabad"/>
    <s v="Hyderabad"/>
    <s v="Office Supplies"/>
    <x v="0"/>
    <s v="Art"/>
    <x v="2"/>
    <s v="Basic Art 143"/>
    <s v="First Class"/>
    <x v="2"/>
    <s v="OK"/>
    <n v="6"/>
    <n v="674.61"/>
    <n v="0"/>
    <n v="0"/>
    <s v="OK"/>
    <n v="4047.66"/>
    <n v="3078.93"/>
    <n v="1279.79"/>
    <n v="4047.66"/>
    <n v="968.73"/>
    <x v="445"/>
    <s v="Paid"/>
    <x v="0"/>
    <s v="OK"/>
    <s v="Completed"/>
    <x v="0"/>
    <s v="OK"/>
    <s v="INVALID"/>
    <s v="MATCH"/>
    <s v="MISMATCH"/>
  </r>
  <r>
    <x v="454"/>
    <n v="1"/>
    <d v="2024-12-15T00:00:00"/>
    <d v="2024-12-15T00:00:00"/>
    <x v="4"/>
    <x v="0"/>
    <s v="07 Jan 2025"/>
    <d v="2025-01-07T00:00:00"/>
    <n v="23"/>
    <s v="OK"/>
    <s v="CUST-9776"/>
    <s v="Isha Nair"/>
    <s v="Isha Nair"/>
    <s v="Small Business"/>
    <x v="1"/>
    <s v="North"/>
    <x v="0"/>
    <s v="OK"/>
    <s v="Rajasthan"/>
    <s v="Rajasthan"/>
    <s v="Jaipur"/>
    <s v="Jaipur"/>
    <s v="Office Supplies"/>
    <x v="0"/>
    <s v="Labels"/>
    <x v="5"/>
    <s v="Smart Labels 814"/>
    <s v="Second Class"/>
    <x v="0"/>
    <s v="OK"/>
    <n v="2"/>
    <n v="537.11"/>
    <n v="0"/>
    <n v="0"/>
    <s v="OK"/>
    <n v="1074.22"/>
    <n v="850.86"/>
    <n v="223.36"/>
    <n v="1074.22"/>
    <n v="223.36"/>
    <x v="446"/>
    <s v="Paid"/>
    <x v="0"/>
    <s v="OK"/>
    <s v="Completed"/>
    <x v="0"/>
    <s v="OK"/>
    <s v="CLEAN"/>
    <s v="MATCH"/>
    <s v="MATCH"/>
  </r>
  <r>
    <x v="455"/>
    <n v="1"/>
    <d v="2024-09-20T00:00:00"/>
    <d v="2024-09-20T00:00:00"/>
    <x v="5"/>
    <x v="0"/>
    <s v="01/25/2024"/>
    <d v="2024-01-25T00:00:00"/>
    <n v="-239"/>
    <s v="INVALID_SHIPPING"/>
    <s v="CUST-8206"/>
    <s v="Rohan Mehta"/>
    <s v="Rohan Mehta"/>
    <s v="Home Office"/>
    <x v="3"/>
    <s v="East"/>
    <x v="1"/>
    <s v="OK"/>
    <s v="Odisha"/>
    <s v="Odisha"/>
    <s v="Bhubaneswar"/>
    <s v="Bhubaneswar"/>
    <s v="Technology"/>
    <x v="2"/>
    <s v="Phones"/>
    <x v="8"/>
    <s v="Basic Phones 398"/>
    <s v="Standard Class"/>
    <x v="3"/>
    <s v="OK"/>
    <n v="8"/>
    <n v="531.42999999999995"/>
    <n v="0.1"/>
    <n v="0.1"/>
    <s v="OK"/>
    <n v="3826.3"/>
    <n v="2194.12"/>
    <n v="1632.18"/>
    <n v="3826.2959999999998"/>
    <n v="1632.1759999999999"/>
    <x v="447"/>
    <s v="Paid"/>
    <x v="0"/>
    <s v="OK"/>
    <s v="Completed"/>
    <x v="0"/>
    <s v="OK"/>
    <s v="INVALID"/>
    <s v="MATCH"/>
    <s v="MATCH"/>
  </r>
  <r>
    <x v="456"/>
    <n v="1"/>
    <d v="2024-03-31T00:00:00"/>
    <d v="2024-03-31T00:00:00"/>
    <x v="10"/>
    <x v="0"/>
    <s v="07/31/2024"/>
    <d v="2024-07-31T00:00:00"/>
    <n v="122"/>
    <s v="OK"/>
    <s v="CUST-1798"/>
    <s v="Kabir Singh"/>
    <s v="Kabir Singh"/>
    <s v="Consumer"/>
    <x v="0"/>
    <s v="North"/>
    <x v="0"/>
    <s v="OK"/>
    <s v="Haryana"/>
    <s v="Haryana"/>
    <s v="Gurugram"/>
    <s v="Gurugram"/>
    <s v="Technology"/>
    <x v="2"/>
    <s v="Machines"/>
    <x v="12"/>
    <s v="Smart Machines 581"/>
    <s v="First Class"/>
    <x v="2"/>
    <s v="OK"/>
    <n v="4"/>
    <n v="2192.08"/>
    <n v="0.15"/>
    <n v="0.15"/>
    <s v="OK"/>
    <n v="7453.07"/>
    <n v="5133.78"/>
    <n v="2319.29"/>
    <n v="7453.0719999999992"/>
    <n v="2319.2919999999995"/>
    <x v="448"/>
    <s v="Paid"/>
    <x v="0"/>
    <s v="OK"/>
    <s v="Returned"/>
    <x v="1"/>
    <s v="RETURNED_ORDER"/>
    <s v="CLEAN"/>
    <s v="MATCH"/>
    <s v="MATCH"/>
  </r>
  <r>
    <x v="457"/>
    <n v="1"/>
    <d v="2024-02-23T00:00:00"/>
    <d v="2024-02-23T00:00:00"/>
    <x v="11"/>
    <x v="0"/>
    <s v="02/15/2024"/>
    <d v="2024-02-15T00:00:00"/>
    <n v="-8"/>
    <s v="INVALID_SHIPPING"/>
    <s v="CUST-2367"/>
    <s v="Karan Malhotra"/>
    <s v="Karan Malhotra"/>
    <s v="Consumer"/>
    <x v="0"/>
    <s v="East"/>
    <x v="1"/>
    <s v="OK"/>
    <s v="Odisha"/>
    <s v="Odisha"/>
    <s v="Bhubaneswar"/>
    <s v="Bhubaneswar"/>
    <s v="Furniture"/>
    <x v="1"/>
    <s v="Tables"/>
    <x v="1"/>
    <s v="Eco Tables 792"/>
    <s v="First Class"/>
    <x v="2"/>
    <s v="OK"/>
    <n v="9"/>
    <n v="3616.23"/>
    <n v="0.25"/>
    <n v="0.25"/>
    <s v="OK"/>
    <n v="24409.55"/>
    <n v="17157.580000000002"/>
    <n v="7251.97"/>
    <n v="24409.552499999998"/>
    <n v="7251.9724999999962"/>
    <x v="449"/>
    <s v="Pending"/>
    <x v="1"/>
    <s v="OK"/>
    <s v="Returned"/>
    <x v="1"/>
    <s v="RETURNED_ORDER"/>
    <s v="INVALID"/>
    <s v="MATCH"/>
    <s v="MATCH"/>
  </r>
  <r>
    <x v="458"/>
    <n v="1"/>
    <d v="2024-04-14T00:00:00"/>
    <d v="2024-04-14T00:00:00"/>
    <x v="6"/>
    <x v="0"/>
    <s v="03/07/2024"/>
    <d v="2024-03-07T00:00:00"/>
    <n v="-38"/>
    <s v="INVALID_SHIPPING"/>
    <s v="CUST-6522"/>
    <s v="Priya Menon"/>
    <s v="Priya Menon"/>
    <s v="Small Business"/>
    <x v="1"/>
    <s v="West"/>
    <x v="3"/>
    <s v="OK"/>
    <s v="Gujarat"/>
    <s v="Gujarat"/>
    <s v="Ahmedabad"/>
    <s v="Ahmedabad"/>
    <s v="Furniture"/>
    <x v="1"/>
    <s v="Bookcases"/>
    <x v="9"/>
    <s v="Prime Bookcases 177"/>
    <s v="Standard Class"/>
    <x v="3"/>
    <s v="OK"/>
    <n v="2"/>
    <n v="3977.52"/>
    <n v="0"/>
    <n v="0"/>
    <s v="OK"/>
    <n v="7955.04"/>
    <n v="5580.68"/>
    <n v="2374.36"/>
    <n v="7955.04"/>
    <n v="2374.3599999999997"/>
    <x v="450"/>
    <s v="Pending"/>
    <x v="1"/>
    <s v="OK"/>
    <s v="Returned"/>
    <x v="1"/>
    <s v="RETURNED_ORDER"/>
    <s v="INVALID"/>
    <s v="MATCH"/>
    <s v="MATCH"/>
  </r>
  <r>
    <x v="459"/>
    <n v="2"/>
    <d v="2024-06-03T00:00:00"/>
    <d v="2024-06-03T00:00:00"/>
    <x v="8"/>
    <x v="0"/>
    <s v="13 Nov 2024"/>
    <d v="2024-11-13T00:00:00"/>
    <n v="163"/>
    <s v="OK"/>
    <s v="CUST-3360"/>
    <s v="Isha Nair"/>
    <s v="Isha Nair"/>
    <s v="Home Office"/>
    <x v="3"/>
    <s v="West"/>
    <x v="3"/>
    <s v="OK"/>
    <s v="Gujarat"/>
    <s v="Gujarat"/>
    <s v="Ahmedabad"/>
    <s v="Ahmedabad"/>
    <s v="Furniture"/>
    <x v="1"/>
    <s v="Bookcases"/>
    <x v="9"/>
    <s v="Prime Bookcases 755"/>
    <s v="Standard Class"/>
    <x v="3"/>
    <s v="OK"/>
    <n v="3"/>
    <n v="679.63"/>
    <n v="0.2"/>
    <n v="0.2"/>
    <s v="OK"/>
    <n v="1631.11"/>
    <n v="898.73"/>
    <n v="396.58"/>
    <n v="1631.1120000000001"/>
    <n v="732.38200000000006"/>
    <x v="451"/>
    <s v="Paid"/>
    <x v="0"/>
    <s v="OK"/>
    <s v="Completed"/>
    <x v="0"/>
    <s v="OK"/>
    <s v="CLEAN"/>
    <s v="MATCH"/>
    <s v="MISMATCH"/>
  </r>
  <r>
    <x v="459"/>
    <n v="2"/>
    <d v="2024-06-03T00:00:00"/>
    <d v="2024-06-03T00:00:00"/>
    <x v="8"/>
    <x v="0"/>
    <s v="2024-06-10"/>
    <d v="2024-06-10T00:00:00"/>
    <n v="7"/>
    <s v="OK"/>
    <s v="CUST-3360"/>
    <s v="Isha Nair"/>
    <s v="Isha Nair"/>
    <s v="Home Office"/>
    <x v="3"/>
    <s v="West"/>
    <x v="3"/>
    <s v="OK"/>
    <s v="Gujarat"/>
    <s v="Gujarat"/>
    <s v="Ahmedabad"/>
    <s v="Ahmedabad"/>
    <s v="Furniture"/>
    <x v="1"/>
    <s v="Bookcases"/>
    <x v="9"/>
    <s v="Prime Bookcases 755"/>
    <s v="Standard Class"/>
    <x v="3"/>
    <s v="OK"/>
    <n v="3"/>
    <n v="679.63"/>
    <n v="0.2"/>
    <n v="0.2"/>
    <s v="OK"/>
    <n v="1631.11"/>
    <n v="898.73"/>
    <n v="396.58"/>
    <n v="1631.1120000000001"/>
    <n v="732.38200000000006"/>
    <x v="451"/>
    <s v="Paid"/>
    <x v="0"/>
    <s v="OK"/>
    <s v="Completed"/>
    <x v="0"/>
    <s v="OK"/>
    <s v="CLEAN"/>
    <s v="MATCH"/>
    <s v="MISMATCH"/>
  </r>
  <r>
    <x v="460"/>
    <n v="1"/>
    <d v="2024-06-30T00:00:00"/>
    <d v="2024-06-30T00:00:00"/>
    <x v="8"/>
    <x v="0"/>
    <s v="08 Mar 2025"/>
    <d v="2025-03-08T00:00:00"/>
    <n v="251"/>
    <s v="OK"/>
    <s v="CUST-2623"/>
    <s v="Priya Menon"/>
    <s v="Priya Menon"/>
    <s v="Home Office"/>
    <x v="3"/>
    <s v="East"/>
    <x v="1"/>
    <s v="OK"/>
    <s v="West Bengal"/>
    <s v="West Bengal"/>
    <s v="Kolkata"/>
    <s v="Kolkata"/>
    <s v="Office Supplies"/>
    <x v="0"/>
    <s v="Paper"/>
    <x v="0"/>
    <s v="Prime Paper 317"/>
    <s v="First Class"/>
    <x v="2"/>
    <s v="OK"/>
    <n v="6"/>
    <n v="1211.01"/>
    <n v="0"/>
    <n v="0"/>
    <s v="OK"/>
    <n v="7266.06"/>
    <n v="6216.89"/>
    <n v="1049.17"/>
    <n v="7266.0599999999995"/>
    <n v="1049.1699999999992"/>
    <x v="452"/>
    <s v="Paid"/>
    <x v="0"/>
    <s v="OK"/>
    <s v="Completed"/>
    <x v="0"/>
    <s v="OK"/>
    <s v="CLEAN"/>
    <s v="MATCH"/>
    <s v="MATCH"/>
  </r>
  <r>
    <x v="461"/>
    <n v="1"/>
    <d v="2024-03-26T00:00:00"/>
    <d v="2024-03-26T00:00:00"/>
    <x v="10"/>
    <x v="0"/>
    <s v="05/14/2024"/>
    <d v="2024-05-14T00:00:00"/>
    <n v="49"/>
    <s v="OK"/>
    <s v="CUST-3175"/>
    <s v="Karan Malhotra"/>
    <s v="Karan Malhotra"/>
    <s v="Small Business"/>
    <x v="1"/>
    <s v="West"/>
    <x v="3"/>
    <s v="OK"/>
    <s v="Gujarat"/>
    <s v="Gujarat"/>
    <s v="Ahmedabad"/>
    <s v="Ahmedabad"/>
    <s v="Technology"/>
    <x v="2"/>
    <s v="Accessories"/>
    <x v="4"/>
    <s v="Classic Accessories 933"/>
    <s v="First Class"/>
    <x v="2"/>
    <s v="OK"/>
    <n v="2"/>
    <n v="1161.3"/>
    <n v="0.2"/>
    <n v="0.2"/>
    <s v="OK"/>
    <n v="1858.08"/>
    <n v="1590.75"/>
    <n v="267.33"/>
    <n v="1858.08"/>
    <n v="267.32999999999993"/>
    <x v="453"/>
    <s v="Paid"/>
    <x v="0"/>
    <s v="OK"/>
    <s v="Completed"/>
    <x v="0"/>
    <s v="OK"/>
    <s v="CLEAN"/>
    <s v="MATCH"/>
    <s v="MATCH"/>
  </r>
  <r>
    <x v="462"/>
    <n v="1"/>
    <d v="2024-04-01T00:00:00"/>
    <d v="2024-04-01T00:00:00"/>
    <x v="6"/>
    <x v="0"/>
    <s v="28-08-2025"/>
    <d v="2025-08-28T00:00:00"/>
    <n v="514"/>
    <s v="OK"/>
    <s v="CUST-9630"/>
    <s v="Ananya Rao"/>
    <s v="Ananya Rao"/>
    <s v="Consumer"/>
    <x v="0"/>
    <s v="East"/>
    <x v="1"/>
    <s v="OK"/>
    <s v="Assam"/>
    <s v="Assam"/>
    <s v="Guwahati"/>
    <s v="Guwahati"/>
    <s v="Furniture"/>
    <x v="1"/>
    <s v="Tables"/>
    <x v="1"/>
    <s v="Smart Tables 513"/>
    <s v="Second Class"/>
    <x v="0"/>
    <s v="OK"/>
    <n v="7"/>
    <n v="4205.3500000000004"/>
    <n v="0.15"/>
    <n v="0.15"/>
    <s v="OK"/>
    <n v="25021.83"/>
    <n v="15544.44"/>
    <n v="9477.39"/>
    <n v="25021.832500000004"/>
    <n v="9477.3925000000036"/>
    <x v="454"/>
    <s v="Pending"/>
    <x v="1"/>
    <s v="OK"/>
    <s v="Cancelled"/>
    <x v="2"/>
    <s v="EXCLUDE_FROM_SALES"/>
    <s v="CLEAN"/>
    <s v="MATCH"/>
    <s v="MATCH"/>
  </r>
  <r>
    <x v="463"/>
    <n v="1"/>
    <d v="2024-07-25T00:00:00"/>
    <d v="2024-07-25T00:00:00"/>
    <x v="0"/>
    <x v="0"/>
    <s v="2024-06-13"/>
    <d v="2024-06-13T00:00:00"/>
    <n v="-42"/>
    <s v="INVALID_SHIPPING"/>
    <s v="CUST-2752"/>
    <s v="Rahul Verma"/>
    <s v="Rahul Verma"/>
    <s v="Consumer"/>
    <x v="0"/>
    <s v="North"/>
    <x v="0"/>
    <s v="OK"/>
    <s v="Rajasthan"/>
    <s v="Rajasthan"/>
    <s v="Jaipur"/>
    <s v="Jaipur"/>
    <s v="Office Supplies"/>
    <x v="0"/>
    <s v="Labels"/>
    <x v="5"/>
    <s v="Classic Labels 215"/>
    <s v="Second Class"/>
    <x v="0"/>
    <s v="OK"/>
    <n v="2"/>
    <n v="2073.5300000000002"/>
    <n v="0.25"/>
    <n v="0.25"/>
    <s v="OK"/>
    <n v="3110.3"/>
    <n v="2101.0300000000002"/>
    <n v="1009.27"/>
    <n v="3110.2950000000001"/>
    <n v="1009.2649999999999"/>
    <x v="455"/>
    <s v="Paid"/>
    <x v="0"/>
    <s v="OK"/>
    <s v="Completed"/>
    <x v="0"/>
    <s v="OK"/>
    <s v="INVALID"/>
    <s v="MATCH"/>
    <s v="MATCH"/>
  </r>
  <r>
    <x v="464"/>
    <n v="1"/>
    <d v="2024-12-06T00:00:00"/>
    <d v="2024-12-06T00:00:00"/>
    <x v="4"/>
    <x v="0"/>
    <s v="2024-02-20"/>
    <d v="2024-02-20T00:00:00"/>
    <n v="-290"/>
    <s v="INVALID_SHIPPING"/>
    <s v="CUST-5647"/>
    <s v="Rohan Mehta"/>
    <s v="Rohan Mehta"/>
    <s v="Home Office"/>
    <x v="3"/>
    <s v="South"/>
    <x v="2"/>
    <s v="OK"/>
    <s v="Tamil Nadu"/>
    <s v="Tamil Nadu"/>
    <s v="Chennai"/>
    <s v="Chennai"/>
    <s v="Office Supplies"/>
    <x v="0"/>
    <s v="Storage"/>
    <x v="7"/>
    <s v="Classic Storage 918"/>
    <s v="Standard Class"/>
    <x v="3"/>
    <s v="OK"/>
    <n v="4"/>
    <n v="395.1"/>
    <n v="-0.16"/>
    <n v="-0.16"/>
    <s v="Invalid Negative Discount"/>
    <n v="1185.3"/>
    <n v="966.55"/>
    <n v="218.75"/>
    <s v="INVALID"/>
    <s v="INVALID"/>
    <x v="12"/>
    <s v="Failed"/>
    <x v="3"/>
    <s v="EXCLUDE_FROM_SALES"/>
    <s v="Cancelled"/>
    <x v="2"/>
    <s v="EXCLUDE_FROM_SALES"/>
    <s v="INVALID"/>
    <s v="INVALID"/>
    <s v="INVALID"/>
  </r>
  <r>
    <x v="465"/>
    <n v="1"/>
    <d v="2024-04-06T00:00:00"/>
    <d v="2024-04-06T00:00:00"/>
    <x v="6"/>
    <x v="0"/>
    <s v="09 Jan 2025"/>
    <d v="2025-01-09T00:00:00"/>
    <n v="278"/>
    <s v="OK"/>
    <s v="CUST-8575"/>
    <s v="Sneha Kapoor"/>
    <s v="Sneha Kapoor"/>
    <s v="Home Office"/>
    <x v="3"/>
    <s v="South"/>
    <x v="2"/>
    <s v="OK"/>
    <s v="Kerala"/>
    <s v="Kerala"/>
    <s v="Kochi"/>
    <s v="Kochi"/>
    <s v="Office Supplies"/>
    <x v="0"/>
    <s v="Storage"/>
    <x v="7"/>
    <s v="Max Storage 223"/>
    <s v="First Class"/>
    <x v="2"/>
    <s v="OK"/>
    <n v="6"/>
    <n v="2708.97"/>
    <n v="0.25"/>
    <n v="0.25"/>
    <s v="OK"/>
    <n v="12190.36"/>
    <n v="10176.99"/>
    <n v="2013.37"/>
    <n v="12190.365"/>
    <n v="2013.375"/>
    <x v="456"/>
    <s v="Paid"/>
    <x v="0"/>
    <s v="OK"/>
    <s v="Completed"/>
    <x v="0"/>
    <s v="OK"/>
    <s v="CLEAN"/>
    <s v="MISMATCH"/>
    <s v="MISMATCH"/>
  </r>
  <r>
    <x v="466"/>
    <n v="1"/>
    <d v="2024-02-05T00:00:00"/>
    <d v="2024-02-05T00:00:00"/>
    <x v="11"/>
    <x v="0"/>
    <s v="06/13/2025"/>
    <d v="2025-06-13T00:00:00"/>
    <n v="494"/>
    <s v="OK"/>
    <s v="CUST-9576"/>
    <s v="Arjun Bose"/>
    <s v="Arjun Bose"/>
    <s v="Consumer"/>
    <x v="0"/>
    <s v="East"/>
    <x v="1"/>
    <s v="OK"/>
    <s v="Odisha"/>
    <s v="Odisha"/>
    <s v="Bhubaneswar"/>
    <s v="Bhubaneswar"/>
    <s v="Technology"/>
    <x v="2"/>
    <s v="Accessories"/>
    <x v="4"/>
    <s v="Basic Accessories 602"/>
    <s v="Second Class"/>
    <x v="0"/>
    <s v="OK"/>
    <n v="4"/>
    <n v="2904.86"/>
    <n v="0"/>
    <n v="0"/>
    <s v="OK"/>
    <n v="11619.44"/>
    <n v="7184.32"/>
    <n v="4494.6400000000003"/>
    <n v="11619.44"/>
    <n v="4435.1200000000008"/>
    <x v="457"/>
    <s v="Paid"/>
    <x v="0"/>
    <s v="OK"/>
    <s v="Completed"/>
    <x v="0"/>
    <s v="OK"/>
    <s v="CLEAN"/>
    <s v="MATCH"/>
    <s v="MISMATCH"/>
  </r>
  <r>
    <x v="467"/>
    <n v="1"/>
    <d v="2024-10-27T00:00:00"/>
    <d v="2024-10-27T00:00:00"/>
    <x v="7"/>
    <x v="0"/>
    <s v="07/22/2024"/>
    <d v="2024-07-22T00:00:00"/>
    <n v="-97"/>
    <s v="INVALID_SHIPPING"/>
    <s v="CUST-2395"/>
    <s v="Aditi Sen"/>
    <s v="Aditi Sen"/>
    <s v="Corporate"/>
    <x v="2"/>
    <s v="South"/>
    <x v="2"/>
    <s v="OK"/>
    <s v="Tamil Nadu"/>
    <s v="Tamil Nadu"/>
    <s v="Chennai"/>
    <s v="Chennai"/>
    <s v="Technology"/>
    <x v="2"/>
    <s v="Phones"/>
    <x v="8"/>
    <s v="Elite Phones 394"/>
    <s v="Standard Class"/>
    <x v="3"/>
    <s v="OK"/>
    <n v="6"/>
    <n v="4399.2"/>
    <n v="0.05"/>
    <n v="0.05"/>
    <s v="OK"/>
    <n v="25075.439999999999"/>
    <n v="16282.74"/>
    <n v="8792.7000000000007"/>
    <n v="25075.439999999995"/>
    <n v="8792.6999999999953"/>
    <x v="458"/>
    <s v="Paid"/>
    <x v="0"/>
    <s v="OK"/>
    <s v="Completed"/>
    <x v="0"/>
    <s v="OK"/>
    <s v="INVALID"/>
    <s v="MATCH"/>
    <s v="MATCH"/>
  </r>
  <r>
    <x v="468"/>
    <n v="1"/>
    <d v="2024-02-02T00:00:00"/>
    <d v="2024-02-02T00:00:00"/>
    <x v="11"/>
    <x v="0"/>
    <s v="25-12-2024"/>
    <d v="2024-12-25T00:00:00"/>
    <n v="327"/>
    <s v="OK"/>
    <s v="CUST-8941"/>
    <s v="Vikram Iyer"/>
    <s v="Vikram Iyer"/>
    <s v="Home Office"/>
    <x v="3"/>
    <s v="North"/>
    <x v="0"/>
    <s v="OK"/>
    <s v="Uttar Pradesh"/>
    <s v="Uttar Pradesh"/>
    <s v="Noida"/>
    <s v="Noida"/>
    <s v="Office Supplies"/>
    <x v="0"/>
    <s v="Storage"/>
    <x v="7"/>
    <s v="Classic Storage 194"/>
    <s v="Second Class"/>
    <x v="0"/>
    <s v="OK"/>
    <n v="1"/>
    <n v="4397.32"/>
    <n v="0.05"/>
    <n v="0.05"/>
    <s v="OK"/>
    <n v="4177.45"/>
    <n v="2299.5"/>
    <n v="1877.95"/>
    <n v="4177.4539999999997"/>
    <n v="1877.9539999999997"/>
    <x v="459"/>
    <s v="Paid"/>
    <x v="0"/>
    <s v="OK"/>
    <s v="Completed"/>
    <x v="0"/>
    <s v="OK"/>
    <s v="CLEAN"/>
    <s v="MATCH"/>
    <s v="MATCH"/>
  </r>
  <r>
    <x v="469"/>
    <n v="1"/>
    <d v="2024-11-21T00:00:00"/>
    <d v="2024-11-21T00:00:00"/>
    <x v="2"/>
    <x v="0"/>
    <s v="12/31/2024"/>
    <d v="2024-12-31T00:00:00"/>
    <n v="40"/>
    <s v="OK"/>
    <s v="CUST-2328"/>
    <s v="Rahul Verma"/>
    <s v="Rahul Verma"/>
    <s v="Home Office"/>
    <x v="3"/>
    <s v="South"/>
    <x v="2"/>
    <s v="OK"/>
    <s v="Andhra Pradesh"/>
    <s v="Andhra Pradesh"/>
    <s v="Vijayawada"/>
    <s v="Vijayawada"/>
    <s v="Technology"/>
    <x v="2"/>
    <s v="Accessories"/>
    <x v="4"/>
    <s v="Eco Accessories 389"/>
    <s v="Same Day"/>
    <x v="1"/>
    <s v="OK"/>
    <n v="6"/>
    <n v="1043.49"/>
    <n v="0.25"/>
    <n v="0.25"/>
    <s v="OK"/>
    <n v="4695.7"/>
    <n v="3871.69"/>
    <n v="824.01"/>
    <n v="4695.7049999999999"/>
    <n v="824.01499999999987"/>
    <x v="460"/>
    <s v="Failed"/>
    <x v="3"/>
    <s v="EXCLUDE_FROM_SALES"/>
    <s v="Cancelled"/>
    <x v="2"/>
    <s v="EXCLUDE_FROM_SALES"/>
    <s v="CLEAN"/>
    <s v="MISMATCH"/>
    <s v="MISMATCH"/>
  </r>
  <r>
    <x v="470"/>
    <n v="1"/>
    <d v="2024-02-20T00:00:00"/>
    <d v="2024-02-20T00:00:00"/>
    <x v="11"/>
    <x v="0"/>
    <s v="23 Jan 2025"/>
    <d v="2025-01-23T00:00:00"/>
    <n v="338"/>
    <s v="OK"/>
    <s v="CUST-4375"/>
    <s v="Neha Gupta"/>
    <s v="Neha Gupta"/>
    <s v="Small Business"/>
    <x v="1"/>
    <s v="South"/>
    <x v="2"/>
    <s v="OK"/>
    <s v="Telangana"/>
    <s v="Telangana"/>
    <s v="Hyderabad"/>
    <s v="Hyderabad"/>
    <s v="Technology"/>
    <x v="2"/>
    <s v="Accessories"/>
    <x v="4"/>
    <s v="Pro Accessories 325"/>
    <s v="First Class"/>
    <x v="2"/>
    <s v="OK"/>
    <n v="9"/>
    <n v="2186.23"/>
    <n v="0"/>
    <n v="0"/>
    <s v="OK"/>
    <n v="19676.07"/>
    <n v="12458.62"/>
    <n v="7217.45"/>
    <n v="19676.07"/>
    <n v="7217.4499999999989"/>
    <x v="461"/>
    <s v="Refunded"/>
    <x v="2"/>
    <s v="REFUNDED_PAYMENT"/>
    <s v="Cancelled"/>
    <x v="2"/>
    <s v="EXCLUDE_FROM_SALES"/>
    <s v="CLEAN"/>
    <s v="MATCH"/>
    <s v="MATCH"/>
  </r>
  <r>
    <x v="471"/>
    <n v="1"/>
    <d v="2024-01-11T00:00:00"/>
    <d v="2024-01-11T00:00:00"/>
    <x v="9"/>
    <x v="0"/>
    <s v="06/26/2025"/>
    <d v="2025-06-26T00:00:00"/>
    <n v="532"/>
    <s v="OK"/>
    <s v="CUST-6262"/>
    <s v="Karan Malhotra"/>
    <s v="Karan Malhotra"/>
    <s v="Corporate"/>
    <x v="2"/>
    <s v="East"/>
    <x v="1"/>
    <s v="OK"/>
    <s v="West Bengal"/>
    <s v="West Bengal"/>
    <s v="Kolkata"/>
    <s v="Kolkata"/>
    <s v="Furniture"/>
    <x v="1"/>
    <s v="Furnishings"/>
    <x v="3"/>
    <s v="Prime Furnishings 178"/>
    <s v="Standard Class"/>
    <x v="3"/>
    <s v="OK"/>
    <n v="5"/>
    <n v="2212.02"/>
    <n v="0.2"/>
    <n v="0.2"/>
    <s v="OK"/>
    <n v="8848.08"/>
    <n v="5691.56"/>
    <n v="3156.52"/>
    <n v="8848.08"/>
    <n v="3156.5199999999995"/>
    <x v="462"/>
    <s v="Paid"/>
    <x v="0"/>
    <s v="OK"/>
    <s v="Completed"/>
    <x v="0"/>
    <s v="OK"/>
    <s v="CLEAN"/>
    <s v="MATCH"/>
    <s v="MATCH"/>
  </r>
  <r>
    <x v="472"/>
    <n v="1"/>
    <d v="2024-10-08T00:00:00"/>
    <d v="2024-10-08T00:00:00"/>
    <x v="7"/>
    <x v="0"/>
    <s v="06/17/2025"/>
    <d v="2025-06-17T00:00:00"/>
    <n v="252"/>
    <s v="OK"/>
    <s v="CUST-6928"/>
    <s v="Mira Das"/>
    <s v="Mira Das"/>
    <s v="Corporate"/>
    <x v="2"/>
    <s v="West"/>
    <x v="3"/>
    <s v="OK"/>
    <s v="Maharashtra"/>
    <s v="Maharashtra"/>
    <s v="Mumbai"/>
    <s v="Mumbai"/>
    <s v="Technology"/>
    <x v="2"/>
    <s v="Copiers"/>
    <x v="6"/>
    <s v="Elite Copiers 752"/>
    <s v="First Class"/>
    <x v="2"/>
    <s v="OK"/>
    <n v="7"/>
    <n v="3852.62"/>
    <n v="0.2"/>
    <n v="0.2"/>
    <s v="OK"/>
    <n v="21574.67"/>
    <n v="14672.83"/>
    <n v="6901.84"/>
    <n v="21574.672000000002"/>
    <n v="6901.8420000000024"/>
    <x v="463"/>
    <s v="Paid"/>
    <x v="0"/>
    <s v="OK"/>
    <s v="Completed"/>
    <x v="0"/>
    <s v="OK"/>
    <s v="CLEAN"/>
    <s v="MATCH"/>
    <s v="MATCH"/>
  </r>
  <r>
    <x v="473"/>
    <n v="1"/>
    <d v="2024-11-18T00:00:00"/>
    <d v="2024-11-18T00:00:00"/>
    <x v="2"/>
    <x v="0"/>
    <s v="2024-10-20"/>
    <d v="2024-10-20T00:00:00"/>
    <n v="-29"/>
    <s v="INVALID_SHIPPING"/>
    <s v="CUST-9044"/>
    <s v="Priya Menon"/>
    <s v="Priya Menon"/>
    <s v="Consumer"/>
    <x v="0"/>
    <s v="West"/>
    <x v="3"/>
    <s v="OK"/>
    <s v="Rajasthan"/>
    <s v="Rajasthan"/>
    <s v="Udaipur"/>
    <s v="Udaipur"/>
    <s v="Furniture"/>
    <x v="1"/>
    <s v="Chairs"/>
    <x v="10"/>
    <s v="Pro Chairs 316"/>
    <s v="First Class"/>
    <x v="2"/>
    <s v="OK"/>
    <n v="6"/>
    <n v="3790.22"/>
    <n v="0"/>
    <n v="0"/>
    <s v="OK"/>
    <n v="22741.32"/>
    <n v="16388.57"/>
    <n v="6352.75"/>
    <n v="22741.32"/>
    <n v="6352.75"/>
    <x v="464"/>
    <s v="Paid"/>
    <x v="0"/>
    <s v="OK"/>
    <s v="Completed"/>
    <x v="0"/>
    <s v="OK"/>
    <s v="INVALID"/>
    <s v="MATCH"/>
    <s v="MATCH"/>
  </r>
  <r>
    <x v="474"/>
    <n v="1"/>
    <d v="2024-01-22T00:00:00"/>
    <d v="2024-01-22T00:00:00"/>
    <x v="9"/>
    <x v="0"/>
    <s v="2024-02-12"/>
    <d v="2024-02-12T00:00:00"/>
    <n v="21"/>
    <s v="OK"/>
    <s v="CUST-8534"/>
    <s v="Karan Malhotra"/>
    <s v="Karan Malhotra"/>
    <s v="Corporate"/>
    <x v="2"/>
    <s v="East"/>
    <x v="1"/>
    <s v="OK"/>
    <s v="West Bengal"/>
    <s v="West Bengal"/>
    <s v="Kolkata"/>
    <s v="Kolkata"/>
    <s v="Office Supplies"/>
    <x v="0"/>
    <s v="Paper"/>
    <x v="0"/>
    <s v="Basic Paper 904"/>
    <s v="First Class"/>
    <x v="2"/>
    <s v="OK"/>
    <n v="8"/>
    <n v="1557.21"/>
    <n v="0.05"/>
    <n v="0.05"/>
    <s v="OK"/>
    <n v="11834.8"/>
    <n v="9322.36"/>
    <n v="2512.44"/>
    <n v="11834.796"/>
    <n v="2512.4359999999997"/>
    <x v="465"/>
    <s v="Paid"/>
    <x v="0"/>
    <s v="OK"/>
    <s v="Completed"/>
    <x v="0"/>
    <s v="OK"/>
    <s v="CLEAN"/>
    <s v="MATCH"/>
    <s v="MATCH"/>
  </r>
  <r>
    <x v="475"/>
    <n v="1"/>
    <d v="2024-03-08T00:00:00"/>
    <d v="2024-03-08T00:00:00"/>
    <x v="10"/>
    <x v="0"/>
    <s v="09/19/2024"/>
    <d v="2024-09-19T00:00:00"/>
    <n v="195"/>
    <s v="OK"/>
    <s v="CUST-5287"/>
    <s v="Aarav Sharma"/>
    <s v="Aarav Sharma"/>
    <s v="Small Business"/>
    <x v="1"/>
    <m/>
    <x v="4"/>
    <s v="MISSING_REGION"/>
    <s v="Punjab"/>
    <s v="Punjab"/>
    <s v="Ludhiana"/>
    <s v="Ludhiana"/>
    <s v="Furniture"/>
    <x v="1"/>
    <s v="Chairs"/>
    <x v="10"/>
    <s v="Basic Chairs 327"/>
    <s v="First Class"/>
    <x v="2"/>
    <s v="OK"/>
    <n v="5"/>
    <n v="3234.77"/>
    <n v="0"/>
    <n v="0"/>
    <s v="OK"/>
    <n v="16173.85"/>
    <n v="13636.34"/>
    <n v="2537.5100000000002"/>
    <n v="16173.85"/>
    <n v="2537.5100000000002"/>
    <x v="466"/>
    <s v="Paid"/>
    <x v="0"/>
    <s v="OK"/>
    <s v="Completed"/>
    <x v="0"/>
    <s v="OK"/>
    <s v="WARNING"/>
    <s v="MATCH"/>
    <s v="MATCH"/>
  </r>
  <r>
    <x v="476"/>
    <n v="1"/>
    <d v="2024-01-12T00:00:00"/>
    <d v="2024-01-12T00:00:00"/>
    <x v="9"/>
    <x v="0"/>
    <s v="30-04-2025"/>
    <d v="2025-04-30T00:00:00"/>
    <n v="474"/>
    <s v="OK"/>
    <s v="CUST-3445"/>
    <s v="Ananya Rao"/>
    <s v="Ananya Rao"/>
    <s v="Small Business"/>
    <x v="1"/>
    <s v="South"/>
    <x v="2"/>
    <s v="OK"/>
    <s v="Andhra Pradesh"/>
    <s v="Andhra Pradesh"/>
    <s v="Vijayawada"/>
    <s v="Vijayawada"/>
    <s v="Technology"/>
    <x v="2"/>
    <s v="Copiers"/>
    <x v="6"/>
    <s v="Eco Copiers 987"/>
    <s v="Second Class"/>
    <x v="0"/>
    <s v="OK"/>
    <n v="9"/>
    <n v="3726.75"/>
    <n v="0.25"/>
    <n v="0.25"/>
    <s v="OK"/>
    <n v="25155.56"/>
    <n v="17592.689999999999"/>
    <n v="7562.87"/>
    <n v="25155.5625"/>
    <n v="7562.8725000000013"/>
    <x v="467"/>
    <s v="Paid"/>
    <x v="0"/>
    <s v="OK"/>
    <s v="Completed"/>
    <x v="0"/>
    <s v="OK"/>
    <s v="CLEAN"/>
    <s v="MATCH"/>
    <s v="MATCH"/>
  </r>
  <r>
    <x v="477"/>
    <n v="1"/>
    <d v="2024-05-01T00:00:00"/>
    <d v="2024-05-01T00:00:00"/>
    <x v="3"/>
    <x v="0"/>
    <s v="07/02/2025"/>
    <d v="2025-07-02T00:00:00"/>
    <n v="427"/>
    <s v="OK"/>
    <s v="CUST-3446"/>
    <s v="Diya Patel"/>
    <s v="Diya Patel"/>
    <s v="Consumer"/>
    <x v="0"/>
    <s v="North"/>
    <x v="0"/>
    <s v="OK"/>
    <s v="Rajasthan"/>
    <s v="Rajasthan"/>
    <s v="Jaipur"/>
    <s v="Jaipur"/>
    <s v="Furniture"/>
    <x v="1"/>
    <s v="Tables"/>
    <x v="1"/>
    <s v="Pro Tables 866"/>
    <s v="Standard Class"/>
    <x v="3"/>
    <s v="OK"/>
    <n v="1"/>
    <n v="2167.08"/>
    <n v="0.25"/>
    <n v="0.25"/>
    <s v="OK"/>
    <n v="1625.31"/>
    <n v="1157.8900000000001"/>
    <n v="467.42"/>
    <n v="1625.31"/>
    <n v="467.41999999999985"/>
    <x v="468"/>
    <s v="Paid"/>
    <x v="0"/>
    <s v="OK"/>
    <s v="Completed"/>
    <x v="0"/>
    <s v="OK"/>
    <s v="CLEAN"/>
    <s v="MATCH"/>
    <s v="MATCH"/>
  </r>
  <r>
    <x v="478"/>
    <n v="1"/>
    <d v="2024-12-06T00:00:00"/>
    <d v="2024-12-06T00:00:00"/>
    <x v="4"/>
    <x v="0"/>
    <s v="2025-02-13"/>
    <d v="2025-02-13T00:00:00"/>
    <n v="69"/>
    <s v="OK"/>
    <s v="CUST-2795"/>
    <s v="Aarav Sharma"/>
    <s v="Aarav Sharma"/>
    <s v="Small Business"/>
    <x v="1"/>
    <s v="South"/>
    <x v="2"/>
    <s v="OK"/>
    <s v="Andhra Pradesh"/>
    <s v="Andhra Pradesh"/>
    <s v="Vijayawada"/>
    <s v="Vijayawada"/>
    <s v="Office Supplies"/>
    <x v="0"/>
    <s v="Art"/>
    <x v="2"/>
    <s v="Prime Art 596"/>
    <s v="Standard Class"/>
    <x v="3"/>
    <s v="OK"/>
    <n v="4"/>
    <n v="4176.13"/>
    <n v="0"/>
    <n v="0"/>
    <s v="OK"/>
    <n v="16704.52"/>
    <n v="10158.280000000001"/>
    <n v="6546.24"/>
    <n v="16704.52"/>
    <n v="6546.24"/>
    <x v="469"/>
    <s v="Paid"/>
    <x v="0"/>
    <s v="OK"/>
    <s v="Completed"/>
    <x v="0"/>
    <s v="OK"/>
    <s v="CLEAN"/>
    <s v="MATCH"/>
    <s v="MATCH"/>
  </r>
  <r>
    <x v="479"/>
    <n v="1"/>
    <d v="2024-05-15T00:00:00"/>
    <d v="2024-05-15T00:00:00"/>
    <x v="3"/>
    <x v="0"/>
    <s v="2024-11-22"/>
    <d v="2024-11-22T00:00:00"/>
    <n v="191"/>
    <s v="OK"/>
    <s v="CUST-3992"/>
    <s v="Karan Malhotra"/>
    <s v="Karan Malhotra"/>
    <s v="Consumer"/>
    <x v="0"/>
    <s v="West"/>
    <x v="3"/>
    <s v="OK"/>
    <s v="Goa"/>
    <s v="Goa"/>
    <s v="Panaji"/>
    <s v="Panaji"/>
    <s v="Office Supplies"/>
    <x v="0"/>
    <s v="Storage"/>
    <x v="7"/>
    <s v="Smart Storage 288"/>
    <s v="Standard Class"/>
    <x v="3"/>
    <s v="OK"/>
    <n v="6"/>
    <n v="2909.56"/>
    <n v="0.2"/>
    <n v="0.2"/>
    <s v="OK"/>
    <n v="13965.89"/>
    <n v="11646.12"/>
    <n v="2319.77"/>
    <n v="13965.888000000001"/>
    <n v="2319.768"/>
    <x v="470"/>
    <s v="Paid"/>
    <x v="0"/>
    <s v="OK"/>
    <s v="Completed"/>
    <x v="0"/>
    <s v="OK"/>
    <s v="CLEAN"/>
    <s v="MATCH"/>
    <s v="MATCH"/>
  </r>
  <r>
    <x v="480"/>
    <n v="1"/>
    <d v="2024-08-10T00:00:00"/>
    <d v="2024-08-10T00:00:00"/>
    <x v="1"/>
    <x v="0"/>
    <s v="05/15/2024"/>
    <d v="2024-05-15T00:00:00"/>
    <n v="-87"/>
    <s v="INVALID_SHIPPING"/>
    <s v="CUST-6647"/>
    <s v="Kabir Singh"/>
    <s v="Kabir Singh"/>
    <s v="Corporate"/>
    <x v="2"/>
    <s v="South"/>
    <x v="2"/>
    <s v="OK"/>
    <s v="Tamil Nadu"/>
    <s v="Tamil Nadu"/>
    <s v="Chennai"/>
    <s v="Chennai"/>
    <s v="Technology"/>
    <x v="2"/>
    <s v="Machines"/>
    <x v="12"/>
    <s v="Elite Machines 281"/>
    <s v="Same Day"/>
    <x v="1"/>
    <s v="OK"/>
    <n v="5"/>
    <n v="2407.9699999999998"/>
    <n v="0.1"/>
    <n v="0.1"/>
    <s v="OK"/>
    <n v="10835.86"/>
    <n v="6419.92"/>
    <n v="4415.9399999999996"/>
    <n v="10835.865"/>
    <n v="4415.9449999999997"/>
    <x v="471"/>
    <s v="Failed"/>
    <x v="3"/>
    <s v="EXCLUDE_FROM_SALES"/>
    <s v="Cancelled"/>
    <x v="2"/>
    <s v="EXCLUDE_FROM_SALES"/>
    <s v="INVALID"/>
    <s v="MISMATCH"/>
    <s v="MISMATCH"/>
  </r>
  <r>
    <x v="481"/>
    <n v="1"/>
    <d v="2024-06-06T00:00:00"/>
    <d v="2024-06-06T00:00:00"/>
    <x v="8"/>
    <x v="0"/>
    <s v="2025-07-06"/>
    <d v="2025-07-06T00:00:00"/>
    <n v="395"/>
    <s v="OK"/>
    <s v="CUST-9297"/>
    <s v="Aarav Sharma"/>
    <s v="Aarav Sharma"/>
    <s v="Corporate"/>
    <x v="2"/>
    <s v="South"/>
    <x v="2"/>
    <s v="OK"/>
    <s v="Karnataka"/>
    <s v="Karnataka"/>
    <s v="Bengaluru"/>
    <s v="Bengaluru"/>
    <s v="Furniture"/>
    <x v="1"/>
    <s v="Tables"/>
    <x v="1"/>
    <s v="Max Tables 291"/>
    <s v="Second Class"/>
    <x v="0"/>
    <s v="OK"/>
    <n v="3"/>
    <n v="395.49"/>
    <n v="0.05"/>
    <n v="0.05"/>
    <s v="OK"/>
    <n v="1127.1500000000001"/>
    <n v="845.62"/>
    <n v="281.52999999999997"/>
    <n v="1127.1465000000001"/>
    <n v="281.52650000000006"/>
    <x v="472"/>
    <s v="Paid"/>
    <x v="0"/>
    <s v="OK"/>
    <s v="Returned"/>
    <x v="1"/>
    <s v="RETURNED_ORDER"/>
    <s v="CLEAN"/>
    <s v="MATCH"/>
    <s v="MATCH"/>
  </r>
  <r>
    <x v="482"/>
    <n v="1"/>
    <d v="2024-02-22T00:00:00"/>
    <d v="2024-02-22T00:00:00"/>
    <x v="11"/>
    <x v="0"/>
    <s v="29 Aug 2024"/>
    <d v="2024-08-29T00:00:00"/>
    <n v="189"/>
    <s v="OK"/>
    <s v="CUST-7996"/>
    <s v="Isha Nair"/>
    <s v="Isha Nair"/>
    <s v="Home Office"/>
    <x v="3"/>
    <s v="South"/>
    <x v="2"/>
    <s v="OK"/>
    <s v="Telangana"/>
    <s v="Telangana"/>
    <s v="Hyderabad"/>
    <s v="Hyderabad"/>
    <s v="Furniture"/>
    <x v="1"/>
    <s v="Tables"/>
    <x v="1"/>
    <s v="Classic Tables 638"/>
    <s v="First Class"/>
    <x v="2"/>
    <s v="OK"/>
    <n v="6"/>
    <n v="4254.05"/>
    <n v="0"/>
    <n v="0"/>
    <s v="OK"/>
    <n v="25524.3"/>
    <n v="16711.93"/>
    <n v="8812.3700000000008"/>
    <n v="25524.300000000003"/>
    <n v="8812.3700000000026"/>
    <x v="473"/>
    <s v="Paid"/>
    <x v="0"/>
    <s v="OK"/>
    <s v="Completed"/>
    <x v="0"/>
    <s v="OK"/>
    <s v="CLEAN"/>
    <s v="MATCH"/>
    <s v="MATCH"/>
  </r>
  <r>
    <x v="483"/>
    <n v="1"/>
    <d v="2024-05-11T00:00:00"/>
    <d v="2024-05-11T00:00:00"/>
    <x v="3"/>
    <x v="0"/>
    <s v="10 Sep 2025"/>
    <d v="2025-09-10T00:00:00"/>
    <n v="487"/>
    <s v="OK"/>
    <s v="CUST-4117"/>
    <s v="Arjun Bose"/>
    <s v="Arjun Bose"/>
    <s v="Consumer"/>
    <x v="0"/>
    <s v="South"/>
    <x v="2"/>
    <s v="OK"/>
    <s v="Kerala"/>
    <s v="Kerala"/>
    <s v="Kochi"/>
    <s v="Kochi"/>
    <s v="Furniture"/>
    <x v="1"/>
    <s v="Chairs"/>
    <x v="10"/>
    <s v="Basic Chairs 212"/>
    <s v="Same Day"/>
    <x v="1"/>
    <s v="OK"/>
    <n v="4"/>
    <n v="711.18"/>
    <n v="0.15"/>
    <n v="0.15"/>
    <s v="OK"/>
    <n v="2418.0100000000002"/>
    <n v="1441.89"/>
    <n v="976.12"/>
    <n v="2418.0119999999997"/>
    <n v="976.12199999999962"/>
    <x v="474"/>
    <s v="Pending"/>
    <x v="1"/>
    <s v="OK"/>
    <s v="Returned"/>
    <x v="1"/>
    <s v="RETURNED_ORDER"/>
    <s v="CLEAN"/>
    <s v="MATCH"/>
    <s v="MATCH"/>
  </r>
  <r>
    <x v="484"/>
    <n v="1"/>
    <d v="2024-12-24T00:00:00"/>
    <d v="2024-12-24T00:00:00"/>
    <x v="4"/>
    <x v="0"/>
    <s v="26-12-2024"/>
    <d v="2024-12-26T00:00:00"/>
    <n v="2"/>
    <s v="OK"/>
    <s v="CUST-4848"/>
    <s v="Ananya Rao"/>
    <s v="Ananya Rao"/>
    <s v="Small Business"/>
    <x v="1"/>
    <s v="South"/>
    <x v="2"/>
    <s v="OK"/>
    <s v="Tamil Nadu"/>
    <s v="Tamil Nadu"/>
    <s v="Chennai"/>
    <s v="Chennai"/>
    <s v="Technology"/>
    <x v="2"/>
    <s v="Copiers"/>
    <x v="6"/>
    <s v="Max Copiers 121"/>
    <s v="Second Class"/>
    <x v="0"/>
    <s v="OK"/>
    <n v="1"/>
    <n v="3693.03"/>
    <n v="0.05"/>
    <n v="0.05"/>
    <s v="OK"/>
    <n v="3508.38"/>
    <n v="2828.06"/>
    <n v="680.32"/>
    <n v="3508.3784999999998"/>
    <n v="680.31849999999986"/>
    <x v="475"/>
    <s v="Failed"/>
    <x v="3"/>
    <s v="EXCLUDE_FROM_SALES"/>
    <s v="Returned"/>
    <x v="1"/>
    <s v="RETURNED_ORDER"/>
    <s v="CLEAN"/>
    <s v="MATCH"/>
    <s v="MATCH"/>
  </r>
  <r>
    <x v="485"/>
    <n v="1"/>
    <d v="2024-02-06T00:00:00"/>
    <d v="2024-02-06T00:00:00"/>
    <x v="11"/>
    <x v="0"/>
    <s v="05/22/2024"/>
    <d v="2024-05-22T00:00:00"/>
    <n v="106"/>
    <s v="OK"/>
    <s v="CUST-6046"/>
    <s v="Vikram Iyer"/>
    <s v="Vikram Iyer"/>
    <s v="Consumer"/>
    <x v="0"/>
    <s v="North"/>
    <x v="0"/>
    <s v="OK"/>
    <s v="Delhi"/>
    <s v="Delhi"/>
    <s v="New Delhi"/>
    <s v="New Delhi"/>
    <s v="Furniture"/>
    <x v="1"/>
    <s v="Tables"/>
    <x v="1"/>
    <s v="Classic Tables 535"/>
    <s v="First Class"/>
    <x v="2"/>
    <s v="OK"/>
    <n v="4"/>
    <n v="1536.7"/>
    <n v="0.2"/>
    <n v="0.2"/>
    <s v="OK"/>
    <n v="4917.4399999999996"/>
    <n v="3846.77"/>
    <n v="1070.67"/>
    <n v="4917.4400000000005"/>
    <n v="1070.6700000000005"/>
    <x v="476"/>
    <s v="Paid"/>
    <x v="0"/>
    <s v="OK"/>
    <s v="Completed"/>
    <x v="0"/>
    <s v="OK"/>
    <s v="CLEAN"/>
    <s v="MATCH"/>
    <s v="MATCH"/>
  </r>
  <r>
    <x v="486"/>
    <n v="1"/>
    <d v="2025-08-29T00:00:00"/>
    <d v="2025-08-29T00:00:00"/>
    <x v="1"/>
    <x v="1"/>
    <s v="08/17/2024"/>
    <d v="2024-08-17T00:00:00"/>
    <n v="-377"/>
    <s v="INVALID_SHIPPING"/>
    <s v="CUST-8130"/>
    <s v="Ananya Rao"/>
    <s v="Ananya Rao"/>
    <s v="Small Business"/>
    <x v="1"/>
    <s v="West"/>
    <x v="3"/>
    <s v="OK"/>
    <s v="Maharashtra"/>
    <s v="Maharashtra"/>
    <s v="Mumbai"/>
    <s v="Mumbai"/>
    <s v="Furniture"/>
    <x v="1"/>
    <s v="Chairs"/>
    <x v="10"/>
    <s v="Elite Chairs 543"/>
    <s v="First Class"/>
    <x v="2"/>
    <s v="OK"/>
    <n v="7"/>
    <n v="2973.76"/>
    <n v="0"/>
    <n v="0"/>
    <s v="OK"/>
    <n v="20816.32"/>
    <n v="17705.37"/>
    <n v="3110.95"/>
    <n v="20816.32"/>
    <n v="3110.9500000000007"/>
    <x v="477"/>
    <s v="Paid"/>
    <x v="0"/>
    <s v="OK"/>
    <s v="Cancelled"/>
    <x v="2"/>
    <s v="EXCLUDE_FROM_SALES"/>
    <s v="INVALID"/>
    <s v="MATCH"/>
    <s v="MATCH"/>
  </r>
  <r>
    <x v="487"/>
    <n v="2"/>
    <d v="2025-10-04T00:00:00"/>
    <d v="2025-10-04T00:00:00"/>
    <x v="7"/>
    <x v="1"/>
    <s v="2024-04-09"/>
    <d v="2024-04-09T00:00:00"/>
    <n v="-543"/>
    <s v="INVALID_SHIPPING"/>
    <s v="CUST-3656"/>
    <s v="Neha Gupta"/>
    <s v="Neha Gupta"/>
    <s v="Consumer"/>
    <x v="0"/>
    <s v="East"/>
    <x v="1"/>
    <s v="OK"/>
    <s v="Odisha"/>
    <s v="Odisha"/>
    <s v="Bhubaneswar"/>
    <s v="Bhubaneswar"/>
    <s v="Technology"/>
    <x v="2"/>
    <s v="Copiers"/>
    <x v="6"/>
    <s v="Eco Copiers 790"/>
    <s v="Standard Class"/>
    <x v="3"/>
    <s v="OK"/>
    <n v="4"/>
    <n v="1719.87"/>
    <n v="0.15"/>
    <n v="0.15"/>
    <s v="OK"/>
    <n v="5847.56"/>
    <n v="4727.25"/>
    <n v="1120.31"/>
    <n v="5847.5579999999991"/>
    <n v="1120.3079999999991"/>
    <x v="478"/>
    <s v="Paid"/>
    <x v="0"/>
    <s v="OK"/>
    <s v="Completed"/>
    <x v="0"/>
    <s v="OK"/>
    <s v="INVALID"/>
    <s v="MATCH"/>
    <s v="MATCH"/>
  </r>
  <r>
    <x v="487"/>
    <n v="2"/>
    <d v="2025-10-04T00:00:00"/>
    <d v="2025-10-04T00:00:00"/>
    <x v="7"/>
    <x v="1"/>
    <s v="2024-10-05"/>
    <d v="2024-10-05T00:00:00"/>
    <n v="-364"/>
    <s v="INVALID_SHIPPING"/>
    <s v="CUST-3656"/>
    <s v="Neha Gupta"/>
    <s v="Neha Gupta"/>
    <s v="Consumer"/>
    <x v="0"/>
    <s v="East"/>
    <x v="1"/>
    <s v="OK"/>
    <s v="Odisha"/>
    <s v="Odisha"/>
    <s v="Bhubaneswar"/>
    <s v="Bhubaneswar"/>
    <s v="Technology"/>
    <x v="2"/>
    <s v="Copiers"/>
    <x v="6"/>
    <s v="Eco Copiers 790"/>
    <s v="Standard Class"/>
    <x v="3"/>
    <s v="OK"/>
    <n v="4"/>
    <n v="1719.87"/>
    <n v="0.15"/>
    <n v="0.15"/>
    <s v="OK"/>
    <n v="5847.56"/>
    <n v="4727.25"/>
    <n v="1120.31"/>
    <n v="5847.5579999999991"/>
    <n v="1120.3079999999991"/>
    <x v="478"/>
    <s v="Paid"/>
    <x v="0"/>
    <s v="OK"/>
    <s v="Completed"/>
    <x v="0"/>
    <s v="OK"/>
    <s v="INVALID"/>
    <s v="MATCH"/>
    <s v="MATCH"/>
  </r>
  <r>
    <x v="488"/>
    <n v="1"/>
    <d v="2025-02-23T00:00:00"/>
    <d v="2025-02-23T00:00:00"/>
    <x v="11"/>
    <x v="1"/>
    <s v="2025-02-17"/>
    <d v="2025-02-17T00:00:00"/>
    <n v="-6"/>
    <s v="INVALID_SHIPPING"/>
    <s v="CUST-4683"/>
    <s v="Isha Nair"/>
    <s v="Isha Nair"/>
    <s v="Small Business"/>
    <x v="1"/>
    <s v="South"/>
    <x v="2"/>
    <s v="OK"/>
    <s v="Andhra Pradesh"/>
    <s v="Andhra Pradesh"/>
    <s v="Vijayawada"/>
    <s v="Vijayawada"/>
    <s v="Office Supplies"/>
    <x v="0"/>
    <s v="Art"/>
    <x v="2"/>
    <s v="Eco Art 848"/>
    <s v="First Class"/>
    <x v="2"/>
    <s v="OK"/>
    <n v="1"/>
    <n v="2980.71"/>
    <n v="0"/>
    <n v="0"/>
    <s v="OK"/>
    <n v="2980.71"/>
    <n v="2357.2199999999998"/>
    <n v="623.49"/>
    <n v="2980.71"/>
    <n v="623.49000000000024"/>
    <x v="479"/>
    <s v="Paid"/>
    <x v="0"/>
    <s v="OK"/>
    <s v="Completed"/>
    <x v="0"/>
    <s v="OK"/>
    <s v="INVALID"/>
    <s v="MATCH"/>
    <s v="MATCH"/>
  </r>
  <r>
    <x v="489"/>
    <n v="1"/>
    <d v="2025-09-07T00:00:00"/>
    <d v="2025-09-07T00:00:00"/>
    <x v="5"/>
    <x v="1"/>
    <s v="14 Nov 2024"/>
    <d v="2024-11-14T00:00:00"/>
    <n v="-297"/>
    <s v="INVALID_SHIPPING"/>
    <s v="CUST-2483"/>
    <s v="Mira Das"/>
    <s v="Mira Das"/>
    <s v="Home Office"/>
    <x v="3"/>
    <s v="South"/>
    <x v="2"/>
    <s v="OK"/>
    <s v="Telangana"/>
    <s v="Telangana"/>
    <s v="Hyderabad"/>
    <s v="Hyderabad"/>
    <s v="Office Supplies"/>
    <x v="0"/>
    <s v="Paper"/>
    <x v="0"/>
    <s v="Pro Paper 622"/>
    <s v="Second Class"/>
    <x v="0"/>
    <s v="OK"/>
    <n v="9"/>
    <n v="852.04"/>
    <n v="0.2"/>
    <n v="0.2"/>
    <s v="OK"/>
    <n v="6134.69"/>
    <n v="3800.19"/>
    <n v="2334.5"/>
    <n v="6134.6880000000001"/>
    <n v="2334.498"/>
    <x v="480"/>
    <s v="Paid"/>
    <x v="0"/>
    <s v="OK"/>
    <s v="Completed"/>
    <x v="0"/>
    <s v="OK"/>
    <s v="INVALID"/>
    <s v="MATCH"/>
    <s v="MATCH"/>
  </r>
  <r>
    <x v="490"/>
    <n v="1"/>
    <d v="2025-05-20T00:00:00"/>
    <d v="2025-05-20T00:00:00"/>
    <x v="3"/>
    <x v="1"/>
    <s v="2024-12-15"/>
    <d v="2024-12-15T00:00:00"/>
    <n v="-156"/>
    <s v="INVALID_SHIPPING"/>
    <s v="CUST-8092"/>
    <s v="Ananya Rao"/>
    <s v="Ananya Rao"/>
    <s v="Corporate"/>
    <x v="2"/>
    <s v="East"/>
    <x v="1"/>
    <s v="OK"/>
    <s v="West Bengal"/>
    <s v="West Bengal"/>
    <s v="Kolkata"/>
    <s v="Kolkata"/>
    <s v="Office Supplies"/>
    <x v="0"/>
    <s v="Labels"/>
    <x v="5"/>
    <s v="Prime Labels 644"/>
    <s v="Second Class"/>
    <x v="0"/>
    <s v="OK"/>
    <n v="3"/>
    <n v="3534.83"/>
    <n v="0.05"/>
    <n v="0.05"/>
    <s v="OK"/>
    <n v="10074.27"/>
    <n v="6048.27"/>
    <n v="4026"/>
    <n v="10074.2655"/>
    <n v="4025.9954999999991"/>
    <x v="481"/>
    <s v="Refunded"/>
    <x v="2"/>
    <s v="REFUNDED_PAYMENT"/>
    <s v="Returned"/>
    <x v="1"/>
    <s v="RETURNED_ORDER"/>
    <s v="INVALID"/>
    <s v="MATCH"/>
    <s v="MATCH"/>
  </r>
  <r>
    <x v="491"/>
    <n v="1"/>
    <d v="2025-12-10T00:00:00"/>
    <d v="2025-12-10T00:00:00"/>
    <x v="4"/>
    <x v="1"/>
    <s v="2025-04-22"/>
    <d v="2025-04-22T00:00:00"/>
    <n v="-232"/>
    <s v="INVALID_SHIPPING"/>
    <s v="CUST-7482"/>
    <s v="Priya Menon"/>
    <s v="Priya Menon"/>
    <s v="Small Business"/>
    <x v="1"/>
    <s v="West"/>
    <x v="3"/>
    <s v="OK"/>
    <s v="Maharashtra"/>
    <s v="Maharashtra"/>
    <s v="Mumbai"/>
    <s v="Mumbai"/>
    <s v="Office Supplies"/>
    <x v="0"/>
    <s v="Art"/>
    <x v="2"/>
    <s v="Smart Art 795"/>
    <s v="Second Class"/>
    <x v="0"/>
    <s v="OK"/>
    <n v="7"/>
    <n v="3964.72"/>
    <n v="0.05"/>
    <n v="0.05"/>
    <s v="OK"/>
    <n v="26365.39"/>
    <n v="22306.240000000002"/>
    <n v="4059.15"/>
    <n v="26365.387999999995"/>
    <n v="4059.1479999999938"/>
    <x v="482"/>
    <s v="Paid"/>
    <x v="0"/>
    <s v="OK"/>
    <s v="Completed"/>
    <x v="0"/>
    <s v="OK"/>
    <s v="INVALID"/>
    <s v="MATCH"/>
    <s v="MATCH"/>
  </r>
  <r>
    <x v="492"/>
    <n v="1"/>
    <d v="2025-07-15T00:00:00"/>
    <d v="2025-07-15T00:00:00"/>
    <x v="0"/>
    <x v="1"/>
    <s v="07-04-2024"/>
    <d v="2024-07-04T00:00:00"/>
    <n v="-376"/>
    <s v="INVALID_SHIPPING"/>
    <s v="CUST-2110"/>
    <s v="Aarav Sharma"/>
    <s v="Aarav Sharma"/>
    <s v="Home Office"/>
    <x v="3"/>
    <s v="North"/>
    <x v="0"/>
    <s v="OK"/>
    <s v="Uttar Pradesh"/>
    <s v="Uttar Pradesh"/>
    <s v="Noida"/>
    <s v="Noida"/>
    <s v="Technology"/>
    <x v="2"/>
    <s v="Copiers"/>
    <x v="6"/>
    <s v="Eco Copiers 755"/>
    <s v="First Class"/>
    <x v="2"/>
    <s v="OK"/>
    <n v="2"/>
    <n v="1997.99"/>
    <n v="0"/>
    <n v="0"/>
    <s v="OK"/>
    <n v="3995.98"/>
    <n v="2633.2"/>
    <n v="1362.78"/>
    <n v="3995.98"/>
    <n v="1362.7800000000002"/>
    <x v="483"/>
    <s v="Refunded"/>
    <x v="2"/>
    <s v="REFUNDED_PAYMENT"/>
    <s v="Cancelled"/>
    <x v="2"/>
    <s v="EXCLUDE_FROM_SALES"/>
    <s v="INVALID"/>
    <s v="MATCH"/>
    <s v="MATCH"/>
  </r>
  <r>
    <x v="493"/>
    <n v="1"/>
    <d v="2025-01-21T00:00:00"/>
    <d v="2025-01-21T00:00:00"/>
    <x v="9"/>
    <x v="1"/>
    <s v="05/14/2025"/>
    <d v="2025-05-14T00:00:00"/>
    <n v="113"/>
    <s v="OK"/>
    <s v="CUST-3190"/>
    <s v="Aditi Sen"/>
    <s v="Aditi Sen"/>
    <s v="Home Office"/>
    <x v="3"/>
    <s v="East"/>
    <x v="1"/>
    <s v="OK"/>
    <s v="Bihar"/>
    <s v="Bihar"/>
    <s v="Patna"/>
    <s v="Patna"/>
    <s v="Technology"/>
    <x v="2"/>
    <s v="Copiers"/>
    <x v="6"/>
    <s v="Elite Copiers 233"/>
    <s v="First Class"/>
    <x v="2"/>
    <s v="OK"/>
    <n v="5"/>
    <n v="4373.0600000000004"/>
    <n v="0.25"/>
    <n v="0.25"/>
    <s v="OK"/>
    <n v="16398.98"/>
    <n v="9556.52"/>
    <n v="6842.46"/>
    <n v="16398.975000000002"/>
    <n v="6842.4550000000017"/>
    <x v="484"/>
    <s v="Paid"/>
    <x v="0"/>
    <s v="OK"/>
    <s v="Completed"/>
    <x v="0"/>
    <s v="OK"/>
    <s v="CLEAN"/>
    <s v="MATCH"/>
    <s v="MATCH"/>
  </r>
  <r>
    <x v="494"/>
    <n v="1"/>
    <d v="2025-01-24T00:00:00"/>
    <d v="2025-01-24T00:00:00"/>
    <x v="9"/>
    <x v="1"/>
    <s v="21-10-2024"/>
    <d v="2024-10-21T00:00:00"/>
    <n v="-95"/>
    <s v="INVALID_SHIPPING"/>
    <s v="CUST-3036"/>
    <s v="Sneha Kapoor"/>
    <s v="Sneha Kapoor"/>
    <s v="Consumer"/>
    <x v="0"/>
    <s v="West"/>
    <x v="3"/>
    <s v="OK"/>
    <s v="Madhya Pradesh"/>
    <s v="Madhya Pradesh"/>
    <s v="Indore"/>
    <s v="Indore"/>
    <s v="Furniture"/>
    <x v="1"/>
    <s v="Furnishings"/>
    <x v="3"/>
    <s v="Eco Furnishings 897"/>
    <s v="Second Class"/>
    <x v="0"/>
    <s v="OK"/>
    <n v="4"/>
    <n v="697.69"/>
    <n v="-0.23"/>
    <n v="-0.23"/>
    <s v="Invalid Negative Discount"/>
    <n v="2790.76"/>
    <n v="2037.71"/>
    <n v="753.05"/>
    <s v="INVALID"/>
    <s v="INVALID"/>
    <x v="12"/>
    <s v="Paid"/>
    <x v="0"/>
    <s v="OK"/>
    <s v="Completed"/>
    <x v="0"/>
    <s v="OK"/>
    <s v="INVALID"/>
    <s v="INVALID"/>
    <s v="INVALID"/>
  </r>
  <r>
    <x v="495"/>
    <n v="1"/>
    <d v="2025-01-19T00:00:00"/>
    <d v="2025-01-19T00:00:00"/>
    <x v="9"/>
    <x v="1"/>
    <s v="26 Oct 2024"/>
    <d v="2024-10-26T00:00:00"/>
    <n v="-85"/>
    <s v="INVALID_SHIPPING"/>
    <s v="CUST-3588"/>
    <s v="Mira Das"/>
    <s v="Mira Das"/>
    <s v="Consumer"/>
    <x v="0"/>
    <s v="South"/>
    <x v="2"/>
    <s v="OK"/>
    <s v="Telangana"/>
    <s v="Telangana"/>
    <s v="Hyderabad"/>
    <s v="Hyderabad"/>
    <s v="Office Supplies"/>
    <x v="0"/>
    <s v="Binders"/>
    <x v="11"/>
    <s v="Max Binders 355"/>
    <s v="Standard Class"/>
    <x v="3"/>
    <s v="OK"/>
    <n v="8"/>
    <n v="1219.3399999999999"/>
    <n v="0.15"/>
    <n v="0.15"/>
    <s v="OK"/>
    <n v="8291.51"/>
    <n v="6685.03"/>
    <n v="1606.48"/>
    <n v="8291.5119999999988"/>
    <n v="1606.4819999999991"/>
    <x v="485"/>
    <s v="Failed"/>
    <x v="3"/>
    <s v="EXCLUDE_FROM_SALES"/>
    <s v="Returned"/>
    <x v="1"/>
    <s v="RETURNED_ORDER"/>
    <s v="INVALID"/>
    <s v="MATCH"/>
    <s v="MATCH"/>
  </r>
  <r>
    <x v="496"/>
    <n v="1"/>
    <d v="2025-08-29T00:00:00"/>
    <d v="2025-08-29T00:00:00"/>
    <x v="1"/>
    <x v="1"/>
    <s v="2025-03-03"/>
    <d v="2025-03-03T00:00:00"/>
    <n v="-179"/>
    <s v="INVALID_SHIPPING"/>
    <s v="CUST-7098"/>
    <s v="Rahul Verma"/>
    <s v="Rahul Verma"/>
    <s v="Home Office"/>
    <x v="3"/>
    <s v="East"/>
    <x v="1"/>
    <s v="OK"/>
    <s v="Bihar"/>
    <s v="Bihar"/>
    <s v="Patna"/>
    <s v="Patna"/>
    <s v="Furniture"/>
    <x v="1"/>
    <s v="Bookcases"/>
    <x v="9"/>
    <s v="Pro Bookcases 394"/>
    <s v="First Class"/>
    <x v="2"/>
    <s v="OK"/>
    <n v="4"/>
    <n v="1958.01"/>
    <n v="0.2"/>
    <n v="0.2"/>
    <s v="OK"/>
    <n v="6265.63"/>
    <n v="4321.8599999999997"/>
    <n v="1943.77"/>
    <n v="6265.6320000000005"/>
    <n v="1943.7720000000008"/>
    <x v="486"/>
    <s v="Paid"/>
    <x v="0"/>
    <s v="OK"/>
    <s v="Completed"/>
    <x v="0"/>
    <s v="OK"/>
    <s v="INVALID"/>
    <s v="MATCH"/>
    <s v="MATCH"/>
  </r>
  <r>
    <x v="497"/>
    <n v="1"/>
    <d v="2025-09-29T00:00:00"/>
    <d v="2025-09-29T00:00:00"/>
    <x v="5"/>
    <x v="1"/>
    <s v="07/02/2025"/>
    <d v="2025-07-02T00:00:00"/>
    <n v="-89"/>
    <s v="INVALID_SHIPPING"/>
    <s v="CUST-9875"/>
    <s v="Arjun Bose"/>
    <s v="Arjun Bose"/>
    <s v="Small Business"/>
    <x v="1"/>
    <s v="South"/>
    <x v="2"/>
    <s v="OK"/>
    <s v="Karnataka"/>
    <s v="Karnataka"/>
    <s v="Bengaluru"/>
    <s v="Bengaluru"/>
    <s v="Office Supplies"/>
    <x v="0"/>
    <s v="Paper"/>
    <x v="0"/>
    <s v="Basic Paper 613"/>
    <s v="Second Class"/>
    <x v="0"/>
    <s v="OK"/>
    <n v="5"/>
    <n v="1806.51"/>
    <n v="0.25"/>
    <n v="0.25"/>
    <s v="OK"/>
    <n v="6774.41"/>
    <n v="4710.3599999999997"/>
    <n v="2064.0500000000002"/>
    <n v="6774.4124999999995"/>
    <n v="2064.0524999999998"/>
    <x v="487"/>
    <s v="Failed"/>
    <x v="3"/>
    <s v="EXCLUDE_FROM_SALES"/>
    <s v="Returned"/>
    <x v="1"/>
    <s v="RETURNED_ORDER"/>
    <s v="INVALID"/>
    <s v="MATCH"/>
    <s v="MATCH"/>
  </r>
  <r>
    <x v="498"/>
    <n v="1"/>
    <d v="2025-08-13T00:00:00"/>
    <d v="2025-08-13T00:00:00"/>
    <x v="1"/>
    <x v="1"/>
    <s v="2024-11-22"/>
    <d v="2024-11-22T00:00:00"/>
    <n v="-264"/>
    <s v="INVALID_SHIPPING"/>
    <s v="CUST-5936"/>
    <s v="Rohan Mehta"/>
    <s v="Rohan Mehta"/>
    <s v="Home Office"/>
    <x v="3"/>
    <s v="South"/>
    <x v="2"/>
    <s v="OK"/>
    <s v="Kerala"/>
    <s v="Kerala"/>
    <s v="Kochi"/>
    <s v="Kochi"/>
    <s v="Technology"/>
    <x v="2"/>
    <s v="Phones"/>
    <x v="8"/>
    <s v="Pro Phones 442"/>
    <s v="Standard Class"/>
    <x v="3"/>
    <s v="OK"/>
    <n v="1"/>
    <n v="256.01"/>
    <n v="0.15"/>
    <n v="0.15"/>
    <s v="OK"/>
    <n v="217.61"/>
    <n v="119.77"/>
    <n v="97.84"/>
    <n v="217.60849999999999"/>
    <n v="97.838499999999996"/>
    <x v="488"/>
    <s v="Paid"/>
    <x v="0"/>
    <s v="OK"/>
    <s v="Completed"/>
    <x v="0"/>
    <s v="OK"/>
    <s v="INVALID"/>
    <s v="MATCH"/>
    <s v="MATCH"/>
  </r>
  <r>
    <x v="499"/>
    <n v="1"/>
    <d v="2025-06-15T00:00:00"/>
    <d v="2025-06-15T00:00:00"/>
    <x v="8"/>
    <x v="1"/>
    <s v="2025-04-11"/>
    <d v="2025-04-11T00:00:00"/>
    <n v="-65"/>
    <s v="INVALID_SHIPPING"/>
    <s v="CUST-7867"/>
    <s v="Karan Malhotra"/>
    <s v="Karan Malhotra"/>
    <s v="Small Business"/>
    <x v="1"/>
    <s v="West"/>
    <x v="3"/>
    <s v="OK"/>
    <s v="Madhya Pradesh"/>
    <s v="Madhya Pradesh"/>
    <s v="Indore"/>
    <s v="Indore"/>
    <s v="Office Supplies"/>
    <x v="0"/>
    <s v="Paper"/>
    <x v="0"/>
    <s v="Pro Paper 959"/>
    <s v="Second Class"/>
    <x v="0"/>
    <s v="OK"/>
    <n v="9"/>
    <n v="3092.55"/>
    <n v="0"/>
    <n v="0"/>
    <s v="OK"/>
    <n v="27832.95"/>
    <n v="17769.75"/>
    <n v="10063.200000000001"/>
    <n v="27832.95"/>
    <n v="10063.200000000001"/>
    <x v="489"/>
    <s v="Failed"/>
    <x v="3"/>
    <s v="EXCLUDE_FROM_SALES"/>
    <s v="Returned"/>
    <x v="1"/>
    <s v="RETURNED_ORDER"/>
    <s v="INVALID"/>
    <s v="MATCH"/>
    <s v="MATCH"/>
  </r>
  <r>
    <x v="500"/>
    <n v="1"/>
    <d v="2025-01-31T00:00:00"/>
    <d v="2025-01-31T00:00:00"/>
    <x v="9"/>
    <x v="1"/>
    <s v="04 Oct 2024"/>
    <d v="2024-10-04T00:00:00"/>
    <n v="-119"/>
    <s v="INVALID_SHIPPING"/>
    <s v="CUST-2392"/>
    <s v="Priya Menon"/>
    <s v="Priya Menon"/>
    <s v="Home Office"/>
    <x v="3"/>
    <s v="East"/>
    <x v="1"/>
    <s v="OK"/>
    <s v="West Bengal"/>
    <s v="West Bengal"/>
    <s v="Kolkata"/>
    <s v="Kolkata"/>
    <s v="Furniture"/>
    <x v="1"/>
    <s v="Chairs"/>
    <x v="10"/>
    <s v="Elite Chairs 862"/>
    <m/>
    <x v="4"/>
    <s v="MISSING_SHIP_MODE"/>
    <n v="2"/>
    <n v="4159.6899999999996"/>
    <n v="0.2"/>
    <n v="0.2"/>
    <s v="OK"/>
    <n v="6655.5"/>
    <n v="4340.21"/>
    <n v="2607.3200000000002"/>
    <n v="6655.5039999999999"/>
    <n v="2315.2939999999999"/>
    <x v="490"/>
    <s v="Paid"/>
    <x v="0"/>
    <s v="OK"/>
    <s v="Completed"/>
    <x v="0"/>
    <s v="OK"/>
    <s v="INVALID"/>
    <s v="MATCH"/>
    <s v="MISMATCH"/>
  </r>
  <r>
    <x v="501"/>
    <n v="1"/>
    <d v="2025-07-29T00:00:00"/>
    <d v="2025-07-29T00:00:00"/>
    <x v="0"/>
    <x v="1"/>
    <s v="27 May 2025"/>
    <d v="2025-05-27T00:00:00"/>
    <n v="-63"/>
    <s v="INVALID_SHIPPING"/>
    <s v="CUST-4646"/>
    <s v="Diya Patel"/>
    <s v="Diya Patel"/>
    <s v="Consumer"/>
    <x v="0"/>
    <s v="West"/>
    <x v="3"/>
    <s v="OK"/>
    <s v="Maharashtra"/>
    <s v="Maharashtra"/>
    <s v="Mumbai"/>
    <s v="Mumbai"/>
    <s v="Technology"/>
    <x v="2"/>
    <s v="Copiers"/>
    <x v="6"/>
    <s v="Pro Copiers 830"/>
    <s v="Standard Class"/>
    <x v="3"/>
    <s v="OK"/>
    <n v="4"/>
    <n v="1327.54"/>
    <n v="0.2"/>
    <n v="0.2"/>
    <s v="OK"/>
    <n v="4248.13"/>
    <n v="3321.09"/>
    <n v="927.04"/>
    <n v="4248.1279999999997"/>
    <n v="927.03799999999956"/>
    <x v="491"/>
    <s v="Paid"/>
    <x v="0"/>
    <s v="OK"/>
    <s v="Completed"/>
    <x v="0"/>
    <s v="OK"/>
    <s v="INVALID"/>
    <s v="MATCH"/>
    <s v="MATCH"/>
  </r>
  <r>
    <x v="502"/>
    <n v="1"/>
    <d v="2025-10-10T00:00:00"/>
    <d v="2025-10-10T00:00:00"/>
    <x v="7"/>
    <x v="1"/>
    <s v="26 Apr 2025"/>
    <d v="2025-04-26T00:00:00"/>
    <n v="-167"/>
    <s v="INVALID_SHIPPING"/>
    <s v="CUST-6708"/>
    <s v="Arjun Bose"/>
    <s v="Arjun Bose"/>
    <s v="Corporate"/>
    <x v="2"/>
    <s v="East"/>
    <x v="1"/>
    <s v="OK"/>
    <s v="Jharkhand"/>
    <s v="Jharkhand"/>
    <s v="Ranchi"/>
    <s v="Ranchi"/>
    <s v="Technology"/>
    <x v="2"/>
    <s v="Phones"/>
    <x v="8"/>
    <s v="Eco Phones 702"/>
    <s v="Standard Class"/>
    <x v="3"/>
    <s v="OK"/>
    <n v="8"/>
    <n v="979.87"/>
    <n v="0.05"/>
    <n v="0.05"/>
    <s v="OK"/>
    <n v="7447.01"/>
    <n v="4496.22"/>
    <n v="2950.79"/>
    <n v="7447.0119999999997"/>
    <n v="2950.7919999999995"/>
    <x v="492"/>
    <s v="Paid"/>
    <x v="0"/>
    <s v="OK"/>
    <s v="Completed"/>
    <x v="0"/>
    <s v="OK"/>
    <s v="INVALID"/>
    <s v="MATCH"/>
    <s v="MATCH"/>
  </r>
  <r>
    <x v="503"/>
    <n v="1"/>
    <d v="2025-01-30T00:00:00"/>
    <d v="2025-01-30T00:00:00"/>
    <x v="9"/>
    <x v="1"/>
    <s v="2025-07-07"/>
    <d v="2025-07-07T00:00:00"/>
    <n v="158"/>
    <s v="OK"/>
    <s v="CUST-8183"/>
    <s v="Neha Gupta"/>
    <s v="Neha Gupta"/>
    <s v="Corporate"/>
    <x v="2"/>
    <s v="West"/>
    <x v="3"/>
    <s v="OK"/>
    <s v="Maharashtra"/>
    <s v="Maharashtra"/>
    <s v="Mumbai"/>
    <s v="Mumbai"/>
    <s v="Furniture"/>
    <x v="1"/>
    <s v="Chairs"/>
    <x v="10"/>
    <s v="Basic Chairs 837"/>
    <s v="Second Class"/>
    <x v="0"/>
    <s v="OK"/>
    <n v="7"/>
    <n v="4063.66"/>
    <n v="0"/>
    <n v="0"/>
    <s v="OK"/>
    <n v="28445.62"/>
    <n v="20938.59"/>
    <n v="7507.03"/>
    <n v="28445.62"/>
    <n v="7507.0299999999988"/>
    <x v="493"/>
    <s v="Paid"/>
    <x v="0"/>
    <s v="OK"/>
    <s v="Completed"/>
    <x v="0"/>
    <s v="OK"/>
    <s v="CLEAN"/>
    <s v="MATCH"/>
    <s v="MATCH"/>
  </r>
  <r>
    <x v="504"/>
    <n v="1"/>
    <d v="2025-11-05T00:00:00"/>
    <d v="2025-11-05T00:00:00"/>
    <x v="2"/>
    <x v="1"/>
    <s v="23 Jul 2024"/>
    <d v="2024-07-23T00:00:00"/>
    <n v="-470"/>
    <s v="INVALID_SHIPPING"/>
    <s v="CUST-8787"/>
    <s v="Sneha Kapoor"/>
    <s v="Sneha Kapoor"/>
    <s v="Consumer"/>
    <x v="0"/>
    <s v="East"/>
    <x v="1"/>
    <s v="OK"/>
    <s v="West Bengal"/>
    <s v="West Bengal"/>
    <s v="Kolkata"/>
    <s v="Kolkata"/>
    <s v="Technology"/>
    <x v="2"/>
    <s v="Copiers"/>
    <x v="6"/>
    <s v="Pro Copiers 963"/>
    <s v="Standard Class"/>
    <x v="3"/>
    <s v="OK"/>
    <n v="1"/>
    <n v="2382.8000000000002"/>
    <n v="0.15"/>
    <n v="0.15"/>
    <s v="OK"/>
    <n v="2025.38"/>
    <n v="1140.6500000000001"/>
    <n v="884.73"/>
    <n v="2025.38"/>
    <n v="884.73"/>
    <x v="494"/>
    <s v="Paid"/>
    <x v="0"/>
    <s v="OK"/>
    <s v="Completed"/>
    <x v="0"/>
    <s v="OK"/>
    <s v="INVALID"/>
    <s v="MATCH"/>
    <s v="MATCH"/>
  </r>
  <r>
    <x v="505"/>
    <n v="1"/>
    <d v="2025-03-31T00:00:00"/>
    <d v="2025-03-31T00:00:00"/>
    <x v="10"/>
    <x v="1"/>
    <s v="2025-04-01"/>
    <d v="2025-04-01T00:00:00"/>
    <n v="1"/>
    <s v="OK"/>
    <s v="CUST-7195"/>
    <s v="Kabir Singh"/>
    <s v="Kabir Singh"/>
    <s v="Home Office"/>
    <x v="3"/>
    <s v="West"/>
    <x v="3"/>
    <s v="OK"/>
    <s v="Gujarat"/>
    <s v="Gujarat"/>
    <s v="Ahmedabad"/>
    <s v="Ahmedabad"/>
    <s v="Office Supplies"/>
    <x v="0"/>
    <s v="Storage"/>
    <x v="7"/>
    <s v="Elite Storage 924"/>
    <s v="First Class"/>
    <x v="2"/>
    <s v="OK"/>
    <n v="5"/>
    <n v="1207.47"/>
    <n v="0.15"/>
    <n v="0.15"/>
    <s v="OK"/>
    <n v="5131.75"/>
    <n v="2838.68"/>
    <n v="2293.0700000000002"/>
    <n v="5131.7475000000004"/>
    <n v="2293.0675000000006"/>
    <x v="495"/>
    <s v="Paid"/>
    <x v="0"/>
    <s v="OK"/>
    <s v="Completed"/>
    <x v="0"/>
    <s v="OK"/>
    <s v="CLEAN"/>
    <s v="MATCH"/>
    <s v="MATCH"/>
  </r>
  <r>
    <x v="506"/>
    <n v="1"/>
    <d v="2025-05-30T00:00:00"/>
    <d v="2025-05-30T00:00:00"/>
    <x v="3"/>
    <x v="1"/>
    <s v="08 Mar 2025"/>
    <d v="2025-03-08T00:00:00"/>
    <n v="-83"/>
    <s v="INVALID_SHIPPING"/>
    <s v="CUST-9039"/>
    <s v="Arjun Bose"/>
    <s v="Arjun Bose"/>
    <s v="Corporate"/>
    <x v="2"/>
    <s v="South"/>
    <x v="2"/>
    <s v="OK"/>
    <s v="Tamil Nadu"/>
    <s v="Tamil Nadu"/>
    <s v="Chennai"/>
    <s v="Chennai"/>
    <s v="Office Supplies"/>
    <x v="0"/>
    <s v="Labels"/>
    <x v="5"/>
    <s v="Pro Labels 957"/>
    <s v="Same Day"/>
    <x v="1"/>
    <s v="OK"/>
    <n v="8"/>
    <n v="474.37"/>
    <n v="0.1"/>
    <n v="0.1"/>
    <s v="OK"/>
    <n v="3415.46"/>
    <n v="1993.23"/>
    <n v="1422.23"/>
    <n v="3415.4639999999999"/>
    <n v="1422.2339999999999"/>
    <x v="496"/>
    <s v="Failed"/>
    <x v="3"/>
    <s v="EXCLUDE_FROM_SALES"/>
    <s v="Cancelled"/>
    <x v="2"/>
    <s v="EXCLUDE_FROM_SALES"/>
    <s v="INVALID"/>
    <s v="MATCH"/>
    <s v="MATCH"/>
  </r>
  <r>
    <x v="507"/>
    <n v="1"/>
    <d v="2025-07-01T00:00:00"/>
    <d v="2025-07-01T00:00:00"/>
    <x v="0"/>
    <x v="1"/>
    <s v="2024-04-03"/>
    <d v="2024-04-03T00:00:00"/>
    <n v="-454"/>
    <s v="INVALID_SHIPPING"/>
    <s v="CUST-9821"/>
    <s v="Mira Das"/>
    <s v="Mira Das"/>
    <s v="Small Business"/>
    <x v="1"/>
    <s v="South"/>
    <x v="2"/>
    <s v="OK"/>
    <s v="Andhra Pradesh"/>
    <s v="Andhra Pradesh"/>
    <s v="Vijayawada"/>
    <s v="Vijayawada"/>
    <s v="Technology"/>
    <x v="2"/>
    <s v="Machines"/>
    <x v="12"/>
    <s v="Classic Machines 310"/>
    <s v="Same Day"/>
    <x v="1"/>
    <s v="OK"/>
    <n v="3"/>
    <n v="1516.24"/>
    <n v="0.25"/>
    <n v="0.25"/>
    <s v="OK"/>
    <n v="3411.54"/>
    <n v="2803.13"/>
    <n v="608.41"/>
    <n v="3411.54"/>
    <n v="608.40999999999985"/>
    <x v="497"/>
    <s v="Paid"/>
    <x v="0"/>
    <s v="OK"/>
    <s v="Completed"/>
    <x v="0"/>
    <s v="OK"/>
    <s v="INVALID"/>
    <s v="MATCH"/>
    <s v="MATCH"/>
  </r>
  <r>
    <x v="508"/>
    <n v="1"/>
    <d v="2025-05-01T00:00:00"/>
    <d v="2025-05-01T00:00:00"/>
    <x v="3"/>
    <x v="1"/>
    <s v="01 Dec 2024"/>
    <d v="2024-12-01T00:00:00"/>
    <n v="-151"/>
    <s v="INVALID_SHIPPING"/>
    <s v="CUST-8701"/>
    <s v="Karan Malhotra"/>
    <s v="Karan Malhotra"/>
    <s v="Consumer"/>
    <x v="0"/>
    <s v="South"/>
    <x v="2"/>
    <s v="OK"/>
    <s v="Karnataka"/>
    <s v="Karnataka"/>
    <s v="Bengaluru"/>
    <s v="Bengaluru"/>
    <s v="Office Supplies"/>
    <x v="0"/>
    <s v="Binders"/>
    <x v="11"/>
    <s v="Smart Binders 393"/>
    <s v="Second Class"/>
    <x v="0"/>
    <s v="OK"/>
    <n v="3"/>
    <n v="3155.61"/>
    <n v="0"/>
    <n v="0"/>
    <s v="OK"/>
    <n v="9466.83"/>
    <n v="6557.83"/>
    <n v="2909"/>
    <n v="9466.83"/>
    <n v="2909"/>
    <x v="498"/>
    <s v="Refunded"/>
    <x v="2"/>
    <s v="REFUNDED_PAYMENT"/>
    <s v="Cancelled"/>
    <x v="2"/>
    <s v="EXCLUDE_FROM_SALES"/>
    <s v="INVALID"/>
    <s v="MATCH"/>
    <s v="MATCH"/>
  </r>
  <r>
    <x v="509"/>
    <n v="1"/>
    <d v="2025-08-28T00:00:00"/>
    <d v="2025-08-28T00:00:00"/>
    <x v="1"/>
    <x v="1"/>
    <s v="2024-10-17"/>
    <d v="2024-10-17T00:00:00"/>
    <n v="-315"/>
    <s v="INVALID_SHIPPING"/>
    <s v="CUST-1504"/>
    <s v="Karan Malhotra"/>
    <s v="Karan Malhotra"/>
    <s v="Small Business"/>
    <x v="1"/>
    <s v="South"/>
    <x v="2"/>
    <s v="OK"/>
    <s v="Tamil Nadu"/>
    <s v="Tamil Nadu"/>
    <s v="Chennai"/>
    <s v="Chennai"/>
    <s v="Technology"/>
    <x v="2"/>
    <s v="Accessories"/>
    <x v="4"/>
    <s v="Elite Accessories 187"/>
    <s v="Same Day"/>
    <x v="1"/>
    <s v="OK"/>
    <n v="7"/>
    <n v="1057.46"/>
    <n v="0.05"/>
    <n v="0.05"/>
    <s v="OK"/>
    <n v="7032.11"/>
    <n v="4610.34"/>
    <n v="2421.77"/>
    <n v="7032.1089999999995"/>
    <n v="2421.7689999999993"/>
    <x v="499"/>
    <s v="Paid"/>
    <x v="0"/>
    <s v="OK"/>
    <s v="Completed"/>
    <x v="0"/>
    <s v="OK"/>
    <s v="INVALID"/>
    <s v="MATCH"/>
    <s v="MATCH"/>
  </r>
  <r>
    <x v="510"/>
    <n v="1"/>
    <d v="2025-03-02T00:00:00"/>
    <d v="2025-03-02T00:00:00"/>
    <x v="10"/>
    <x v="1"/>
    <s v="21 Jul 2025"/>
    <d v="2025-07-21T00:00:00"/>
    <n v="141"/>
    <s v="OK"/>
    <s v="CUST-8282"/>
    <s v="Kabir Singh"/>
    <s v="Kabir Singh"/>
    <s v="Consumer"/>
    <x v="0"/>
    <s v="North"/>
    <x v="0"/>
    <s v="OK"/>
    <s v="Haryana"/>
    <s v="Haryana"/>
    <s v="Gurugram"/>
    <s v="Gurugram"/>
    <s v="Office Supplies"/>
    <x v="0"/>
    <s v="Paper"/>
    <x v="0"/>
    <s v="Eco Paper 922"/>
    <s v="First Class"/>
    <x v="2"/>
    <s v="OK"/>
    <n v="7"/>
    <n v="3609.34"/>
    <n v="0.05"/>
    <n v="0.05"/>
    <s v="OK"/>
    <n v="24002.11"/>
    <n v="18707.57"/>
    <n v="5294.54"/>
    <n v="24002.111000000001"/>
    <n v="5294.5410000000011"/>
    <x v="500"/>
    <s v="Paid"/>
    <x v="0"/>
    <s v="OK"/>
    <s v="Completed"/>
    <x v="0"/>
    <s v="OK"/>
    <s v="CLEAN"/>
    <s v="MATCH"/>
    <s v="MATCH"/>
  </r>
  <r>
    <x v="511"/>
    <n v="1"/>
    <d v="2025-08-22T00:00:00"/>
    <d v="2025-08-22T00:00:00"/>
    <x v="1"/>
    <x v="1"/>
    <s v="2025-10-05"/>
    <d v="2025-10-05T00:00:00"/>
    <n v="44"/>
    <s v="OK"/>
    <s v="CUST-5582"/>
    <s v="Karan Malhotra"/>
    <s v="Karan Malhotra"/>
    <s v="Corporate"/>
    <x v="2"/>
    <s v="South"/>
    <x v="2"/>
    <s v="OK"/>
    <s v="Andhra Pradesh"/>
    <s v="Andhra Pradesh"/>
    <s v="Vijayawada"/>
    <s v="Vijayawada"/>
    <s v="Technology"/>
    <x v="2"/>
    <s v="Phones"/>
    <x v="8"/>
    <s v="Max Phones 661"/>
    <s v="First Class"/>
    <x v="2"/>
    <s v="OK"/>
    <n v="2"/>
    <n v="905.87"/>
    <n v="0.15"/>
    <n v="0.15"/>
    <s v="OK"/>
    <n v="1539.98"/>
    <n v="1070.2"/>
    <n v="469.78"/>
    <n v="1539.979"/>
    <n v="469.779"/>
    <x v="501"/>
    <s v="Paid"/>
    <x v="0"/>
    <s v="OK"/>
    <s v="Completed"/>
    <x v="0"/>
    <s v="OK"/>
    <s v="CLEAN"/>
    <s v="MATCH"/>
    <s v="MATCH"/>
  </r>
  <r>
    <x v="512"/>
    <n v="1"/>
    <d v="2025-04-16T00:00:00"/>
    <d v="2025-04-16T00:00:00"/>
    <x v="6"/>
    <x v="1"/>
    <s v="09-10-2024"/>
    <d v="2024-09-10T00:00:00"/>
    <n v="-218"/>
    <s v="INVALID_SHIPPING"/>
    <s v="CUST-3308"/>
    <s v="Mira Das"/>
    <s v="Mira Das"/>
    <s v="Small Business"/>
    <x v="1"/>
    <s v="West"/>
    <x v="3"/>
    <s v="OK"/>
    <s v="Goa"/>
    <s v="Goa"/>
    <s v="Panaji"/>
    <s v="Panaji"/>
    <s v="Technology"/>
    <x v="2"/>
    <s v="Machines"/>
    <x v="12"/>
    <s v="Elite Machines 836"/>
    <s v="Standard Class"/>
    <x v="3"/>
    <s v="OK"/>
    <n v="6"/>
    <n v="2027.32"/>
    <n v="0.1"/>
    <n v="0.1"/>
    <s v="OK"/>
    <n v="10947.53"/>
    <n v="6447.36"/>
    <n v="4500.17"/>
    <n v="10947.528"/>
    <n v="4500.1680000000006"/>
    <x v="502"/>
    <s v="Paid"/>
    <x v="0"/>
    <s v="OK"/>
    <s v="Completed"/>
    <x v="0"/>
    <s v="OK"/>
    <s v="INVALID"/>
    <s v="MATCH"/>
    <s v="MATCH"/>
  </r>
  <r>
    <x v="513"/>
    <n v="1"/>
    <d v="2025-03-29T00:00:00"/>
    <d v="2025-03-29T00:00:00"/>
    <x v="10"/>
    <x v="1"/>
    <s v="2024-02-08"/>
    <d v="2024-02-08T00:00:00"/>
    <n v="-415"/>
    <s v="INVALID_SHIPPING"/>
    <s v="CUST-2342"/>
    <s v="Sneha Kapoor"/>
    <s v="Sneha Kapoor"/>
    <s v="Corporate"/>
    <x v="2"/>
    <s v="East"/>
    <x v="1"/>
    <s v="OK"/>
    <s v="West Bengal"/>
    <s v="West Bengal"/>
    <s v="Kolkata"/>
    <s v="Kolkata"/>
    <s v="Furniture"/>
    <x v="1"/>
    <s v="Bookcases"/>
    <x v="9"/>
    <s v="Smart Bookcases 167"/>
    <s v="First Class"/>
    <x v="2"/>
    <s v="OK"/>
    <n v="5"/>
    <n v="1425.74"/>
    <n v="0"/>
    <n v="0"/>
    <s v="OK"/>
    <n v="7128.7"/>
    <n v="4382.1499999999996"/>
    <n v="2746.55"/>
    <n v="7128.7"/>
    <n v="2746.55"/>
    <x v="503"/>
    <s v="Paid"/>
    <x v="0"/>
    <s v="OK"/>
    <s v="Completed"/>
    <x v="0"/>
    <s v="OK"/>
    <s v="INVALID"/>
    <s v="MATCH"/>
    <s v="MATCH"/>
  </r>
  <r>
    <x v="514"/>
    <n v="1"/>
    <d v="2025-02-27T00:00:00"/>
    <d v="2025-02-27T00:00:00"/>
    <x v="11"/>
    <x v="1"/>
    <s v="2025-06-01"/>
    <d v="2025-06-01T00:00:00"/>
    <n v="94"/>
    <s v="OK"/>
    <s v="CUST-6201"/>
    <s v="Vikram Iyer"/>
    <s v="Vikram Iyer"/>
    <s v="Small Business"/>
    <x v="1"/>
    <s v="East"/>
    <x v="1"/>
    <s v="OK"/>
    <s v="West Bengal"/>
    <s v="West Bengal"/>
    <s v="Kolkata"/>
    <s v="Kolkata"/>
    <s v="Furniture"/>
    <x v="1"/>
    <s v="Chairs"/>
    <x v="10"/>
    <s v="Max Chairs 244"/>
    <s v="Standard Class"/>
    <x v="3"/>
    <s v="OK"/>
    <n v="6"/>
    <n v="551.64"/>
    <n v="0"/>
    <n v="0"/>
    <s v="OK"/>
    <n v="3309.84"/>
    <n v="2671.08"/>
    <n v="638.76"/>
    <n v="3309.84"/>
    <n v="638.76000000000022"/>
    <x v="504"/>
    <s v="Paid"/>
    <x v="0"/>
    <s v="OK"/>
    <s v="Completed"/>
    <x v="0"/>
    <s v="OK"/>
    <s v="CLEAN"/>
    <s v="MATCH"/>
    <s v="MATCH"/>
  </r>
  <r>
    <x v="515"/>
    <n v="1"/>
    <d v="2025-08-22T00:00:00"/>
    <d v="2025-08-22T00:00:00"/>
    <x v="1"/>
    <x v="1"/>
    <s v="08-08-2024"/>
    <d v="2024-08-08T00:00:00"/>
    <n v="-379"/>
    <s v="INVALID_SHIPPING"/>
    <s v="CUST-5808"/>
    <s v="Priya Menon"/>
    <s v="Priya Menon"/>
    <s v="Small Business"/>
    <x v="1"/>
    <s v="East"/>
    <x v="1"/>
    <s v="OK"/>
    <s v="Odisha"/>
    <s v="Odisha"/>
    <s v="Bhubaneswar"/>
    <s v="Bhubaneswar"/>
    <s v="Office Supplies"/>
    <x v="0"/>
    <s v="Labels"/>
    <x v="5"/>
    <s v="Eco Labels 653"/>
    <s v="First Class"/>
    <x v="2"/>
    <s v="OK"/>
    <n v="3"/>
    <n v="3294.82"/>
    <n v="0.2"/>
    <n v="0.2"/>
    <s v="OK"/>
    <n v="7907.57"/>
    <n v="5391.18"/>
    <n v="2516.39"/>
    <n v="7907.5680000000011"/>
    <n v="2516.3880000000008"/>
    <x v="505"/>
    <s v="Paid"/>
    <x v="0"/>
    <s v="OK"/>
    <s v="Completed"/>
    <x v="0"/>
    <s v="OK"/>
    <s v="INVALID"/>
    <s v="MATCH"/>
    <s v="MATCH"/>
  </r>
  <r>
    <x v="516"/>
    <n v="1"/>
    <d v="2025-08-07T00:00:00"/>
    <d v="2025-08-07T00:00:00"/>
    <x v="1"/>
    <x v="1"/>
    <s v="2025-10-10"/>
    <d v="2025-10-10T00:00:00"/>
    <n v="64"/>
    <s v="OK"/>
    <s v="CUST-4385"/>
    <s v="Rohan Mehta"/>
    <s v="Rohan Mehta"/>
    <s v="Home Office"/>
    <x v="3"/>
    <s v="North"/>
    <x v="0"/>
    <s v="OK"/>
    <s v="Uttar Pradesh"/>
    <s v="Uttar Pradesh"/>
    <s v="Noida"/>
    <s v="Noida"/>
    <s v="Furniture"/>
    <x v="1"/>
    <s v="Furnishings"/>
    <x v="3"/>
    <s v="Pro Furnishings 529"/>
    <s v="Standard Class"/>
    <x v="3"/>
    <s v="OK"/>
    <n v="1"/>
    <n v="2582.1999999999998"/>
    <n v="0.15"/>
    <n v="0.15"/>
    <s v="OK"/>
    <n v="2194.87"/>
    <n v="1223.17"/>
    <n v="971.7"/>
    <n v="2194.87"/>
    <n v="971.69999999999982"/>
    <x v="506"/>
    <s v="Refunded"/>
    <x v="2"/>
    <s v="REFUNDED_PAYMENT"/>
    <s v="Cancelled"/>
    <x v="2"/>
    <s v="EXCLUDE_FROM_SALES"/>
    <s v="CLEAN"/>
    <s v="MATCH"/>
    <s v="MATCH"/>
  </r>
  <r>
    <x v="517"/>
    <n v="1"/>
    <d v="2025-07-16T00:00:00"/>
    <d v="2025-07-16T00:00:00"/>
    <x v="0"/>
    <x v="1"/>
    <s v="2024-09-01"/>
    <d v="2024-09-01T00:00:00"/>
    <n v="-318"/>
    <s v="INVALID_SHIPPING"/>
    <s v="CUST-8043"/>
    <s v="Sneha Kapoor"/>
    <s v="Sneha Kapoor"/>
    <s v="Corporate"/>
    <x v="2"/>
    <s v="East"/>
    <x v="1"/>
    <s v="OK"/>
    <s v="West Bengal"/>
    <s v="West Bengal"/>
    <s v="Kolkata"/>
    <s v="Kolkata"/>
    <s v="Furniture"/>
    <x v="1"/>
    <s v="Tables"/>
    <x v="1"/>
    <s v="Smart Tables 561"/>
    <s v="First Class"/>
    <x v="2"/>
    <s v="OK"/>
    <n v="5"/>
    <n v="2129.5100000000002"/>
    <n v="0.15"/>
    <n v="0.15"/>
    <s v="OK"/>
    <n v="9050.42"/>
    <n v="6778.85"/>
    <n v="2271.5700000000002"/>
    <n v="9050.4175000000014"/>
    <n v="2271.567500000001"/>
    <x v="507"/>
    <s v="Paid"/>
    <x v="0"/>
    <s v="OK"/>
    <s v="Completed"/>
    <x v="0"/>
    <s v="OK"/>
    <s v="INVALID"/>
    <s v="MATCH"/>
    <s v="MATCH"/>
  </r>
  <r>
    <x v="518"/>
    <n v="1"/>
    <d v="2025-09-27T00:00:00"/>
    <d v="2025-09-27T00:00:00"/>
    <x v="5"/>
    <x v="1"/>
    <s v="2025-05-05"/>
    <d v="2025-05-05T00:00:00"/>
    <n v="-145"/>
    <s v="INVALID_SHIPPING"/>
    <s v="CUST-9978"/>
    <s v="Diya Patel"/>
    <s v="Diya Patel"/>
    <s v="Home Office"/>
    <x v="3"/>
    <s v="South"/>
    <x v="2"/>
    <s v="OK"/>
    <s v="Tamil Nadu"/>
    <s v="Tamil Nadu"/>
    <s v="Chennai"/>
    <s v="Chennai"/>
    <s v="Furniture"/>
    <x v="1"/>
    <s v="Chairs"/>
    <x v="10"/>
    <s v="Prime Chairs 838"/>
    <s v="Same Day"/>
    <x v="1"/>
    <s v="OK"/>
    <n v="9"/>
    <n v="4131.5200000000004"/>
    <n v="0.1"/>
    <n v="0.1"/>
    <s v="OK"/>
    <n v="33465.31"/>
    <n v="24781.26"/>
    <n v="8684.0499999999993"/>
    <n v="33465.312000000005"/>
    <n v="8684.052000000007"/>
    <x v="508"/>
    <s v="Paid"/>
    <x v="0"/>
    <s v="OK"/>
    <s v="Completed"/>
    <x v="0"/>
    <s v="OK"/>
    <s v="INVALID"/>
    <s v="MATCH"/>
    <s v="MATCH"/>
  </r>
  <r>
    <x v="519"/>
    <n v="1"/>
    <d v="2025-03-16T00:00:00"/>
    <d v="2025-03-16T00:00:00"/>
    <x v="10"/>
    <x v="1"/>
    <s v="21 May 2024"/>
    <d v="2024-05-21T00:00:00"/>
    <n v="-299"/>
    <s v="INVALID_SHIPPING"/>
    <s v="CUST-7907"/>
    <s v="Karan Malhotra"/>
    <s v="Karan Malhotra"/>
    <s v="Home Office"/>
    <x v="3"/>
    <s v="West"/>
    <x v="3"/>
    <s v="OK"/>
    <s v="Goa"/>
    <s v="Goa"/>
    <s v="Panaji"/>
    <s v="Panaji"/>
    <s v="Office Supplies"/>
    <x v="0"/>
    <s v="Labels"/>
    <x v="5"/>
    <s v="Eco Labels 662"/>
    <s v="Same Day"/>
    <x v="1"/>
    <s v="OK"/>
    <n v="3"/>
    <n v="1841.91"/>
    <n v="0"/>
    <n v="0"/>
    <s v="OK"/>
    <n v="5525.73"/>
    <n v="3093.42"/>
    <n v="2432.31"/>
    <n v="5525.7300000000005"/>
    <n v="2432.3100000000004"/>
    <x v="509"/>
    <s v="Paid"/>
    <x v="0"/>
    <s v="OK"/>
    <s v="Completed"/>
    <x v="0"/>
    <s v="OK"/>
    <s v="INVALID"/>
    <s v="MATCH"/>
    <s v="MATCH"/>
  </r>
  <r>
    <x v="520"/>
    <n v="2"/>
    <d v="2025-08-24T00:00:00"/>
    <d v="2025-08-24T00:00:00"/>
    <x v="1"/>
    <x v="1"/>
    <s v="2025-04-17"/>
    <d v="2025-04-17T00:00:00"/>
    <n v="-129"/>
    <s v="INVALID_SHIPPING"/>
    <s v="CUST-5909"/>
    <s v="Aarav Sharma"/>
    <s v="Aarav Sharma"/>
    <s v="Small Business"/>
    <x v="1"/>
    <s v="East"/>
    <x v="1"/>
    <s v="OK"/>
    <s v="Bihar"/>
    <s v="Bihar"/>
    <s v="Patna"/>
    <s v="Patna"/>
    <s v="Technology"/>
    <x v="2"/>
    <s v="Copiers"/>
    <x v="6"/>
    <s v="Smart Copiers 556"/>
    <s v="First Class"/>
    <x v="2"/>
    <s v="OK"/>
    <n v="3"/>
    <n v="3703.96"/>
    <n v="0.15"/>
    <n v="0.15"/>
    <s v="OK"/>
    <n v="9445.1"/>
    <n v="5586.28"/>
    <n v="3858.82"/>
    <n v="9445.098"/>
    <n v="3858.8180000000002"/>
    <x v="510"/>
    <s v="Paid"/>
    <x v="0"/>
    <s v="OK"/>
    <s v="Completed"/>
    <x v="0"/>
    <s v="OK"/>
    <s v="INVALID"/>
    <s v="MATCH"/>
    <s v="MATCH"/>
  </r>
  <r>
    <x v="520"/>
    <n v="2"/>
    <d v="2025-08-24T00:00:00"/>
    <d v="2025-08-24T00:00:00"/>
    <x v="1"/>
    <x v="1"/>
    <s v="2024-01-30"/>
    <d v="2024-01-30T00:00:00"/>
    <n v="-572"/>
    <s v="INVALID_SHIPPING"/>
    <s v="CUST-5909"/>
    <s v="Aarav Sharma"/>
    <s v="Aarav Sharma"/>
    <s v="Small Business"/>
    <x v="1"/>
    <s v="East"/>
    <x v="1"/>
    <s v="OK"/>
    <s v="Bihar"/>
    <s v="Bihar"/>
    <s v="Patna"/>
    <s v="Patna"/>
    <s v="Technology"/>
    <x v="2"/>
    <s v="Copiers"/>
    <x v="6"/>
    <s v="Smart Copiers 556"/>
    <s v="First Class"/>
    <x v="2"/>
    <s v="OK"/>
    <n v="3"/>
    <n v="3703.96"/>
    <n v="0.15"/>
    <n v="0.15"/>
    <s v="OK"/>
    <n v="9549.44"/>
    <n v="5586.28"/>
    <n v="3858.82"/>
    <n v="9445.098"/>
    <n v="3858.8180000000002"/>
    <x v="510"/>
    <s v="Paid"/>
    <x v="0"/>
    <s v="OK"/>
    <s v="Returned"/>
    <x v="1"/>
    <s v="RETURNED_ORDER"/>
    <s v="INVALID"/>
    <s v="MISMATCH"/>
    <s v="MATCH"/>
  </r>
  <r>
    <x v="521"/>
    <n v="1"/>
    <d v="2025-03-02T00:00:00"/>
    <d v="2025-03-02T00:00:00"/>
    <x v="10"/>
    <x v="1"/>
    <s v="01-10-2024"/>
    <d v="2024-01-10T00:00:00"/>
    <n v="-417"/>
    <s v="INVALID_SHIPPING"/>
    <s v="CUST-6409"/>
    <s v="Sneha Kapoor"/>
    <s v="Sneha Kapoor"/>
    <s v="Corporate"/>
    <x v="2"/>
    <s v="West"/>
    <x v="3"/>
    <s v="OK"/>
    <s v="Madhya Pradesh"/>
    <s v="Madhya Pradesh"/>
    <s v="Indore"/>
    <s v="Indore"/>
    <s v="Technology"/>
    <x v="2"/>
    <s v="Copiers"/>
    <x v="6"/>
    <s v="Prime Copiers 575"/>
    <s v="Second Class"/>
    <x v="0"/>
    <s v="OK"/>
    <n v="9"/>
    <n v="269.68"/>
    <n v="0"/>
    <n v="0"/>
    <s v="OK"/>
    <n v="2427.12"/>
    <n v="1538.35"/>
    <n v="804.53"/>
    <n v="2427.12"/>
    <n v="888.77"/>
    <x v="511"/>
    <s v="Paid"/>
    <x v="0"/>
    <s v="OK"/>
    <s v="Completed"/>
    <x v="0"/>
    <s v="OK"/>
    <s v="INVALID"/>
    <s v="MATCH"/>
    <s v="MISMATCH"/>
  </r>
  <r>
    <x v="522"/>
    <n v="1"/>
    <d v="2025-01-23T00:00:00"/>
    <d v="2025-01-23T00:00:00"/>
    <x v="9"/>
    <x v="1"/>
    <s v="2025-07-04"/>
    <d v="2025-07-04T00:00:00"/>
    <n v="162"/>
    <s v="OK"/>
    <s v="CUST-3014"/>
    <s v="Aarav Sharma"/>
    <s v="Aarav Sharma"/>
    <s v="Consumer"/>
    <x v="0"/>
    <s v="West"/>
    <x v="3"/>
    <s v="OK"/>
    <s v="Madhya Pradesh"/>
    <s v="Madhya Pradesh"/>
    <s v="Indore"/>
    <s v="Indore"/>
    <s v="Office Supplies"/>
    <x v="0"/>
    <s v="Paper"/>
    <x v="0"/>
    <s v="Elite Paper 669"/>
    <s v="Standard Class"/>
    <x v="3"/>
    <s v="OK"/>
    <n v="9"/>
    <n v="4458.26"/>
    <n v="0.1"/>
    <n v="0.1"/>
    <s v="OK"/>
    <n v="36111.910000000003"/>
    <n v="29194.5"/>
    <n v="6917.41"/>
    <n v="36111.906000000003"/>
    <n v="6917.4060000000027"/>
    <x v="512"/>
    <s v="Paid"/>
    <x v="0"/>
    <s v="OK"/>
    <s v="Completed"/>
    <x v="0"/>
    <s v="OK"/>
    <s v="CLEAN"/>
    <s v="MATCH"/>
    <s v="MATCH"/>
  </r>
  <r>
    <x v="523"/>
    <n v="1"/>
    <d v="2025-09-05T00:00:00"/>
    <d v="2025-09-05T00:00:00"/>
    <x v="5"/>
    <x v="1"/>
    <s v="23 Feb 2024"/>
    <d v="2024-02-23T00:00:00"/>
    <n v="-560"/>
    <s v="INVALID_SHIPPING"/>
    <s v="CUST-2687"/>
    <s v="Sneha Kapoor"/>
    <s v="Sneha Kapoor"/>
    <s v="Corporate"/>
    <x v="2"/>
    <s v="West"/>
    <x v="3"/>
    <s v="OK"/>
    <s v="Goa"/>
    <s v="Goa"/>
    <s v="Panaji"/>
    <s v="Panaji"/>
    <s v="Furniture"/>
    <x v="1"/>
    <s v="Bookcases"/>
    <x v="9"/>
    <s v="Classic Bookcases 988"/>
    <s v="Same Day"/>
    <x v="1"/>
    <s v="OK"/>
    <n v="6"/>
    <n v="1754.13"/>
    <n v="0"/>
    <n v="0"/>
    <s v="OK"/>
    <n v="10524.78"/>
    <n v="8841.0499999999993"/>
    <n v="1683.73"/>
    <n v="10524.78"/>
    <n v="1683.7300000000014"/>
    <x v="513"/>
    <s v="Paid"/>
    <x v="0"/>
    <s v="OK"/>
    <s v="Completed"/>
    <x v="0"/>
    <s v="OK"/>
    <s v="INVALID"/>
    <s v="MATCH"/>
    <s v="MATCH"/>
  </r>
  <r>
    <x v="524"/>
    <n v="1"/>
    <d v="2025-08-08T00:00:00"/>
    <d v="2025-08-08T00:00:00"/>
    <x v="1"/>
    <x v="1"/>
    <s v="2025-07-09"/>
    <d v="2025-07-09T00:00:00"/>
    <n v="-30"/>
    <s v="INVALID_SHIPPING"/>
    <s v="CUST-8111"/>
    <s v="Diya Patel"/>
    <s v="Diya Patel"/>
    <s v="Small Business"/>
    <x v="1"/>
    <s v="West"/>
    <x v="3"/>
    <s v="OK"/>
    <s v="Gujarat"/>
    <s v="Gujarat"/>
    <s v="Ahmedabad"/>
    <s v="Ahmedabad"/>
    <s v="Office Supplies"/>
    <x v="0"/>
    <s v="Storage"/>
    <x v="7"/>
    <s v="Basic Storage 656"/>
    <s v="Same Day"/>
    <x v="1"/>
    <s v="OK"/>
    <n v="5"/>
    <n v="3602.36"/>
    <n v="0.2"/>
    <n v="0.2"/>
    <s v="OK"/>
    <n v="14409.44"/>
    <n v="8809.9699999999993"/>
    <n v="5599.47"/>
    <n v="14409.44"/>
    <n v="5599.4700000000012"/>
    <x v="514"/>
    <s v="Pending"/>
    <x v="1"/>
    <s v="OK"/>
    <s v="Returned"/>
    <x v="1"/>
    <s v="RETURNED_ORDER"/>
    <s v="INVALID"/>
    <s v="MATCH"/>
    <s v="MATCH"/>
  </r>
  <r>
    <x v="525"/>
    <n v="1"/>
    <d v="2025-01-11T00:00:00"/>
    <d v="2025-01-11T00:00:00"/>
    <x v="9"/>
    <x v="1"/>
    <s v="2024-09-23"/>
    <d v="2024-09-23T00:00:00"/>
    <n v="-110"/>
    <s v="INVALID_SHIPPING"/>
    <s v="CUST-3865"/>
    <s v="Aditi Sen"/>
    <s v="Aditi Sen"/>
    <s v="Small Business"/>
    <x v="1"/>
    <s v="West"/>
    <x v="3"/>
    <s v="OK"/>
    <s v="Rajasthan"/>
    <s v="Rajasthan"/>
    <s v="Udaipur"/>
    <s v="Udaipur"/>
    <s v="Technology"/>
    <x v="2"/>
    <s v="Accessories"/>
    <x v="4"/>
    <s v="Smart Accessories 542"/>
    <s v="Same Day"/>
    <x v="1"/>
    <s v="OK"/>
    <n v="3"/>
    <n v="2165.29"/>
    <n v="0"/>
    <n v="0"/>
    <s v="OK"/>
    <n v="6495.87"/>
    <n v="4700.8900000000003"/>
    <n v="1794.98"/>
    <n v="6495.87"/>
    <n v="1794.9799999999996"/>
    <x v="515"/>
    <s v="Paid"/>
    <x v="0"/>
    <s v="OK"/>
    <s v="Completed"/>
    <x v="0"/>
    <s v="OK"/>
    <s v="INVALID"/>
    <s v="MATCH"/>
    <s v="MATCH"/>
  </r>
  <r>
    <x v="526"/>
    <n v="1"/>
    <d v="2025-12-09T00:00:00"/>
    <d v="2025-12-09T00:00:00"/>
    <x v="4"/>
    <x v="1"/>
    <s v="20-07-2024"/>
    <d v="2024-07-20T00:00:00"/>
    <n v="-507"/>
    <s v="INVALID_SHIPPING"/>
    <s v="CUST-6015"/>
    <s v="Aarav Sharma"/>
    <s v="Aarav Sharma"/>
    <s v="Home Office"/>
    <x v="3"/>
    <s v="South"/>
    <x v="2"/>
    <s v="OK"/>
    <s v="Kerala"/>
    <s v="Kerala"/>
    <s v="Kochi"/>
    <s v="Kochi"/>
    <s v="Office Supplies"/>
    <x v="0"/>
    <s v="Storage"/>
    <x v="7"/>
    <s v="Eco Storage 936"/>
    <s v="Standard Class"/>
    <x v="3"/>
    <s v="OK"/>
    <n v="6"/>
    <n v="1673.8"/>
    <n v="0.05"/>
    <n v="0.05"/>
    <s v="OK"/>
    <n v="9540.66"/>
    <n v="5561.49"/>
    <n v="3979.17"/>
    <n v="9540.659999999998"/>
    <n v="3979.1699999999983"/>
    <x v="516"/>
    <s v="Paid"/>
    <x v="0"/>
    <s v="OK"/>
    <s v="Completed"/>
    <x v="0"/>
    <s v="OK"/>
    <s v="INVALID"/>
    <s v="MATCH"/>
    <s v="MATCH"/>
  </r>
  <r>
    <x v="527"/>
    <n v="1"/>
    <d v="2025-12-07T00:00:00"/>
    <d v="2025-12-07T00:00:00"/>
    <x v="4"/>
    <x v="1"/>
    <s v="02/05/2025"/>
    <d v="2025-02-05T00:00:00"/>
    <n v="-305"/>
    <s v="INVALID_SHIPPING"/>
    <s v="CUST-9603"/>
    <s v="Vikram Iyer"/>
    <s v="Vikram Iyer"/>
    <s v="Consumer"/>
    <x v="0"/>
    <s v="South"/>
    <x v="2"/>
    <s v="OK"/>
    <s v="Karnataka"/>
    <s v="Karnataka"/>
    <s v="Bengaluru"/>
    <s v="Bengaluru"/>
    <s v="Furniture"/>
    <x v="1"/>
    <s v="Chairs"/>
    <x v="10"/>
    <s v="Classic Chairs 604"/>
    <s v="First Class"/>
    <x v="2"/>
    <s v="OK"/>
    <n v="4"/>
    <n v="2865.71"/>
    <n v="0"/>
    <n v="0"/>
    <s v="OK"/>
    <n v="11462.84"/>
    <n v="8979.7800000000007"/>
    <n v="2483.06"/>
    <n v="11462.84"/>
    <n v="2483.0599999999995"/>
    <x v="517"/>
    <s v="Refunded"/>
    <x v="2"/>
    <s v="REFUNDED_PAYMENT"/>
    <s v="Cancelled"/>
    <x v="2"/>
    <s v="EXCLUDE_FROM_SALES"/>
    <s v="INVALID"/>
    <s v="MATCH"/>
    <s v="MATCH"/>
  </r>
  <r>
    <x v="528"/>
    <n v="1"/>
    <d v="2025-02-05T00:00:00"/>
    <d v="2025-02-05T00:00:00"/>
    <x v="11"/>
    <x v="1"/>
    <s v="30 May 2024"/>
    <d v="2024-05-30T00:00:00"/>
    <n v="-251"/>
    <s v="INVALID_SHIPPING"/>
    <s v="CUST-6263"/>
    <s v="Kabir Singh"/>
    <s v="Kabir Singh"/>
    <s v="Corporate"/>
    <x v="2"/>
    <s v="West"/>
    <x v="3"/>
    <s v="OK"/>
    <s v="Maharashtra"/>
    <s v="Maharashtra"/>
    <s v="Mumbai"/>
    <s v="Mumbai"/>
    <s v="Furniture"/>
    <x v="1"/>
    <s v="Tables"/>
    <x v="1"/>
    <s v="Prime Tables 377"/>
    <s v="First Class"/>
    <x v="2"/>
    <s v="OK"/>
    <n v="4"/>
    <n v="2440.34"/>
    <n v="0.2"/>
    <n v="0.2"/>
    <s v="OK"/>
    <n v="7809.09"/>
    <n v="6657.75"/>
    <n v="1151.3399999999999"/>
    <n v="7809.0880000000006"/>
    <n v="1151.3380000000006"/>
    <x v="518"/>
    <s v="Paid"/>
    <x v="0"/>
    <s v="OK"/>
    <s v="Completed"/>
    <x v="0"/>
    <s v="OK"/>
    <s v="INVALID"/>
    <s v="MATCH"/>
    <s v="MATCH"/>
  </r>
  <r>
    <x v="529"/>
    <n v="1"/>
    <d v="2025-01-02T00:00:00"/>
    <d v="2025-01-02T00:00:00"/>
    <x v="9"/>
    <x v="1"/>
    <s v="22 Aug 2025"/>
    <d v="2025-08-22T00:00:00"/>
    <n v="232"/>
    <s v="OK"/>
    <s v="CUST-1576"/>
    <s v="Ananya Rao"/>
    <s v="Ananya Rao"/>
    <s v="Consumer"/>
    <x v="0"/>
    <s v="South"/>
    <x v="2"/>
    <s v="OK"/>
    <s v="Karnataka"/>
    <s v="Karnataka"/>
    <s v="Bengaluru"/>
    <s v="Bengaluru"/>
    <s v="Office Supplies"/>
    <x v="0"/>
    <s v="Labels"/>
    <x v="5"/>
    <s v="Prime Labels 807"/>
    <s v="Same Day"/>
    <x v="1"/>
    <s v="OK"/>
    <n v="5"/>
    <n v="2112.54"/>
    <n v="0.25"/>
    <n v="0.25"/>
    <s v="OK"/>
    <n v="8260.4599999999991"/>
    <n v="5619.95"/>
    <n v="2302.08"/>
    <n v="7922.0250000000005"/>
    <n v="2302.0750000000007"/>
    <x v="519"/>
    <s v="Paid"/>
    <x v="0"/>
    <s v="OK"/>
    <s v="Cancelled"/>
    <x v="2"/>
    <s v="EXCLUDE_FROM_SALES"/>
    <s v="CLEAN"/>
    <s v="MISMATCH"/>
    <s v="MATCH"/>
  </r>
  <r>
    <x v="530"/>
    <n v="1"/>
    <d v="2025-08-23T00:00:00"/>
    <d v="2025-08-23T00:00:00"/>
    <x v="1"/>
    <x v="1"/>
    <s v="23 May 2024"/>
    <d v="2024-05-23T00:00:00"/>
    <n v="-457"/>
    <s v="INVALID_SHIPPING"/>
    <s v="CUST-3740"/>
    <s v="Sneha Kapoor"/>
    <s v="Sneha Kapoor"/>
    <s v="Consumer"/>
    <x v="0"/>
    <s v="North"/>
    <x v="0"/>
    <s v="OK"/>
    <s v="Delhi"/>
    <s v="Delhi"/>
    <s v="New Delhi"/>
    <s v="New Delhi"/>
    <s v="Office Supplies"/>
    <x v="0"/>
    <s v="Binders"/>
    <x v="11"/>
    <s v="Classic Binders 660"/>
    <s v="Second Class"/>
    <x v="0"/>
    <s v="OK"/>
    <n v="1"/>
    <n v="2788.62"/>
    <n v="0.25"/>
    <n v="0.25"/>
    <s v="OK"/>
    <n v="2091.4699999999998"/>
    <n v="1317.22"/>
    <n v="774.25"/>
    <n v="2091.4650000000001"/>
    <n v="774.24500000000012"/>
    <x v="520"/>
    <s v="Paid"/>
    <x v="0"/>
    <s v="OK"/>
    <s v="Completed"/>
    <x v="0"/>
    <s v="OK"/>
    <s v="INVALID"/>
    <s v="MATCH"/>
    <s v="MATCH"/>
  </r>
  <r>
    <x v="531"/>
    <n v="1"/>
    <d v="2025-06-27T00:00:00"/>
    <d v="2025-06-27T00:00:00"/>
    <x v="8"/>
    <x v="1"/>
    <s v="29-05-2024"/>
    <d v="2024-05-29T00:00:00"/>
    <n v="-394"/>
    <s v="INVALID_SHIPPING"/>
    <s v="CUST-4743"/>
    <s v="Neha Gupta"/>
    <s v="Neha Gupta"/>
    <s v="Corporate"/>
    <x v="2"/>
    <s v="East"/>
    <x v="1"/>
    <s v="OK"/>
    <s v="Bihar"/>
    <s v="Bihar"/>
    <s v="Patna"/>
    <s v="Patna"/>
    <s v="Technology"/>
    <x v="2"/>
    <s v="Accessories"/>
    <x v="4"/>
    <s v="Basic Accessories 187"/>
    <s v="First Class"/>
    <x v="2"/>
    <s v="OK"/>
    <n v="1"/>
    <n v="1708.44"/>
    <n v="0.05"/>
    <n v="0.05"/>
    <s v="OK"/>
    <n v="1623.02"/>
    <n v="1077.46"/>
    <n v="545.55999999999995"/>
    <n v="1623.018"/>
    <n v="545.55799999999999"/>
    <x v="521"/>
    <s v="Pending"/>
    <x v="1"/>
    <s v="OK"/>
    <s v="Cancelled"/>
    <x v="2"/>
    <s v="EXCLUDE_FROM_SALES"/>
    <s v="INVALID"/>
    <s v="MATCH"/>
    <s v="MATCH"/>
  </r>
  <r>
    <x v="532"/>
    <n v="1"/>
    <d v="2025-02-15T00:00:00"/>
    <d v="2025-02-15T00:00:00"/>
    <x v="11"/>
    <x v="1"/>
    <s v="13 Oct 2025"/>
    <d v="2025-10-13T00:00:00"/>
    <n v="240"/>
    <s v="OK"/>
    <s v="CUST-3632"/>
    <s v="Ananya Rao"/>
    <s v="Ananya Rao"/>
    <s v="Small Business"/>
    <x v="1"/>
    <m/>
    <x v="4"/>
    <s v="MISSING_REGION"/>
    <s v="Madhya Pradesh"/>
    <s v="Madhya Pradesh"/>
    <s v="Indore"/>
    <s v="Indore"/>
    <s v="Office Supplies"/>
    <x v="0"/>
    <s v="Binders"/>
    <x v="11"/>
    <s v="Basic Binders 859"/>
    <s v="First Class"/>
    <x v="2"/>
    <s v="OK"/>
    <n v="9"/>
    <n v="531.99"/>
    <n v="0.25"/>
    <n v="0.25"/>
    <s v="OK"/>
    <n v="3590.93"/>
    <n v="3061.39"/>
    <n v="529.54"/>
    <n v="3590.9324999999999"/>
    <n v="529.54250000000002"/>
    <x v="522"/>
    <s v="Failed"/>
    <x v="3"/>
    <s v="EXCLUDE_FROM_SALES"/>
    <s v="Cancelled"/>
    <x v="2"/>
    <s v="EXCLUDE_FROM_SALES"/>
    <s v="WARNING"/>
    <s v="MATCH"/>
    <s v="MATCH"/>
  </r>
  <r>
    <x v="533"/>
    <n v="1"/>
    <d v="2025-08-22T00:00:00"/>
    <d v="2025-08-22T00:00:00"/>
    <x v="1"/>
    <x v="1"/>
    <s v="08/10/2024"/>
    <d v="2024-08-10T00:00:00"/>
    <n v="-377"/>
    <s v="INVALID_SHIPPING"/>
    <s v="CUST-2044"/>
    <s v="Kabir Singh"/>
    <s v="Kabir Singh"/>
    <s v="Small  Business"/>
    <x v="1"/>
    <s v="South"/>
    <x v="2"/>
    <s v="OK"/>
    <s v="Andhra Pradesh"/>
    <s v="Andhra Pradesh"/>
    <s v="Vijayawada"/>
    <s v="Vijayawada"/>
    <s v="Technology"/>
    <x v="2"/>
    <s v="Machines"/>
    <x v="12"/>
    <s v="Max Machines 948"/>
    <s v="Second Class"/>
    <x v="0"/>
    <s v="OK"/>
    <n v="5"/>
    <n v="3482.92"/>
    <n v="0"/>
    <n v="0"/>
    <s v="OK"/>
    <n v="17414.599999999999"/>
    <n v="11760.91"/>
    <n v="5653.69"/>
    <n v="17414.599999999999"/>
    <n v="5653.6899999999987"/>
    <x v="523"/>
    <s v="Refunded"/>
    <x v="2"/>
    <s v="REFUNDED_PAYMENT"/>
    <s v="Cancelled"/>
    <x v="2"/>
    <s v="EXCLUDE_FROM_SALES"/>
    <s v="INVALID"/>
    <s v="MATCH"/>
    <s v="MATCH"/>
  </r>
  <r>
    <x v="534"/>
    <n v="1"/>
    <d v="2025-07-17T00:00:00"/>
    <d v="2025-07-17T00:00:00"/>
    <x v="0"/>
    <x v="1"/>
    <s v="2024-02-27"/>
    <d v="2024-02-27T00:00:00"/>
    <n v="-506"/>
    <s v="INVALID_SHIPPING"/>
    <s v="CUST-7924"/>
    <s v="Neha Gupta"/>
    <s v="Neha Gupta"/>
    <s v="Small Business"/>
    <x v="1"/>
    <s v="West"/>
    <x v="3"/>
    <s v="OK"/>
    <s v="Rajasthan"/>
    <s v="Rajasthan"/>
    <s v="Udaipur"/>
    <s v="Udaipur"/>
    <s v="Furniture"/>
    <x v="1"/>
    <s v="Tables"/>
    <x v="1"/>
    <s v="Basic Tables 753"/>
    <s v="Same Day"/>
    <x v="1"/>
    <s v="OK"/>
    <n v="6"/>
    <n v="3235.27"/>
    <n v="0.25"/>
    <n v="0.25"/>
    <s v="OK"/>
    <n v="14558.72"/>
    <n v="9591.48"/>
    <n v="4967.24"/>
    <n v="14558.715"/>
    <n v="4967.2350000000006"/>
    <x v="524"/>
    <s v="Refunded"/>
    <x v="2"/>
    <s v="REFUNDED_PAYMENT"/>
    <s v="Returned"/>
    <x v="1"/>
    <s v="RETURNED_ORDER"/>
    <s v="INVALID"/>
    <s v="MATCH"/>
    <s v="MATCH"/>
  </r>
  <r>
    <x v="535"/>
    <n v="1"/>
    <d v="2025-09-24T00:00:00"/>
    <d v="2025-09-24T00:00:00"/>
    <x v="5"/>
    <x v="1"/>
    <s v="30 Jan 2025"/>
    <d v="2025-01-30T00:00:00"/>
    <n v="-237"/>
    <s v="INVALID_SHIPPING"/>
    <s v="CUST-1715"/>
    <s v="Priya Menon"/>
    <s v="Priya Menon"/>
    <s v="Corporate"/>
    <x v="2"/>
    <s v="North"/>
    <x v="0"/>
    <s v="OK"/>
    <s v="Delhi"/>
    <s v="Delhi"/>
    <s v="New Delhi"/>
    <s v="New Delhi"/>
    <s v="Technology"/>
    <x v="2"/>
    <s v="Copiers"/>
    <x v="6"/>
    <s v="Prime Copiers 651"/>
    <s v="Standard Class"/>
    <x v="3"/>
    <s v="OK"/>
    <n v="3"/>
    <n v="1593.86"/>
    <n v="0.1"/>
    <n v="0.1"/>
    <s v="OK"/>
    <n v="4303.42"/>
    <n v="2568.5700000000002"/>
    <n v="1734.85"/>
    <n v="4303.4220000000005"/>
    <n v="1734.8520000000003"/>
    <x v="525"/>
    <s v="Paid"/>
    <x v="0"/>
    <s v="OK"/>
    <s v="Completed"/>
    <x v="0"/>
    <s v="OK"/>
    <s v="INVALID"/>
    <s v="MATCH"/>
    <s v="MATCH"/>
  </r>
  <r>
    <x v="536"/>
    <n v="2"/>
    <d v="2025-01-30T00:00:00"/>
    <d v="2025-01-30T00:00:00"/>
    <x v="9"/>
    <x v="1"/>
    <s v="2025-04-28"/>
    <d v="2025-04-28T00:00:00"/>
    <n v="88"/>
    <s v="OK"/>
    <s v="CUST-6802"/>
    <s v="Priya Menon"/>
    <s v="Priya Menon"/>
    <s v="Corporate"/>
    <x v="2"/>
    <s v="West"/>
    <x v="3"/>
    <s v="OK"/>
    <s v="Madhya Pradesh"/>
    <s v="Madhya Pradesh"/>
    <s v="Indore"/>
    <s v="Indore"/>
    <s v="Office Supplies"/>
    <x v="0"/>
    <s v="Storage"/>
    <x v="7"/>
    <s v="Basic Storage 321"/>
    <s v="Second Class"/>
    <x v="0"/>
    <s v="OK"/>
    <n v="2"/>
    <n v="3039.3"/>
    <n v="0.05"/>
    <n v="0.05"/>
    <s v="OK"/>
    <n v="5774.67"/>
    <n v="3518.36"/>
    <n v="2256.31"/>
    <n v="5774.67"/>
    <n v="2256.31"/>
    <x v="526"/>
    <s v="Paid"/>
    <x v="0"/>
    <s v="OK"/>
    <s v="Completed"/>
    <x v="0"/>
    <s v="OK"/>
    <s v="CLEAN"/>
    <s v="MATCH"/>
    <s v="MATCH"/>
  </r>
  <r>
    <x v="536"/>
    <n v="2"/>
    <d v="2025-01-30T00:00:00"/>
    <d v="2025-01-30T00:00:00"/>
    <x v="9"/>
    <x v="1"/>
    <s v="17 Oct 2024"/>
    <d v="2024-10-17T00:00:00"/>
    <n v="-105"/>
    <s v="INVALID_SHIPPING"/>
    <s v="CUST-6802"/>
    <s v="Priya Menon"/>
    <s v="Priya Menon"/>
    <s v="Corporate"/>
    <x v="2"/>
    <s v="West"/>
    <x v="3"/>
    <s v="OK"/>
    <s v="Madhya Pradesh"/>
    <s v="Madhya Pradesh"/>
    <s v="Indore"/>
    <s v="Indore"/>
    <s v="Office Supplies"/>
    <x v="0"/>
    <s v="Storage"/>
    <x v="7"/>
    <s v="Basic Storage 321"/>
    <s v="Second Class"/>
    <x v="0"/>
    <s v="OK"/>
    <n v="2"/>
    <n v="3039.3"/>
    <n v="0.05"/>
    <n v="0.05"/>
    <s v="OK"/>
    <n v="5774.67"/>
    <n v="3518.36"/>
    <n v="2256.31"/>
    <n v="5774.67"/>
    <n v="2256.31"/>
    <x v="526"/>
    <s v="Paid"/>
    <x v="0"/>
    <s v="OK"/>
    <s v="Completed"/>
    <x v="0"/>
    <s v="OK"/>
    <s v="INVALID"/>
    <s v="MATCH"/>
    <s v="MATCH"/>
  </r>
  <r>
    <x v="537"/>
    <n v="1"/>
    <d v="2025-09-29T00:00:00"/>
    <d v="2025-09-29T00:00:00"/>
    <x v="5"/>
    <x v="1"/>
    <s v="10 Feb 2025"/>
    <d v="2025-02-10T00:00:00"/>
    <n v="-231"/>
    <s v="INVALID_SHIPPING"/>
    <s v="CUST-7637"/>
    <s v="Ananya Rao"/>
    <s v="Ananya Rao"/>
    <s v="Home Office"/>
    <x v="3"/>
    <s v="East"/>
    <x v="1"/>
    <s v="OK"/>
    <s v="Jharkhand"/>
    <s v="Jharkhand"/>
    <s v="Ranchi"/>
    <s v="Ranchi"/>
    <s v="Office Supplies"/>
    <x v="0"/>
    <s v="Paper"/>
    <x v="0"/>
    <s v="Pro Paper 934"/>
    <s v="Same Day"/>
    <x v="1"/>
    <s v="OK"/>
    <n v="9"/>
    <n v="373.91"/>
    <n v="0.2"/>
    <n v="0.2"/>
    <s v="OK"/>
    <n v="2692.15"/>
    <n v="2044.49"/>
    <n v="647.66"/>
    <n v="2692.152"/>
    <n v="647.66200000000003"/>
    <x v="527"/>
    <s v="Paid"/>
    <x v="0"/>
    <s v="OK"/>
    <s v="Completed"/>
    <x v="0"/>
    <s v="OK"/>
    <s v="INVALID"/>
    <s v="MATCH"/>
    <s v="MATCH"/>
  </r>
  <r>
    <x v="538"/>
    <n v="1"/>
    <d v="2025-07-14T00:00:00"/>
    <d v="2025-07-14T00:00:00"/>
    <x v="0"/>
    <x v="1"/>
    <s v="2024-06-29"/>
    <d v="2024-06-29T00:00:00"/>
    <n v="-380"/>
    <s v="INVALID_SHIPPING"/>
    <s v="CUST-7361"/>
    <s v="Vikram Iyer"/>
    <s v="Vikram Iyer"/>
    <s v="Home Office"/>
    <x v="3"/>
    <s v="East"/>
    <x v="1"/>
    <s v="OK"/>
    <s v="West Bengal"/>
    <s v="West Bengal"/>
    <s v="Kolkata"/>
    <s v="Kolkata"/>
    <s v="Furniture"/>
    <x v="1"/>
    <s v="Bookcases"/>
    <x v="9"/>
    <s v="Elite Bookcases 266"/>
    <m/>
    <x v="4"/>
    <s v="MISSING_SHIP_MODE"/>
    <n v="5"/>
    <n v="383.1"/>
    <n v="0.25"/>
    <n v="0.25"/>
    <s v="OK"/>
    <n v="1436.62"/>
    <n v="912.52"/>
    <n v="524.1"/>
    <n v="1436.625"/>
    <n v="524.10500000000002"/>
    <x v="528"/>
    <s v="Pending"/>
    <x v="1"/>
    <s v="OK"/>
    <s v="Cancelled"/>
    <x v="2"/>
    <s v="EXCLUDE_FROM_SALES"/>
    <s v="INVALID"/>
    <s v="MISMATCH"/>
    <s v="MISMATCH"/>
  </r>
  <r>
    <x v="539"/>
    <n v="1"/>
    <d v="2025-08-24T00:00:00"/>
    <d v="2025-08-24T00:00:00"/>
    <x v="1"/>
    <x v="1"/>
    <s v="14-05-2024"/>
    <d v="2024-05-14T00:00:00"/>
    <n v="-467"/>
    <s v="INVALID_SHIPPING"/>
    <s v="CUST-1148"/>
    <s v="Diya Patel"/>
    <s v="Diya Patel"/>
    <s v="Small Business"/>
    <x v="1"/>
    <s v="South"/>
    <x v="2"/>
    <s v="OK"/>
    <s v="Kerala"/>
    <s v="Kerala"/>
    <s v="Kochi"/>
    <s v="Kochi"/>
    <s v="Furniture"/>
    <x v="1"/>
    <s v="Bookcases"/>
    <x v="9"/>
    <s v="Prime Bookcases 954"/>
    <s v="Standard Class"/>
    <x v="3"/>
    <s v="OK"/>
    <n v="1"/>
    <n v="3424.78"/>
    <n v="0"/>
    <n v="0"/>
    <s v="OK"/>
    <n v="3424.78"/>
    <n v="1951.45"/>
    <n v="1473.33"/>
    <n v="3424.78"/>
    <n v="1473.3300000000002"/>
    <x v="529"/>
    <s v="Paid"/>
    <x v="0"/>
    <s v="OK"/>
    <s v="Completed"/>
    <x v="0"/>
    <s v="OK"/>
    <s v="INVALID"/>
    <s v="MATCH"/>
    <s v="MATCH"/>
  </r>
  <r>
    <x v="540"/>
    <n v="1"/>
    <d v="2025-02-09T00:00:00"/>
    <d v="2025-02-09T00:00:00"/>
    <x v="11"/>
    <x v="1"/>
    <s v="09/04/2025"/>
    <d v="2025-09-04T00:00:00"/>
    <n v="207"/>
    <s v="OK"/>
    <s v="CUST-3350"/>
    <s v="Mira Das"/>
    <s v="Mira Das"/>
    <s v="Home Office"/>
    <x v="3"/>
    <s v="East"/>
    <x v="1"/>
    <s v="OK"/>
    <s v="Jharkhand"/>
    <s v="Jharkhand"/>
    <s v="Ranchi"/>
    <s v="Ranchi"/>
    <s v="Office Supplies"/>
    <x v="0"/>
    <s v="Binders"/>
    <x v="11"/>
    <s v="Max Binders 362"/>
    <s v="Standard  Class"/>
    <x v="3"/>
    <s v="OK"/>
    <n v="9"/>
    <n v="4330.33"/>
    <n v="0.2"/>
    <n v="0.2"/>
    <s v="OK"/>
    <n v="31178.38"/>
    <n v="21421.09"/>
    <n v="9757.2900000000009"/>
    <n v="31178.376000000004"/>
    <n v="9757.2860000000037"/>
    <x v="530"/>
    <s v="Paid"/>
    <x v="0"/>
    <s v="OK"/>
    <s v="Completed"/>
    <x v="0"/>
    <s v="OK"/>
    <s v="CLEAN"/>
    <s v="MATCH"/>
    <s v="MATCH"/>
  </r>
  <r>
    <x v="541"/>
    <n v="1"/>
    <d v="2025-09-01T00:00:00"/>
    <d v="2025-09-01T00:00:00"/>
    <x v="5"/>
    <x v="1"/>
    <s v="2025-10-07"/>
    <d v="2025-10-07T00:00:00"/>
    <n v="36"/>
    <s v="OK"/>
    <s v="CUST-7932"/>
    <s v="Sneha Kapoor"/>
    <s v="Sneha Kapoor"/>
    <s v="Small Business"/>
    <x v="1"/>
    <s v="North"/>
    <x v="0"/>
    <s v="OK"/>
    <s v="Rajasthan"/>
    <s v="Rajasthan"/>
    <s v="Jaipur"/>
    <s v="Jaipur"/>
    <s v="Furniture"/>
    <x v="1"/>
    <s v="Chairs"/>
    <x v="10"/>
    <s v="Prime Chairs 261"/>
    <s v="Same Day"/>
    <x v="1"/>
    <s v="OK"/>
    <n v="8"/>
    <n v="2667.07"/>
    <n v="0.1"/>
    <n v="0.1"/>
    <s v="OK"/>
    <n v="19202.900000000001"/>
    <n v="15526.62"/>
    <n v="3676.28"/>
    <n v="19202.904000000002"/>
    <n v="3676.2840000000015"/>
    <x v="531"/>
    <s v="Paid"/>
    <x v="0"/>
    <s v="OK"/>
    <s v="Completed"/>
    <x v="0"/>
    <s v="OK"/>
    <s v="CLEAN"/>
    <s v="MATCH"/>
    <s v="MATCH"/>
  </r>
  <r>
    <x v="542"/>
    <n v="1"/>
    <d v="2025-02-03T00:00:00"/>
    <d v="2025-02-03T00:00:00"/>
    <x v="11"/>
    <x v="1"/>
    <s v="22-01-2024"/>
    <d v="2024-01-22T00:00:00"/>
    <n v="-378"/>
    <s v="INVALID_SHIPPING"/>
    <s v="CUST-4225"/>
    <s v="Neha Gupta"/>
    <s v="Neha Gupta"/>
    <s v="Home Office"/>
    <x v="3"/>
    <s v="South"/>
    <x v="2"/>
    <s v="OK"/>
    <s v="Karnataka"/>
    <s v="Karnataka"/>
    <s v="Bengaluru"/>
    <s v="Bengaluru"/>
    <s v="Office Supplies"/>
    <x v="0"/>
    <s v="Labels"/>
    <x v="5"/>
    <s v="Basic Labels 509"/>
    <s v="Standard Class"/>
    <x v="3"/>
    <s v="OK"/>
    <n v="8"/>
    <n v="1287.6300000000001"/>
    <n v="0"/>
    <n v="0"/>
    <s v="OK"/>
    <n v="10301.040000000001"/>
    <n v="6564.06"/>
    <n v="3736.98"/>
    <n v="10301.040000000001"/>
    <n v="3736.9800000000005"/>
    <x v="532"/>
    <s v="Paid"/>
    <x v="0"/>
    <s v="OK"/>
    <s v="Completed"/>
    <x v="0"/>
    <s v="OK"/>
    <s v="INVALID"/>
    <s v="MATCH"/>
    <s v="MATCH"/>
  </r>
  <r>
    <x v="543"/>
    <n v="1"/>
    <d v="2025-04-11T00:00:00"/>
    <d v="2025-04-11T00:00:00"/>
    <x v="6"/>
    <x v="1"/>
    <s v="18 Jul 2025"/>
    <d v="2025-07-18T00:00:00"/>
    <n v="98"/>
    <s v="OK"/>
    <s v="CUST-6161"/>
    <s v="Mira Das"/>
    <s v="Mira Das"/>
    <s v="Small Business"/>
    <x v="1"/>
    <s v="West"/>
    <x v="3"/>
    <s v="OK"/>
    <s v="Goa"/>
    <s v="Goa"/>
    <s v="Panaji"/>
    <s v="Panaji"/>
    <s v="Office Supplies"/>
    <x v="0"/>
    <s v="Paper"/>
    <x v="0"/>
    <s v="Smart Paper 899"/>
    <s v="Standard Class"/>
    <x v="3"/>
    <s v="OK"/>
    <n v="4"/>
    <n v="4182.1499999999996"/>
    <n v="0.1"/>
    <n v="0.1"/>
    <s v="OK"/>
    <n v="15055.74"/>
    <n v="9808.83"/>
    <n v="5246.91"/>
    <n v="15055.74"/>
    <n v="5246.91"/>
    <x v="533"/>
    <s v="Paid"/>
    <x v="0"/>
    <s v="OK"/>
    <s v="Completed"/>
    <x v="0"/>
    <s v="OK"/>
    <s v="CLEAN"/>
    <s v="MATCH"/>
    <s v="MATCH"/>
  </r>
  <r>
    <x v="544"/>
    <n v="1"/>
    <d v="2025-07-30T00:00:00"/>
    <d v="2025-07-30T00:00:00"/>
    <x v="0"/>
    <x v="1"/>
    <s v="16 May 2024"/>
    <d v="2024-05-16T00:00:00"/>
    <n v="-440"/>
    <s v="INVALID_SHIPPING"/>
    <s v="CUST-1460"/>
    <s v="Sneha Kapoor"/>
    <s v="Sneha Kapoor"/>
    <s v="Small Business"/>
    <x v="1"/>
    <s v="South"/>
    <x v="2"/>
    <s v="OK"/>
    <s v="Tamil Nadu"/>
    <s v="Tamil Nadu"/>
    <s v="Chennai"/>
    <s v="Chennai"/>
    <s v="Office Supplies"/>
    <x v="0"/>
    <s v="Storage"/>
    <x v="7"/>
    <s v="Classic Storage 423"/>
    <s v="Same Day"/>
    <x v="1"/>
    <s v="OK"/>
    <n v="9"/>
    <n v="3165.43"/>
    <n v="0.1"/>
    <n v="0.1"/>
    <s v="OK"/>
    <n v="25639.98"/>
    <n v="21635.08"/>
    <n v="4004.9"/>
    <n v="25639.983"/>
    <n v="4004.9029999999984"/>
    <x v="534"/>
    <s v="Paid"/>
    <x v="0"/>
    <s v="OK"/>
    <s v="Completed"/>
    <x v="0"/>
    <s v="OK"/>
    <s v="INVALID"/>
    <s v="MATCH"/>
    <s v="MATCH"/>
  </r>
  <r>
    <x v="545"/>
    <n v="1"/>
    <d v="2025-09-02T00:00:00"/>
    <d v="2025-09-02T00:00:00"/>
    <x v="5"/>
    <x v="1"/>
    <s v="12-05-2024"/>
    <d v="2024-12-05T00:00:00"/>
    <n v="-271"/>
    <s v="INVALID_SHIPPING"/>
    <s v="CUST-2822"/>
    <s v="Mira Das"/>
    <s v="Mira Das"/>
    <s v="Home Office"/>
    <x v="3"/>
    <s v="West"/>
    <x v="3"/>
    <s v="OK"/>
    <s v="Madhya Pradesh"/>
    <s v="Madhya Pradesh"/>
    <s v="Indore"/>
    <s v="Indore"/>
    <s v="Technology"/>
    <x v="2"/>
    <s v="Phones"/>
    <x v="8"/>
    <s v="Smart Phones 336"/>
    <m/>
    <x v="4"/>
    <s v="MISSING_SHIP_MODE"/>
    <n v="8"/>
    <n v="1696.07"/>
    <n v="0.25"/>
    <n v="0.25"/>
    <s v="OK"/>
    <n v="10176.42"/>
    <n v="7604.47"/>
    <n v="2571.9499999999998"/>
    <n v="10176.42"/>
    <n v="2571.9499999999998"/>
    <x v="535"/>
    <s v="Paid"/>
    <x v="0"/>
    <s v="OK"/>
    <s v="Completed"/>
    <x v="0"/>
    <s v="OK"/>
    <s v="INVALID"/>
    <s v="MATCH"/>
    <s v="MATCH"/>
  </r>
  <r>
    <x v="546"/>
    <n v="1"/>
    <d v="2025-09-23T00:00:00"/>
    <d v="2025-09-23T00:00:00"/>
    <x v="5"/>
    <x v="1"/>
    <s v="14-11-2024"/>
    <d v="2024-11-14T00:00:00"/>
    <n v="-313"/>
    <s v="INVALID_SHIPPING"/>
    <s v="CUST-6971"/>
    <s v="Aditi Sen"/>
    <s v="Aditi Sen"/>
    <s v="Consumer"/>
    <x v="0"/>
    <s v="East"/>
    <x v="1"/>
    <s v="OK"/>
    <s v="Odisha"/>
    <s v="Odisha"/>
    <s v="Bhubaneswar"/>
    <s v="Bhubaneswar"/>
    <s v="Office Supplies"/>
    <x v="0"/>
    <s v="Labels"/>
    <x v="5"/>
    <s v="Prime Labels 559"/>
    <s v="Standard Class"/>
    <x v="3"/>
    <s v="OK"/>
    <n v="7"/>
    <n v="3280.31"/>
    <n v="0"/>
    <n v="0"/>
    <s v="OK"/>
    <n v="22962.17"/>
    <n v="15716.5"/>
    <n v="7245.67"/>
    <n v="22962.17"/>
    <n v="7245.6699999999983"/>
    <x v="536"/>
    <s v="Refunded"/>
    <x v="2"/>
    <s v="REFUNDED_PAYMENT"/>
    <s v="Returned"/>
    <x v="1"/>
    <s v="RETURNED_ORDER"/>
    <s v="INVALID"/>
    <s v="MATCH"/>
    <s v="MATCH"/>
  </r>
  <r>
    <x v="547"/>
    <n v="1"/>
    <d v="2025-01-26T00:00:00"/>
    <d v="2025-01-26T00:00:00"/>
    <x v="9"/>
    <x v="1"/>
    <s v="13-08-2025"/>
    <d v="2025-08-13T00:00:00"/>
    <n v="199"/>
    <s v="OK"/>
    <s v="CUST-8327"/>
    <s v="Karan Malhotra"/>
    <s v="Karan Malhotra"/>
    <s v="Corporate"/>
    <x v="2"/>
    <s v="West"/>
    <x v="3"/>
    <s v="OK"/>
    <s v="Rajasthan"/>
    <s v="Rajasthan"/>
    <s v="Udaipur"/>
    <s v="Udaipur"/>
    <s v="Furniture"/>
    <x v="1"/>
    <s v="Furnishings"/>
    <x v="3"/>
    <s v="Classic Furnishings 655"/>
    <s v="Same Day"/>
    <x v="1"/>
    <s v="OK"/>
    <n v="3"/>
    <n v="2859.32"/>
    <n v="0.1"/>
    <n v="0.1"/>
    <s v="OK"/>
    <n v="7720.16"/>
    <n v="5881"/>
    <n v="1839.16"/>
    <n v="7720.1640000000007"/>
    <n v="1839.1640000000007"/>
    <x v="537"/>
    <s v="Refunded"/>
    <x v="2"/>
    <s v="REFUNDED_PAYMENT"/>
    <s v="Returned"/>
    <x v="1"/>
    <s v="RETURNED_ORDER"/>
    <s v="CLEAN"/>
    <s v="MATCH"/>
    <s v="MATCH"/>
  </r>
  <r>
    <x v="548"/>
    <n v="1"/>
    <d v="2025-03-27T00:00:00"/>
    <d v="2025-03-27T00:00:00"/>
    <x v="10"/>
    <x v="1"/>
    <s v="2024-08-19"/>
    <d v="2024-08-19T00:00:00"/>
    <n v="-220"/>
    <s v="INVALID_SHIPPING"/>
    <s v="CUST-4058"/>
    <s v="Vikram Iyer"/>
    <s v="Vikram Iyer"/>
    <s v="Small Business"/>
    <x v="1"/>
    <s v="East"/>
    <x v="1"/>
    <s v="OK"/>
    <s v="Bihar"/>
    <s v="Bihar"/>
    <s v="Patna"/>
    <s v="Patna"/>
    <s v="Technology"/>
    <x v="2"/>
    <s v="Machines"/>
    <x v="12"/>
    <s v="Eco Machines 657"/>
    <s v="Second Class"/>
    <x v="0"/>
    <s v="OK"/>
    <n v="7"/>
    <n v="2305.37"/>
    <n v="0.25"/>
    <n v="0.25"/>
    <s v="OK"/>
    <n v="12103.19"/>
    <n v="6717.87"/>
    <n v="5385.32"/>
    <n v="12103.192500000001"/>
    <n v="5385.3225000000011"/>
    <x v="538"/>
    <s v="Paid"/>
    <x v="0"/>
    <s v="OK"/>
    <s v="Completed"/>
    <x v="0"/>
    <s v="OK"/>
    <s v="INVALID"/>
    <s v="MATCH"/>
    <s v="MATCH"/>
  </r>
  <r>
    <x v="549"/>
    <n v="1"/>
    <d v="2025-01-30T00:00:00"/>
    <d v="2025-01-30T00:00:00"/>
    <x v="9"/>
    <x v="1"/>
    <s v="10-02-2024"/>
    <d v="2024-10-02T00:00:00"/>
    <n v="-120"/>
    <s v="INVALID_SHIPPING"/>
    <s v="CUST-7717"/>
    <s v="Priya Menon"/>
    <s v="Priya Menon"/>
    <s v="Corporate"/>
    <x v="2"/>
    <s v="North"/>
    <x v="0"/>
    <s v="OK"/>
    <s v="Haryana"/>
    <s v="Haryana"/>
    <s v="Gurugram"/>
    <s v="Gurugram"/>
    <s v="Furniture"/>
    <x v="1"/>
    <s v="Chairs"/>
    <x v="10"/>
    <s v="Elite Chairs 998"/>
    <s v="Same Day"/>
    <x v="1"/>
    <s v="OK"/>
    <n v="9"/>
    <n v="4430.5"/>
    <n v="0.15"/>
    <n v="0.15"/>
    <s v="OK"/>
    <n v="33893.32"/>
    <n v="25750.35"/>
    <n v="8142.97"/>
    <n v="33893.324999999997"/>
    <n v="8142.9749999999985"/>
    <x v="539"/>
    <s v="Pending"/>
    <x v="1"/>
    <s v="OK"/>
    <s v="Cancelled"/>
    <x v="2"/>
    <s v="EXCLUDE_FROM_SALES"/>
    <s v="INVALID"/>
    <s v="MISMATCH"/>
    <s v="MISMATCH"/>
  </r>
  <r>
    <x v="550"/>
    <n v="1"/>
    <d v="2025-10-08T00:00:00"/>
    <d v="2025-10-08T00:00:00"/>
    <x v="7"/>
    <x v="1"/>
    <s v="24 Jan 2024"/>
    <d v="2024-01-24T00:00:00"/>
    <n v="-623"/>
    <s v="INVALID_SHIPPING"/>
    <s v="CUST-4932"/>
    <s v="Vikram Iyer"/>
    <s v="Vikram Iyer"/>
    <s v="Small Business"/>
    <x v="1"/>
    <s v="West"/>
    <x v="3"/>
    <s v="OK"/>
    <s v="Maharashtra"/>
    <s v="Maharashtra"/>
    <s v="Mumbai"/>
    <s v="Mumbai"/>
    <s v="Office Supplies"/>
    <x v="0"/>
    <s v="Paper"/>
    <x v="0"/>
    <s v="Max Paper 113"/>
    <s v="Second Class"/>
    <x v="0"/>
    <s v="OK"/>
    <n v="4"/>
    <n v="1260.42"/>
    <n v="0.05"/>
    <n v="0.05"/>
    <s v="OK"/>
    <n v="4789.6000000000004"/>
    <n v="4037.64"/>
    <n v="751.96"/>
    <n v="4789.5960000000005"/>
    <n v="751.95600000000059"/>
    <x v="540"/>
    <s v="Pending"/>
    <x v="1"/>
    <s v="OK"/>
    <s v="Cancelled"/>
    <x v="2"/>
    <s v="EXCLUDE_FROM_SALES"/>
    <s v="INVALID"/>
    <s v="MATCH"/>
    <s v="MATCH"/>
  </r>
  <r>
    <x v="551"/>
    <n v="1"/>
    <d v="2025-07-24T00:00:00"/>
    <d v="2025-07-24T00:00:00"/>
    <x v="0"/>
    <x v="1"/>
    <s v="2025-09-10"/>
    <d v="2025-09-10T00:00:00"/>
    <n v="48"/>
    <s v="OK"/>
    <s v="CUST-2367"/>
    <s v="Arjun Bose"/>
    <s v="Arjun Bose"/>
    <s v="Consumer"/>
    <x v="0"/>
    <s v="West"/>
    <x v="3"/>
    <s v="OK"/>
    <s v="Rajasthan"/>
    <s v="Rajasthan"/>
    <s v="Udaipur"/>
    <s v="Udaipur"/>
    <s v="Office Supplies"/>
    <x v="0"/>
    <s v="Binders"/>
    <x v="11"/>
    <s v="Smart Binders 267"/>
    <s v="Standard Class"/>
    <x v="3"/>
    <s v="OK"/>
    <n v="1"/>
    <n v="1643.41"/>
    <n v="0"/>
    <n v="0"/>
    <s v="OK"/>
    <n v="1643.41"/>
    <n v="907.4"/>
    <n v="736.01"/>
    <n v="1643.41"/>
    <n v="736.0100000000001"/>
    <x v="541"/>
    <s v="Pending"/>
    <x v="1"/>
    <s v="OK"/>
    <s v="Cancelled"/>
    <x v="2"/>
    <s v="EXCLUDE_FROM_SALES"/>
    <s v="CLEAN"/>
    <s v="MATCH"/>
    <s v="MATCH"/>
  </r>
  <r>
    <x v="552"/>
    <n v="1"/>
    <d v="2025-09-21T00:00:00"/>
    <d v="2025-09-21T00:00:00"/>
    <x v="5"/>
    <x v="1"/>
    <s v="08/22/2025"/>
    <d v="2025-08-22T00:00:00"/>
    <n v="-30"/>
    <s v="INVALID_SHIPPING"/>
    <s v="CUST-2548"/>
    <s v="Rohan Mehta"/>
    <s v="Rohan Mehta"/>
    <s v="Home Office"/>
    <x v="3"/>
    <s v="West"/>
    <x v="3"/>
    <s v="OK"/>
    <s v="Gujarat"/>
    <s v="Gujarat"/>
    <s v="Ahmedabad"/>
    <s v="Ahmedabad"/>
    <s v="Furniture"/>
    <x v="1"/>
    <s v="Tables"/>
    <x v="1"/>
    <s v="Elite Tables 389"/>
    <m/>
    <x v="4"/>
    <s v="MISSING_SHIP_MODE"/>
    <n v="6"/>
    <n v="2903.58"/>
    <n v="0.1"/>
    <n v="0.1"/>
    <s v="OK"/>
    <n v="15679.33"/>
    <n v="12477.82"/>
    <n v="3201.51"/>
    <n v="15679.332"/>
    <n v="3201.5120000000006"/>
    <x v="542"/>
    <s v="Pending"/>
    <x v="1"/>
    <s v="OK"/>
    <s v="Returned"/>
    <x v="1"/>
    <s v="RETURNED_ORDER"/>
    <s v="INVALID"/>
    <s v="MATCH"/>
    <s v="MATCH"/>
  </r>
  <r>
    <x v="553"/>
    <n v="1"/>
    <d v="2025-09-09T00:00:00"/>
    <d v="2025-09-09T00:00:00"/>
    <x v="5"/>
    <x v="1"/>
    <s v="2025-02-14"/>
    <d v="2025-02-14T00:00:00"/>
    <n v="-207"/>
    <s v="INVALID_SHIPPING"/>
    <s v="CUST-3833"/>
    <s v="Rahul Verma"/>
    <s v="Rahul Verma"/>
    <s v="Small Business"/>
    <x v="1"/>
    <s v="East"/>
    <x v="1"/>
    <s v="OK"/>
    <s v="West Bengal"/>
    <s v="West Bengal"/>
    <s v="Kolkata"/>
    <s v="Kolkata"/>
    <s v="Furniture"/>
    <x v="1"/>
    <s v="Bookcases"/>
    <x v="9"/>
    <s v="Pro Bookcases 595"/>
    <s v="Second Class"/>
    <x v="0"/>
    <s v="OK"/>
    <n v="1"/>
    <n v="3154.42"/>
    <n v="0.25"/>
    <n v="0.25"/>
    <s v="OK"/>
    <n v="2365.8200000000002"/>
    <n v="1547.99"/>
    <n v="817.83"/>
    <n v="2365.8150000000001"/>
    <n v="817.82500000000005"/>
    <x v="543"/>
    <s v="Paid"/>
    <x v="0"/>
    <s v="OK"/>
    <s v="Completed"/>
    <x v="0"/>
    <s v="OK"/>
    <s v="INVALID"/>
    <s v="MATCH"/>
    <s v="MATCH"/>
  </r>
  <r>
    <x v="554"/>
    <n v="1"/>
    <d v="2025-02-20T00:00:00"/>
    <d v="2025-02-20T00:00:00"/>
    <x v="11"/>
    <x v="1"/>
    <s v="09-01-2024"/>
    <d v="2024-09-01T00:00:00"/>
    <n v="-172"/>
    <s v="INVALID_SHIPPING"/>
    <s v="CUST-7215"/>
    <s v="Karan Malhotra"/>
    <s v="Karan Malhotra"/>
    <s v="Small Business"/>
    <x v="1"/>
    <s v="West"/>
    <x v="3"/>
    <s v="OK"/>
    <s v="Gujarat"/>
    <s v="Gujarat"/>
    <s v="Ahmedabad"/>
    <s v="Ahmedabad"/>
    <s v="Office Supplies"/>
    <x v="0"/>
    <s v="Labels"/>
    <x v="5"/>
    <s v="Basic Labels 671"/>
    <s v="First Class"/>
    <x v="2"/>
    <s v="OK"/>
    <n v="1"/>
    <n v="2557.85"/>
    <n v="0.2"/>
    <n v="0.2"/>
    <s v="OK"/>
    <n v="2046.28"/>
    <n v="1449.54"/>
    <n v="596.74"/>
    <n v="2046.28"/>
    <n v="596.74"/>
    <x v="544"/>
    <s v="Paid"/>
    <x v="0"/>
    <s v="OK"/>
    <s v="Completed"/>
    <x v="0"/>
    <s v="OK"/>
    <s v="INVALID"/>
    <s v="MATCH"/>
    <s v="MATCH"/>
  </r>
  <r>
    <x v="555"/>
    <n v="1"/>
    <d v="2025-08-18T00:00:00"/>
    <d v="2025-08-18T00:00:00"/>
    <x v="1"/>
    <x v="1"/>
    <s v="09/26/2025"/>
    <d v="2025-09-26T00:00:00"/>
    <n v="39"/>
    <s v="OK"/>
    <s v="CUST-7770"/>
    <s v="Arjun Bose"/>
    <s v="Arjun Bose"/>
    <s v="Home Office"/>
    <x v="3"/>
    <s v="South"/>
    <x v="2"/>
    <s v="OK"/>
    <s v="Karnataka"/>
    <s v="Karnataka"/>
    <s v="Bengaluru"/>
    <s v="Bengaluru"/>
    <s v="Office Supplies"/>
    <x v="0"/>
    <s v="Storage"/>
    <x v="7"/>
    <s v="Elite Storage 628"/>
    <s v="First Class"/>
    <x v="2"/>
    <s v="OK"/>
    <n v="9"/>
    <n v="3030.93"/>
    <n v="0.15"/>
    <n v="0.15"/>
    <s v="OK"/>
    <n v="23186.61"/>
    <n v="17906.54"/>
    <n v="5280.07"/>
    <n v="23186.6145"/>
    <n v="5280.0744999999988"/>
    <x v="545"/>
    <s v="Paid"/>
    <x v="0"/>
    <s v="OK"/>
    <s v="Returned"/>
    <x v="1"/>
    <s v="RETURNED_ORDER"/>
    <s v="CLEAN"/>
    <s v="MATCH"/>
    <s v="MATCH"/>
  </r>
  <r>
    <x v="556"/>
    <n v="1"/>
    <d v="2025-01-20T00:00:00"/>
    <d v="2025-01-20T00:00:00"/>
    <x v="9"/>
    <x v="1"/>
    <s v="25-02-2024"/>
    <d v="2024-02-25T00:00:00"/>
    <n v="-330"/>
    <s v="INVALID_SHIPPING"/>
    <s v="CUST-9756"/>
    <s v="Kabir Singh"/>
    <s v="Kabir Singh"/>
    <s v="Consumer"/>
    <x v="0"/>
    <s v="West"/>
    <x v="3"/>
    <s v="OK"/>
    <s v="Maharashtra"/>
    <s v="Maharashtra"/>
    <s v="Mumbai"/>
    <s v="Mumbai"/>
    <s v="Technology"/>
    <x v="2"/>
    <s v="Accessories"/>
    <x v="4"/>
    <s v="Eco Accessories 590"/>
    <s v="Same Day"/>
    <x v="1"/>
    <s v="OK"/>
    <n v="5"/>
    <n v="639.27"/>
    <n v="0.2"/>
    <n v="0.2"/>
    <s v="OK"/>
    <n v="2557.08"/>
    <n v="2025.69"/>
    <n v="531.39"/>
    <n v="2557.08"/>
    <n v="531.38999999999987"/>
    <x v="546"/>
    <s v="Paid"/>
    <x v="0"/>
    <s v="OK"/>
    <s v="Cancelled"/>
    <x v="2"/>
    <s v="EXCLUDE_FROM_SALES"/>
    <s v="INVALID"/>
    <s v="MATCH"/>
    <s v="MATCH"/>
  </r>
  <r>
    <x v="557"/>
    <n v="1"/>
    <d v="2025-09-13T00:00:00"/>
    <d v="2025-09-13T00:00:00"/>
    <x v="5"/>
    <x v="1"/>
    <s v="14 Mar 2025"/>
    <d v="2025-03-14T00:00:00"/>
    <n v="-183"/>
    <s v="INVALID_SHIPPING"/>
    <s v="CUST-2261"/>
    <s v="Diya Patel"/>
    <s v="Diya Patel"/>
    <s v="Consumer"/>
    <x v="0"/>
    <s v="East"/>
    <x v="1"/>
    <s v="OK"/>
    <s v="Assam"/>
    <s v="Assam"/>
    <s v="Guwahati"/>
    <s v="Guwahati"/>
    <s v="Office Supplies"/>
    <x v="0"/>
    <s v="Art"/>
    <x v="2"/>
    <s v="Pro Art 734"/>
    <s v="Standard Class"/>
    <x v="3"/>
    <s v="OK"/>
    <n v="8"/>
    <n v="733.9"/>
    <n v="0.05"/>
    <n v="0.05"/>
    <s v="OK"/>
    <n v="5577.64"/>
    <n v="3541.29"/>
    <n v="2036.35"/>
    <n v="5577.6399999999994"/>
    <n v="2036.3499999999995"/>
    <x v="547"/>
    <s v="Pending"/>
    <x v="1"/>
    <s v="OK"/>
    <s v="Returned"/>
    <x v="1"/>
    <s v="RETURNED_ORDER"/>
    <s v="INVALID"/>
    <s v="MATCH"/>
    <s v="MATCH"/>
  </r>
  <r>
    <x v="558"/>
    <n v="2"/>
    <d v="2025-09-07T00:00:00"/>
    <d v="2025-09-07T00:00:00"/>
    <x v="5"/>
    <x v="1"/>
    <s v="02/23/2024"/>
    <d v="2024-02-23T00:00:00"/>
    <n v="-562"/>
    <s v="INVALID_SHIPPING"/>
    <s v="CUST-3734"/>
    <s v="Rohan Mehta"/>
    <s v="Rohan Mehta"/>
    <s v="Corporate"/>
    <x v="2"/>
    <s v="East"/>
    <x v="1"/>
    <s v="OK"/>
    <s v="Bihar"/>
    <s v="Bihar"/>
    <s v="Patna"/>
    <s v="Patna"/>
    <s v="Technology"/>
    <x v="2"/>
    <s v="Copiers"/>
    <x v="6"/>
    <s v="Eco Copiers 102"/>
    <s v="Standard Class"/>
    <x v="3"/>
    <s v="OK"/>
    <n v="3"/>
    <n v="1711.32"/>
    <n v="0"/>
    <n v="0"/>
    <s v="OK"/>
    <n v="5133.96"/>
    <n v="3930"/>
    <n v="1203.96"/>
    <n v="5133.96"/>
    <n v="1203.96"/>
    <x v="548"/>
    <s v="Paid"/>
    <x v="0"/>
    <s v="OK"/>
    <s v="Completed"/>
    <x v="0"/>
    <s v="OK"/>
    <s v="INVALID"/>
    <s v="MATCH"/>
    <s v="MATCH"/>
  </r>
  <r>
    <x v="558"/>
    <n v="2"/>
    <d v="2025-09-07T00:00:00"/>
    <d v="2025-09-07T00:00:00"/>
    <x v="5"/>
    <x v="1"/>
    <s v="2025-09-03"/>
    <d v="2025-09-03T00:00:00"/>
    <n v="-4"/>
    <s v="INVALID_SHIPPING"/>
    <s v="CUST-3734"/>
    <s v="Rohan Mehta"/>
    <s v="Rohan Mehta"/>
    <s v="Corporate"/>
    <x v="2"/>
    <s v="East"/>
    <x v="1"/>
    <s v="OK"/>
    <s v="Bihar"/>
    <s v="Bihar"/>
    <s v="Patna"/>
    <s v="Patna"/>
    <s v="Technology"/>
    <x v="2"/>
    <s v="Copiers"/>
    <x v="6"/>
    <s v="Eco Copiers 102"/>
    <s v="Standard Class"/>
    <x v="3"/>
    <s v="OK"/>
    <n v="3"/>
    <n v="1711.32"/>
    <n v="0"/>
    <n v="0"/>
    <s v="OK"/>
    <n v="5206.53"/>
    <n v="3930"/>
    <n v="1203.96"/>
    <n v="5133.96"/>
    <n v="1203.96"/>
    <x v="548"/>
    <s v="Paid"/>
    <x v="0"/>
    <s v="OK"/>
    <s v="Returned"/>
    <x v="1"/>
    <s v="RETURNED_ORDER"/>
    <s v="INVALID"/>
    <s v="MISMATCH"/>
    <s v="MATCH"/>
  </r>
  <r>
    <x v="559"/>
    <n v="1"/>
    <d v="2025-02-23T00:00:00"/>
    <d v="2025-02-23T00:00:00"/>
    <x v="11"/>
    <x v="1"/>
    <s v="23-02-2024"/>
    <d v="2024-02-23T00:00:00"/>
    <n v="-366"/>
    <s v="INVALID_SHIPPING"/>
    <s v="CUST-3436"/>
    <s v="Karan Malhotra"/>
    <s v="Karan Malhotra"/>
    <s v="Corporate"/>
    <x v="2"/>
    <s v="East"/>
    <x v="1"/>
    <s v="OK"/>
    <s v="Bihar"/>
    <s v="Bihar"/>
    <s v="Patna"/>
    <s v="Patna"/>
    <s v="Office Supplies"/>
    <x v="0"/>
    <s v="Labels"/>
    <x v="5"/>
    <s v="Basic Labels 876"/>
    <s v="Same Day"/>
    <x v="1"/>
    <s v="OK"/>
    <n v="5"/>
    <n v="4246.2700000000004"/>
    <n v="0.25"/>
    <n v="0.25"/>
    <s v="OK"/>
    <n v="15923.51"/>
    <n v="11291.8"/>
    <n v="4631.71"/>
    <n v="15923.512500000001"/>
    <n v="4631.7125000000015"/>
    <x v="549"/>
    <s v="Paid"/>
    <x v="0"/>
    <s v="OK"/>
    <s v="Completed"/>
    <x v="0"/>
    <s v="OK"/>
    <s v="INVALID"/>
    <s v="MATCH"/>
    <s v="MATCH"/>
  </r>
  <r>
    <x v="560"/>
    <n v="1"/>
    <d v="2025-08-02T00:00:00"/>
    <d v="2025-08-02T00:00:00"/>
    <x v="1"/>
    <x v="1"/>
    <s v="24 Jun 2024"/>
    <d v="2024-06-24T00:00:00"/>
    <n v="-404"/>
    <s v="INVALID_SHIPPING"/>
    <s v="CUST-4845"/>
    <s v="Karan Malhotra"/>
    <s v="Karan Malhotra"/>
    <s v="Corporate"/>
    <x v="2"/>
    <s v="North"/>
    <x v="0"/>
    <s v="OK"/>
    <s v="Delhi"/>
    <s v="Delhi"/>
    <s v="New Delhi"/>
    <s v="New Delhi"/>
    <s v="Furniture"/>
    <x v="1"/>
    <s v="Furnishings"/>
    <x v="3"/>
    <s v="Prime Furnishings 381"/>
    <s v="Same Day"/>
    <x v="1"/>
    <s v="OK"/>
    <n v="9"/>
    <n v="2962.62"/>
    <n v="0.1"/>
    <n v="0.1"/>
    <s v="OK"/>
    <n v="23997.22"/>
    <n v="16134.63"/>
    <n v="7862.59"/>
    <n v="23997.221999999998"/>
    <n v="7862.5919999999987"/>
    <x v="550"/>
    <s v="Refunded"/>
    <x v="2"/>
    <s v="REFUNDED_PAYMENT"/>
    <s v="Returned"/>
    <x v="1"/>
    <s v="RETURNED_ORDER"/>
    <s v="INVALID"/>
    <s v="MATCH"/>
    <s v="MATCH"/>
  </r>
  <r>
    <x v="561"/>
    <n v="1"/>
    <d v="2025-09-28T00:00:00"/>
    <d v="2025-09-28T00:00:00"/>
    <x v="5"/>
    <x v="1"/>
    <s v="03/13/2025"/>
    <d v="2025-03-13T00:00:00"/>
    <n v="-199"/>
    <s v="INVALID_SHIPPING"/>
    <s v="CUST-5475"/>
    <s v="Karan Malhotra"/>
    <s v="Karan Malhotra"/>
    <s v="Small Business"/>
    <x v="1"/>
    <s v="South"/>
    <x v="2"/>
    <s v="OK"/>
    <s v="Karnataka"/>
    <s v="Karnataka"/>
    <s v="Bengaluru"/>
    <s v="Bengaluru"/>
    <s v="Furniture"/>
    <x v="1"/>
    <s v="Bookcases"/>
    <x v="9"/>
    <s v="Pro Bookcases 319"/>
    <s v="First Class"/>
    <x v="2"/>
    <s v="OK"/>
    <n v="6"/>
    <n v="1620.53"/>
    <n v="0.15"/>
    <n v="0.15"/>
    <s v="OK"/>
    <n v="8264.7000000000007"/>
    <n v="4768.75"/>
    <n v="3495.95"/>
    <n v="8264.7029999999995"/>
    <n v="3495.9529999999995"/>
    <x v="551"/>
    <s v="Pending"/>
    <x v="1"/>
    <s v="OK"/>
    <s v="Returned"/>
    <x v="1"/>
    <s v="RETURNED_ORDER"/>
    <s v="INVALID"/>
    <s v="MATCH"/>
    <s v="MATCH"/>
  </r>
  <r>
    <x v="562"/>
    <n v="1"/>
    <d v="2025-03-18T00:00:00"/>
    <d v="2025-03-18T00:00:00"/>
    <x v="10"/>
    <x v="1"/>
    <s v="08/10/2025"/>
    <d v="2025-08-10T00:00:00"/>
    <n v="145"/>
    <s v="OK"/>
    <s v="CUST-3027"/>
    <s v="Vikram Iyer"/>
    <s v="Vikram Iyer"/>
    <s v="Corporate"/>
    <x v="2"/>
    <s v="East"/>
    <x v="1"/>
    <s v="OK"/>
    <s v="Jharkhand"/>
    <s v="Jharkhand"/>
    <s v="Ranchi"/>
    <s v="Ranchi"/>
    <s v="Furniture"/>
    <x v="1"/>
    <s v="Bookcases"/>
    <x v="9"/>
    <s v="Pro Bookcases 612"/>
    <s v="Standard Class"/>
    <x v="3"/>
    <s v="OK"/>
    <n v="8"/>
    <n v="3563.09"/>
    <n v="0.15"/>
    <n v="0.15"/>
    <s v="OK"/>
    <n v="24229.01"/>
    <n v="13910.64"/>
    <n v="10318.370000000001"/>
    <n v="24229.011999999999"/>
    <n v="10318.371999999999"/>
    <x v="552"/>
    <s v="Paid"/>
    <x v="0"/>
    <s v="OK"/>
    <s v="Completed"/>
    <x v="0"/>
    <s v="OK"/>
    <s v="CLEAN"/>
    <s v="MATCH"/>
    <s v="MATCH"/>
  </r>
  <r>
    <x v="563"/>
    <n v="1"/>
    <d v="2025-09-09T00:00:00"/>
    <d v="2025-09-09T00:00:00"/>
    <x v="5"/>
    <x v="1"/>
    <s v="10/20/2024"/>
    <d v="2024-10-20T00:00:00"/>
    <n v="-324"/>
    <s v="INVALID_SHIPPING"/>
    <s v="CUST-5119"/>
    <s v="Priya Menon"/>
    <s v="Priya Menon"/>
    <s v="Home Office"/>
    <x v="3"/>
    <s v="South"/>
    <x v="2"/>
    <s v="OK"/>
    <s v="Tamil Nadu"/>
    <s v="Tamil Nadu"/>
    <s v="Chennai"/>
    <s v="Chennai"/>
    <s v="Office Supplies"/>
    <x v="0"/>
    <s v="Art"/>
    <x v="2"/>
    <s v="Pro Art 587"/>
    <s v="Second Class"/>
    <x v="0"/>
    <s v="OK"/>
    <n v="4"/>
    <n v="2551.4499999999998"/>
    <n v="0"/>
    <n v="0"/>
    <s v="OK"/>
    <n v="10205.799999999999"/>
    <n v="5986.31"/>
    <n v="4219.49"/>
    <n v="10205.799999999999"/>
    <n v="4219.4899999999989"/>
    <x v="553"/>
    <s v="Paid"/>
    <x v="0"/>
    <s v="OK"/>
    <s v="Completed"/>
    <x v="0"/>
    <s v="OK"/>
    <s v="INVALID"/>
    <s v="MATCH"/>
    <s v="MATCH"/>
  </r>
  <r>
    <x v="564"/>
    <n v="1"/>
    <d v="2025-06-24T00:00:00"/>
    <d v="2025-06-24T00:00:00"/>
    <x v="8"/>
    <x v="1"/>
    <s v="02/28/2024"/>
    <d v="2024-02-28T00:00:00"/>
    <n v="-482"/>
    <s v="INVALID_SHIPPING"/>
    <s v="CUST-3366"/>
    <s v="Vikram Iyer"/>
    <s v="Vikram Iyer"/>
    <s v="Home Office"/>
    <x v="3"/>
    <s v="South"/>
    <x v="2"/>
    <s v="OK"/>
    <s v="Telangana"/>
    <s v="Telangana"/>
    <s v="Hyderabad"/>
    <s v="Hyderabad"/>
    <s v="Technology"/>
    <x v="2"/>
    <s v="Copiers"/>
    <x v="6"/>
    <s v="Elite Copiers 788"/>
    <s v="Standard Class"/>
    <x v="3"/>
    <s v="OK"/>
    <n v="7"/>
    <n v="2304.86"/>
    <n v="0.2"/>
    <n v="0.2"/>
    <s v="OK"/>
    <n v="12907.22"/>
    <n v="8327.89"/>
    <n v="4579.33"/>
    <n v="12907.216"/>
    <n v="4579.3260000000009"/>
    <x v="554"/>
    <s v="Paid"/>
    <x v="0"/>
    <s v="OK"/>
    <s v="Returned"/>
    <x v="1"/>
    <s v="RETURNED_ORDER"/>
    <s v="INVALID"/>
    <s v="MATCH"/>
    <s v="MATCH"/>
  </r>
  <r>
    <x v="565"/>
    <n v="1"/>
    <d v="2025-01-05T00:00:00"/>
    <d v="2025-01-05T00:00:00"/>
    <x v="9"/>
    <x v="1"/>
    <s v="10-08-2024"/>
    <d v="2024-10-08T00:00:00"/>
    <n v="-89"/>
    <s v="INVALID_SHIPPING"/>
    <s v="CUST-3109"/>
    <s v="Mira Das"/>
    <s v="Mira Das"/>
    <s v="Consumer"/>
    <x v="0"/>
    <s v="West"/>
    <x v="3"/>
    <s v="OK"/>
    <s v="Madhya Pradesh"/>
    <s v="Madhya Pradesh"/>
    <s v="Indore"/>
    <s v="Indore"/>
    <s v="Furniture"/>
    <x v="1"/>
    <s v="Chairs"/>
    <x v="10"/>
    <s v="Pro Chairs 844"/>
    <s v="Same Day"/>
    <x v="1"/>
    <s v="OK"/>
    <n v="3"/>
    <n v="2905.74"/>
    <n v="0"/>
    <n v="0"/>
    <s v="OK"/>
    <n v="8717.2199999999993"/>
    <n v="6215.96"/>
    <n v="2501.2600000000002"/>
    <n v="8717.2199999999993"/>
    <n v="2501.2599999999993"/>
    <x v="555"/>
    <s v="Paid"/>
    <x v="0"/>
    <s v="OK"/>
    <s v="Returned"/>
    <x v="1"/>
    <s v="RETURNED_ORDER"/>
    <s v="INVALID"/>
    <s v="MATCH"/>
    <s v="MATCH"/>
  </r>
  <r>
    <x v="566"/>
    <n v="1"/>
    <d v="2025-05-21T00:00:00"/>
    <d v="2025-05-21T00:00:00"/>
    <x v="3"/>
    <x v="1"/>
    <s v="2025-06-25"/>
    <d v="2025-06-25T00:00:00"/>
    <n v="35"/>
    <s v="OK"/>
    <s v="CUST-3422"/>
    <s v="Priya Menon"/>
    <s v="Priya Menon"/>
    <s v="Corporate"/>
    <x v="2"/>
    <s v="East"/>
    <x v="1"/>
    <s v="OK"/>
    <s v="West Bengal"/>
    <s v="West Bengal"/>
    <s v="Kolkata"/>
    <s v="Kolkata"/>
    <s v="Furniture"/>
    <x v="1"/>
    <s v="Bookcases"/>
    <x v="9"/>
    <s v="Elite Bookcases 883"/>
    <s v="Same Day"/>
    <x v="1"/>
    <s v="OK"/>
    <n v="2"/>
    <n v="3559.57"/>
    <n v="0.1"/>
    <n v="0.1"/>
    <s v="OK"/>
    <n v="6553.95"/>
    <n v="4923.09"/>
    <n v="1484.14"/>
    <n v="6407.2260000000006"/>
    <n v="1484.1360000000004"/>
    <x v="556"/>
    <s v="Paid"/>
    <x v="0"/>
    <s v="OK"/>
    <s v="Completed"/>
    <x v="0"/>
    <s v="OK"/>
    <s v="CLEAN"/>
    <s v="MISMATCH"/>
    <s v="MATCH"/>
  </r>
  <r>
    <x v="567"/>
    <n v="1"/>
    <d v="2025-06-05T00:00:00"/>
    <d v="2025-06-05T00:00:00"/>
    <x v="8"/>
    <x v="1"/>
    <s v="12 Apr 2025"/>
    <d v="2025-04-12T00:00:00"/>
    <n v="-54"/>
    <s v="INVALID_SHIPPING"/>
    <s v="CUST-3375"/>
    <s v="Arjun Bose"/>
    <s v="Arjun Bose"/>
    <s v="Consumer"/>
    <x v="0"/>
    <s v="West"/>
    <x v="3"/>
    <s v="OK"/>
    <s v="Rajasthan"/>
    <s v="Rajasthan"/>
    <s v="Udaipur"/>
    <s v="Udaipur"/>
    <s v="Furniture"/>
    <x v="1"/>
    <s v="Bookcases"/>
    <x v="9"/>
    <s v="Basic Bookcases 754"/>
    <s v="First Class"/>
    <x v="2"/>
    <s v="OK"/>
    <n v="9"/>
    <n v="3318.24"/>
    <m/>
    <n v="0"/>
    <s v="Missing Discount"/>
    <n v="25384.54"/>
    <n v="16872.39"/>
    <n v="8512.15"/>
    <n v="29864.159999999996"/>
    <n v="12991.769999999997"/>
    <x v="557"/>
    <s v="Paid"/>
    <x v="0"/>
    <s v="OK"/>
    <s v="Completed"/>
    <x v="0"/>
    <s v="OK"/>
    <s v="INVALID"/>
    <s v="MISMATCH"/>
    <s v="MISMATCH"/>
  </r>
  <r>
    <x v="568"/>
    <n v="1"/>
    <d v="2025-04-20T00:00:00"/>
    <d v="2025-04-20T00:00:00"/>
    <x v="6"/>
    <x v="1"/>
    <s v="2025-07-31"/>
    <d v="2025-07-31T00:00:00"/>
    <n v="102"/>
    <s v="OK"/>
    <s v="CUST-5138"/>
    <s v="Aditi Sen"/>
    <s v="Aditi Sen"/>
    <s v="Consumer"/>
    <x v="0"/>
    <s v="South"/>
    <x v="2"/>
    <s v="OK"/>
    <s v="Tamil Nadu"/>
    <s v="Tamil Nadu"/>
    <s v="Chennai"/>
    <s v="Chennai"/>
    <s v="Office Supplies"/>
    <x v="0"/>
    <s v="Storage"/>
    <x v="7"/>
    <s v="Eco Storage 158"/>
    <s v="First Class"/>
    <x v="2"/>
    <s v="OK"/>
    <n v="3"/>
    <n v="540.09"/>
    <n v="0.1"/>
    <n v="0.1"/>
    <s v="OK"/>
    <n v="1458.24"/>
    <n v="943.32"/>
    <n v="514.91999999999996"/>
    <n v="1458.2429999999999"/>
    <n v="514.92299999999989"/>
    <x v="558"/>
    <s v="Paid"/>
    <x v="0"/>
    <s v="OK"/>
    <s v="Completed"/>
    <x v="0"/>
    <s v="OK"/>
    <s v="CLEAN"/>
    <s v="MATCH"/>
    <s v="MATCH"/>
  </r>
  <r>
    <x v="569"/>
    <n v="1"/>
    <d v="2025-01-28T00:00:00"/>
    <d v="2025-01-28T00:00:00"/>
    <x v="9"/>
    <x v="1"/>
    <s v="15 Mar 2025"/>
    <d v="2025-03-15T00:00:00"/>
    <n v="46"/>
    <s v="OK"/>
    <s v="CUST-3637"/>
    <s v="Priya Menon"/>
    <s v="Priya Menon"/>
    <s v="Consumer"/>
    <x v="0"/>
    <s v="West"/>
    <x v="3"/>
    <s v="OK"/>
    <s v="Maharashtra"/>
    <s v="Maharashtra"/>
    <s v="Mumbai"/>
    <s v="Mumbai"/>
    <s v="Furniture"/>
    <x v="1"/>
    <s v="Furnishings"/>
    <x v="3"/>
    <s v="Prime Furnishings 433"/>
    <s v="First Class"/>
    <x v="2"/>
    <s v="OK"/>
    <n v="9"/>
    <n v="858.39"/>
    <n v="0.05"/>
    <n v="0.05"/>
    <s v="OK"/>
    <n v="7339.23"/>
    <n v="5434.12"/>
    <n v="1905.11"/>
    <n v="7339.2344999999996"/>
    <n v="1905.1144999999997"/>
    <x v="559"/>
    <s v="Pending"/>
    <x v="1"/>
    <s v="OK"/>
    <s v="Returned"/>
    <x v="1"/>
    <s v="RETURNED_ORDER"/>
    <s v="CLEAN"/>
    <s v="MATCH"/>
    <s v="MATCH"/>
  </r>
  <r>
    <x v="570"/>
    <n v="1"/>
    <d v="2025-07-22T00:00:00"/>
    <d v="2025-07-22T00:00:00"/>
    <x v="0"/>
    <x v="1"/>
    <s v="12/12/2024"/>
    <d v="2024-12-12T00:00:00"/>
    <n v="-222"/>
    <s v="INVALID_SHIPPING"/>
    <s v="CUST-4328"/>
    <s v="Neha Gupta"/>
    <s v="Neha Gupta"/>
    <s v="Home Office"/>
    <x v="3"/>
    <s v="South"/>
    <x v="2"/>
    <s v="OK"/>
    <s v="Andhra Pradesh"/>
    <s v="Andhra Pradesh"/>
    <s v="Vijayawada"/>
    <s v="Vijayawada"/>
    <s v="Furniture"/>
    <x v="1"/>
    <s v="Furnishings"/>
    <x v="3"/>
    <s v="Smart Furnishings 685"/>
    <s v="Same Day"/>
    <x v="1"/>
    <s v="OK"/>
    <n v="5"/>
    <n v="1922.83"/>
    <n v="0"/>
    <n v="0"/>
    <s v="OK"/>
    <n v="9614.15"/>
    <n v="7576.84"/>
    <n v="2037.31"/>
    <n v="9614.15"/>
    <n v="2037.3099999999995"/>
    <x v="560"/>
    <s v="Paid"/>
    <x v="0"/>
    <s v="OK"/>
    <s v="Completed"/>
    <x v="0"/>
    <s v="OK"/>
    <s v="INVALID"/>
    <s v="MATCH"/>
    <s v="MATCH"/>
  </r>
  <r>
    <x v="571"/>
    <n v="1"/>
    <d v="2025-03-31T00:00:00"/>
    <d v="2025-03-31T00:00:00"/>
    <x v="10"/>
    <x v="1"/>
    <s v="2024-05-29"/>
    <d v="2024-05-29T00:00:00"/>
    <n v="-306"/>
    <s v="INVALID_SHIPPING"/>
    <s v="CUST-6106"/>
    <s v="Rahul Verma"/>
    <s v="Rahul Verma"/>
    <s v="Small  Business"/>
    <x v="1"/>
    <s v="East"/>
    <x v="1"/>
    <s v="OK"/>
    <s v="Bihar"/>
    <s v="Bihar"/>
    <s v="Patna"/>
    <s v="Patna"/>
    <s v="Office Supplies"/>
    <x v="0"/>
    <s v="Storage"/>
    <x v="7"/>
    <s v="Basic Storage 961"/>
    <s v="Second Class"/>
    <x v="0"/>
    <s v="OK"/>
    <n v="5"/>
    <n v="4096.4399999999996"/>
    <n v="0.15"/>
    <n v="0.15"/>
    <s v="OK"/>
    <n v="17409.87"/>
    <n v="14076.25"/>
    <n v="3333.62"/>
    <n v="17409.869999999995"/>
    <n v="3333.6199999999953"/>
    <x v="561"/>
    <s v="Paid"/>
    <x v="0"/>
    <s v="OK"/>
    <s v="Completed"/>
    <x v="0"/>
    <s v="OK"/>
    <s v="INVALID"/>
    <s v="MATCH"/>
    <s v="MATCH"/>
  </r>
  <r>
    <x v="572"/>
    <n v="1"/>
    <d v="2025-06-27T00:00:00"/>
    <d v="2025-06-27T00:00:00"/>
    <x v="8"/>
    <x v="1"/>
    <s v="24-02-2024"/>
    <d v="2024-02-24T00:00:00"/>
    <n v="-489"/>
    <s v="INVALID_SHIPPING"/>
    <s v="CUST-7047"/>
    <s v="Priya Menon"/>
    <s v="Priya Menon"/>
    <s v="Small Business"/>
    <x v="1"/>
    <s v="North"/>
    <x v="0"/>
    <s v="OK"/>
    <s v="Rajasthan"/>
    <s v="Rajasthan"/>
    <s v="Jaipur"/>
    <s v="Jaipur"/>
    <s v="Technology"/>
    <x v="2"/>
    <s v="Copiers"/>
    <x v="6"/>
    <s v="Classic Copiers 479"/>
    <s v="First Class"/>
    <x v="2"/>
    <s v="OK"/>
    <n v="5"/>
    <n v="2868.44"/>
    <n v="0.1"/>
    <n v="0.1"/>
    <s v="OK"/>
    <n v="12907.98"/>
    <n v="9197.08"/>
    <n v="3710.9"/>
    <n v="12907.980000000001"/>
    <n v="3710.9000000000015"/>
    <x v="562"/>
    <s v="Pending"/>
    <x v="1"/>
    <s v="OK"/>
    <s v="Cancelled"/>
    <x v="2"/>
    <s v="EXCLUDE_FROM_SALES"/>
    <s v="INVALID"/>
    <s v="MATCH"/>
    <s v="MATCH"/>
  </r>
  <r>
    <x v="573"/>
    <n v="1"/>
    <d v="2025-07-26T00:00:00"/>
    <d v="2025-07-26T00:00:00"/>
    <x v="0"/>
    <x v="1"/>
    <s v="2024-03-09"/>
    <d v="2024-03-09T00:00:00"/>
    <n v="-504"/>
    <s v="INVALID_SHIPPING"/>
    <s v="CUST-8005"/>
    <s v="Vikram Iyer"/>
    <s v="Vikram Iyer"/>
    <s v="Consumer"/>
    <x v="0"/>
    <s v="West"/>
    <x v="3"/>
    <s v="OK"/>
    <s v="Madhya Pradesh"/>
    <s v="Madhya Pradesh"/>
    <s v="Indore"/>
    <s v="Indore"/>
    <s v="Office Supplies"/>
    <x v="0"/>
    <s v="Labels"/>
    <x v="5"/>
    <s v="Basic Labels 511"/>
    <s v="Second Class"/>
    <x v="0"/>
    <s v="OK"/>
    <n v="2"/>
    <n v="2503.5300000000002"/>
    <n v="-0.16"/>
    <n v="-0.16"/>
    <s v="Invalid Negative Discount"/>
    <n v="4756.71"/>
    <n v="2954.86"/>
    <n v="1801.85"/>
    <s v="INVALID"/>
    <s v="INVALID"/>
    <x v="12"/>
    <s v="Refunded"/>
    <x v="2"/>
    <s v="REFUNDED_PAYMENT"/>
    <s v="Cancelled"/>
    <x v="2"/>
    <s v="EXCLUDE_FROM_SALES"/>
    <s v="INVALID"/>
    <s v="INVALID"/>
    <s v="INVALID"/>
  </r>
  <r>
    <x v="574"/>
    <n v="1"/>
    <d v="2025-03-28T00:00:00"/>
    <d v="2025-03-28T00:00:00"/>
    <x v="10"/>
    <x v="1"/>
    <s v="2025-09-29"/>
    <d v="2025-09-29T00:00:00"/>
    <n v="185"/>
    <s v="OK"/>
    <s v="CUST-9378"/>
    <s v="Sneha Kapoor"/>
    <s v="Sneha Kapoor"/>
    <s v="Corporate"/>
    <x v="2"/>
    <s v="West"/>
    <x v="3"/>
    <s v="OK"/>
    <s v="Goa"/>
    <s v="Goa"/>
    <s v="Panaji"/>
    <s v="Panaji"/>
    <s v="Technology"/>
    <x v="2"/>
    <s v="Accessories"/>
    <x v="4"/>
    <s v="Prime Accessories 733"/>
    <s v="Standard Class"/>
    <x v="3"/>
    <s v="OK"/>
    <n v="8"/>
    <n v="1740.94"/>
    <n v="0.05"/>
    <n v="0.05"/>
    <s v="OK"/>
    <n v="13231.14"/>
    <n v="11290.06"/>
    <n v="1941.08"/>
    <n v="13231.144"/>
    <n v="1941.0840000000007"/>
    <x v="563"/>
    <s v="Paid"/>
    <x v="0"/>
    <s v="OK"/>
    <s v="Completed"/>
    <x v="0"/>
    <s v="OK"/>
    <s v="CLEAN"/>
    <s v="MATCH"/>
    <s v="MATCH"/>
  </r>
  <r>
    <x v="575"/>
    <n v="1"/>
    <d v="2025-07-20T00:00:00"/>
    <d v="2025-07-20T00:00:00"/>
    <x v="0"/>
    <x v="1"/>
    <s v="2024-09-21"/>
    <d v="2024-09-21T00:00:00"/>
    <n v="-302"/>
    <s v="INVALID_SHIPPING"/>
    <s v="CUST-1986"/>
    <s v="Mira Das"/>
    <s v="Mira Das"/>
    <s v="Home Office"/>
    <x v="3"/>
    <s v="East"/>
    <x v="1"/>
    <s v="OK"/>
    <s v="West Bengal"/>
    <s v="West Bengal"/>
    <s v="Kolkata"/>
    <s v="Kolkata"/>
    <s v="Furniture"/>
    <x v="1"/>
    <s v="Tables"/>
    <x v="1"/>
    <s v="Elite Tables 318"/>
    <s v="Second Class"/>
    <x v="0"/>
    <s v="OK"/>
    <n v="4"/>
    <n v="477.69"/>
    <n v="0.15"/>
    <n v="0.15"/>
    <s v="OK"/>
    <n v="1624.15"/>
    <n v="1217.99"/>
    <n v="406.16"/>
    <n v="1624.146"/>
    <n v="406.15599999999995"/>
    <x v="564"/>
    <s v="Paid"/>
    <x v="0"/>
    <s v="OK"/>
    <s v="Completed"/>
    <x v="0"/>
    <s v="OK"/>
    <s v="INVALID"/>
    <s v="MATCH"/>
    <s v="MATCH"/>
  </r>
  <r>
    <x v="576"/>
    <n v="1"/>
    <d v="2025-04-21T00:00:00"/>
    <d v="2025-04-21T00:00:00"/>
    <x v="6"/>
    <x v="1"/>
    <s v="16-02-2025"/>
    <d v="2025-02-16T00:00:00"/>
    <n v="-64"/>
    <s v="INVALID_SHIPPING"/>
    <s v="CUST-3338"/>
    <s v="Ananya Rao"/>
    <s v="Ananya Rao"/>
    <s v="Consumer"/>
    <x v="0"/>
    <s v="West"/>
    <x v="3"/>
    <s v="OK"/>
    <s v="Maharashtra"/>
    <s v="Maharashtra"/>
    <s v="Mumbai"/>
    <s v="Mumbai"/>
    <s v="Office Supplies"/>
    <x v="0"/>
    <s v="Labels"/>
    <x v="5"/>
    <s v="Smart Labels 354"/>
    <s v="Same Day"/>
    <x v="1"/>
    <s v="OK"/>
    <n v="6"/>
    <n v="873.59"/>
    <n v="0.2"/>
    <n v="0.2"/>
    <s v="OK"/>
    <n v="4193.2299999999996"/>
    <n v="3329.99"/>
    <n v="863.24"/>
    <n v="4193.232"/>
    <n v="863.24200000000019"/>
    <x v="565"/>
    <s v="Paid"/>
    <x v="0"/>
    <s v="OK"/>
    <s v="Completed"/>
    <x v="0"/>
    <s v="OK"/>
    <s v="INVALID"/>
    <s v="MATCH"/>
    <s v="MATCH"/>
  </r>
  <r>
    <x v="577"/>
    <n v="1"/>
    <d v="2025-05-18T00:00:00"/>
    <d v="2025-05-18T00:00:00"/>
    <x v="3"/>
    <x v="1"/>
    <s v="04/16/2024"/>
    <d v="2024-04-16T00:00:00"/>
    <n v="-397"/>
    <s v="INVALID_SHIPPING"/>
    <s v="CUST-2343"/>
    <s v="Diya Patel"/>
    <s v="Diya Patel"/>
    <s v="Small Business"/>
    <x v="1"/>
    <s v="North"/>
    <x v="0"/>
    <s v="OK"/>
    <s v="Uttar Pradesh"/>
    <s v="Uttar Pradesh"/>
    <s v="Noida"/>
    <s v="Noida"/>
    <s v="Furniture"/>
    <x v="1"/>
    <s v="Furnishings"/>
    <x v="3"/>
    <s v="Pro Furnishings 981"/>
    <s v="First Class"/>
    <x v="2"/>
    <s v="OK"/>
    <n v="2"/>
    <n v="215.13"/>
    <n v="0"/>
    <n v="0"/>
    <s v="OK"/>
    <n v="430.26"/>
    <n v="286.38"/>
    <n v="143.88"/>
    <n v="430.26"/>
    <n v="143.88"/>
    <x v="566"/>
    <s v="Paid"/>
    <x v="0"/>
    <s v="OK"/>
    <s v="Completed"/>
    <x v="0"/>
    <s v="OK"/>
    <s v="INVALID"/>
    <s v="MATCH"/>
    <s v="MATCH"/>
  </r>
  <r>
    <x v="578"/>
    <n v="1"/>
    <d v="2025-06-29T00:00:00"/>
    <d v="2025-06-29T00:00:00"/>
    <x v="8"/>
    <x v="1"/>
    <s v="07/08/2025"/>
    <d v="2025-07-08T00:00:00"/>
    <n v="9"/>
    <s v="OK"/>
    <s v="CUST-3662"/>
    <s v="Diya Patel"/>
    <s v="Diya Patel"/>
    <s v="Consumer"/>
    <x v="0"/>
    <s v="North"/>
    <x v="0"/>
    <s v="OK"/>
    <s v="Punjab"/>
    <s v="Punjab"/>
    <s v="Ludhiana"/>
    <s v="Ludhiana"/>
    <s v="Furniture"/>
    <x v="1"/>
    <s v="Chairs"/>
    <x v="10"/>
    <s v="Max Chairs 151"/>
    <s v="Same Day"/>
    <x v="1"/>
    <s v="OK"/>
    <n v="1"/>
    <n v="999.83"/>
    <n v="0"/>
    <n v="0"/>
    <s v="OK"/>
    <n v="999.83"/>
    <n v="634.91"/>
    <n v="364.92"/>
    <n v="999.83"/>
    <n v="364.92000000000007"/>
    <x v="567"/>
    <s v="Paid"/>
    <x v="0"/>
    <s v="OK"/>
    <s v="Completed"/>
    <x v="0"/>
    <s v="OK"/>
    <s v="CLEAN"/>
    <s v="MATCH"/>
    <s v="MATCH"/>
  </r>
  <r>
    <x v="579"/>
    <n v="1"/>
    <d v="2025-08-13T00:00:00"/>
    <d v="2025-08-13T00:00:00"/>
    <x v="1"/>
    <x v="1"/>
    <s v="08/24/2024"/>
    <d v="2024-08-24T00:00:00"/>
    <n v="-354"/>
    <s v="INVALID_SHIPPING"/>
    <s v="CUST-4947"/>
    <s v="Rohan Mehta"/>
    <s v="Rohan Mehta"/>
    <s v="Small Business"/>
    <x v="1"/>
    <s v="South"/>
    <x v="2"/>
    <s v="OK"/>
    <s v="Andhra Pradesh"/>
    <s v="Andhra Pradesh"/>
    <s v="Vijayawada"/>
    <s v="Vijayawada"/>
    <s v="Office Supplies"/>
    <x v="0"/>
    <s v="Paper"/>
    <x v="0"/>
    <s v="Prime Paper 903"/>
    <s v="First Class"/>
    <x v="2"/>
    <s v="OK"/>
    <n v="9"/>
    <n v="864.98"/>
    <n v="0.1"/>
    <n v="0.1"/>
    <s v="OK"/>
    <n v="7006.34"/>
    <n v="4640.88"/>
    <n v="2365.46"/>
    <n v="7006.3379999999997"/>
    <n v="2365.4579999999996"/>
    <x v="568"/>
    <s v="Paid"/>
    <x v="0"/>
    <s v="OK"/>
    <s v="Completed"/>
    <x v="0"/>
    <s v="OK"/>
    <s v="INVALID"/>
    <s v="MATCH"/>
    <s v="MATCH"/>
  </r>
  <r>
    <x v="580"/>
    <n v="1"/>
    <d v="2025-10-04T00:00:00"/>
    <d v="2025-10-04T00:00:00"/>
    <x v="7"/>
    <x v="1"/>
    <s v="21 Aug 2024"/>
    <d v="2024-08-21T00:00:00"/>
    <n v="-409"/>
    <s v="INVALID_SHIPPING"/>
    <s v="CUST-4330"/>
    <s v="Isha Nair"/>
    <s v="Isha Nair"/>
    <s v="Consumer"/>
    <x v="0"/>
    <s v="West"/>
    <x v="3"/>
    <s v="OK"/>
    <s v="Gujarat"/>
    <s v="Gujarat"/>
    <s v="Ahmedabad"/>
    <s v="Ahmedabad"/>
    <s v="Furniture"/>
    <x v="1"/>
    <s v="Tables"/>
    <x v="1"/>
    <s v="Basic Tables 400"/>
    <s v="Standard Class"/>
    <x v="3"/>
    <s v="OK"/>
    <n v="8"/>
    <n v="1839.87"/>
    <n v="0.25"/>
    <n v="0.25"/>
    <s v="OK"/>
    <n v="11039.22"/>
    <n v="7642.91"/>
    <n v="3396.31"/>
    <n v="11039.22"/>
    <n v="3396.3099999999995"/>
    <x v="569"/>
    <s v="Failed"/>
    <x v="3"/>
    <s v="EXCLUDE_FROM_SALES"/>
    <s v="Returned"/>
    <x v="1"/>
    <s v="RETURNED_ORDER"/>
    <s v="INVALID"/>
    <s v="MATCH"/>
    <s v="MATCH"/>
  </r>
  <r>
    <x v="581"/>
    <n v="1"/>
    <d v="2025-04-01T00:00:00"/>
    <d v="2025-04-01T00:00:00"/>
    <x v="6"/>
    <x v="1"/>
    <s v="2025-03-12"/>
    <d v="2025-03-12T00:00:00"/>
    <n v="-20"/>
    <s v="INVALID_SHIPPING"/>
    <s v="CUST-4533"/>
    <s v="Aditi Sen"/>
    <s v="Aditi Sen"/>
    <s v="Consumer"/>
    <x v="0"/>
    <s v="East"/>
    <x v="1"/>
    <s v="OK"/>
    <s v="Odisha"/>
    <s v="Odisha"/>
    <s v="Bhubaneswar"/>
    <s v="Bhubaneswar"/>
    <s v="Furniture"/>
    <x v="1"/>
    <s v="Bookcases"/>
    <x v="9"/>
    <s v="Basic Bookcases 405"/>
    <s v="Second Class"/>
    <x v="0"/>
    <s v="OK"/>
    <n v="5"/>
    <n v="1021.28"/>
    <n v="0.1"/>
    <n v="0.1"/>
    <s v="OK"/>
    <n v="4595.76"/>
    <n v="3396.8"/>
    <n v="1198.96"/>
    <n v="4595.76"/>
    <n v="1198.96"/>
    <x v="570"/>
    <s v="Refunded"/>
    <x v="2"/>
    <s v="REFUNDED_PAYMENT"/>
    <s v="Cancelled"/>
    <x v="2"/>
    <s v="EXCLUDE_FROM_SALES"/>
    <s v="INVALID"/>
    <s v="MATCH"/>
    <s v="MATCH"/>
  </r>
  <r>
    <x v="582"/>
    <n v="1"/>
    <d v="2025-02-26T00:00:00"/>
    <d v="2025-02-26T00:00:00"/>
    <x v="11"/>
    <x v="1"/>
    <s v="01/31/2024"/>
    <d v="2024-01-31T00:00:00"/>
    <n v="-392"/>
    <s v="INVALID_SHIPPING"/>
    <s v="CUST-8270"/>
    <s v="Priya Menon"/>
    <s v="Priya Menon"/>
    <s v="Corporate"/>
    <x v="2"/>
    <s v="West"/>
    <x v="3"/>
    <s v="OK"/>
    <s v="Gujarat"/>
    <s v="Gujarat"/>
    <s v="Ahmedabad"/>
    <s v="Ahmedabad"/>
    <s v="Furniture"/>
    <x v="1"/>
    <s v="Bookcases"/>
    <x v="9"/>
    <s v="Classic Bookcases 139"/>
    <s v="Standard Class"/>
    <x v="3"/>
    <s v="OK"/>
    <n v="5"/>
    <n v="258.27999999999997"/>
    <n v="0"/>
    <n v="0"/>
    <s v="OK"/>
    <n v="1291.4000000000001"/>
    <n v="756.93"/>
    <n v="534.47"/>
    <n v="1291.3999999999999"/>
    <n v="534.46999999999991"/>
    <x v="571"/>
    <s v="Paid"/>
    <x v="0"/>
    <s v="OK"/>
    <s v="Completed"/>
    <x v="0"/>
    <s v="OK"/>
    <s v="INVALID"/>
    <s v="MATCH"/>
    <s v="MATCH"/>
  </r>
  <r>
    <x v="583"/>
    <n v="1"/>
    <d v="2025-01-12T00:00:00"/>
    <d v="2025-01-12T00:00:00"/>
    <x v="9"/>
    <x v="1"/>
    <s v="2024-10-30"/>
    <d v="2024-10-30T00:00:00"/>
    <n v="-74"/>
    <s v="INVALID_SHIPPING"/>
    <s v="CUST-2495"/>
    <s v="Mira Das"/>
    <s v="Mira Das"/>
    <s v="Corporate"/>
    <x v="2"/>
    <s v="South"/>
    <x v="2"/>
    <s v="OK"/>
    <s v="Karnataka"/>
    <s v="Karnataka"/>
    <s v="Bengaluru"/>
    <s v="Bengaluru"/>
    <s v="Furniture"/>
    <x v="1"/>
    <s v="Chairs"/>
    <x v="10"/>
    <s v="Classic Chairs 231"/>
    <s v="Same Day"/>
    <x v="1"/>
    <s v="OK"/>
    <n v="4"/>
    <n v="1531.53"/>
    <n v="0.2"/>
    <n v="0.2"/>
    <s v="OK"/>
    <n v="4900.8999999999996"/>
    <n v="3552.69"/>
    <n v="1348.21"/>
    <n v="4900.8959999999997"/>
    <n v="1348.2059999999997"/>
    <x v="572"/>
    <s v="Paid"/>
    <x v="0"/>
    <s v="OK"/>
    <s v="Completed"/>
    <x v="0"/>
    <s v="OK"/>
    <s v="INVALID"/>
    <s v="MATCH"/>
    <s v="MATCH"/>
  </r>
  <r>
    <x v="584"/>
    <n v="1"/>
    <d v="2025-04-29T00:00:00"/>
    <d v="2025-04-29T00:00:00"/>
    <x v="6"/>
    <x v="1"/>
    <s v="11-01-2025"/>
    <d v="2025-11-01T00:00:00"/>
    <n v="186"/>
    <s v="OK"/>
    <s v="CUST-4583"/>
    <s v="Vikram Iyer"/>
    <s v="Vikram Iyer"/>
    <s v="Small Business"/>
    <x v="1"/>
    <s v="West"/>
    <x v="3"/>
    <s v="OK"/>
    <s v="Goa"/>
    <s v="Goa"/>
    <s v="Panaji"/>
    <s v="Panaji"/>
    <s v="Office Supplies"/>
    <x v="0"/>
    <s v="Storage"/>
    <x v="7"/>
    <s v="Prime Storage 818"/>
    <s v="First Class"/>
    <x v="2"/>
    <s v="OK"/>
    <n v="6"/>
    <n v="4308.09"/>
    <n v="0"/>
    <n v="0"/>
    <s v="OK"/>
    <n v="25848.54"/>
    <n v="17729.09"/>
    <n v="8119.45"/>
    <n v="25848.54"/>
    <n v="8119.4500000000007"/>
    <x v="573"/>
    <s v="Paid"/>
    <x v="0"/>
    <s v="OK"/>
    <s v="Completed"/>
    <x v="0"/>
    <s v="OK"/>
    <s v="CLEAN"/>
    <s v="MATCH"/>
    <s v="MATCH"/>
  </r>
  <r>
    <x v="585"/>
    <n v="1"/>
    <d v="2025-02-19T00:00:00"/>
    <d v="2025-02-19T00:00:00"/>
    <x v="11"/>
    <x v="1"/>
    <s v="02/06/2025"/>
    <d v="2025-02-06T00:00:00"/>
    <n v="-13"/>
    <s v="INVALID_SHIPPING"/>
    <s v="CUST-5319"/>
    <s v="Mira Das"/>
    <s v="Mira Das"/>
    <s v="Corporate"/>
    <x v="2"/>
    <s v="West"/>
    <x v="3"/>
    <s v="OK"/>
    <s v="Maharashtra"/>
    <s v="Maharashtra"/>
    <s v="Mumbai"/>
    <s v="Mumbai"/>
    <s v="Furniture"/>
    <x v="1"/>
    <s v="Furnishings"/>
    <x v="3"/>
    <s v="Elite Furnishings 449"/>
    <s v="First Class"/>
    <x v="2"/>
    <s v="OK"/>
    <n v="3"/>
    <n v="490.3"/>
    <n v="0.2"/>
    <n v="0.2"/>
    <s v="OK"/>
    <n v="1176.72"/>
    <n v="654.33000000000004"/>
    <n v="522.39"/>
    <n v="1176.72"/>
    <n v="522.39"/>
    <x v="574"/>
    <s v="Pending"/>
    <x v="1"/>
    <s v="OK"/>
    <s v="Returned"/>
    <x v="1"/>
    <s v="RETURNED_ORDER"/>
    <s v="INVALID"/>
    <s v="MATCH"/>
    <s v="MATCH"/>
  </r>
  <r>
    <x v="586"/>
    <n v="2"/>
    <d v="2025-02-10T00:00:00"/>
    <d v="2025-02-10T00:00:00"/>
    <x v="11"/>
    <x v="1"/>
    <s v="13 Jul 2025"/>
    <d v="2025-07-13T00:00:00"/>
    <n v="153"/>
    <s v="OK"/>
    <s v="CUST-9871"/>
    <s v="Isha Nair"/>
    <s v="Isha Nair"/>
    <s v="Small Business"/>
    <x v="1"/>
    <s v="North"/>
    <x v="0"/>
    <s v="OK"/>
    <s v="Punjab"/>
    <s v="Punjab"/>
    <s v="Ludhiana"/>
    <s v="Ludhiana"/>
    <s v="Furniture"/>
    <x v="1"/>
    <s v="Furnishings"/>
    <x v="3"/>
    <s v="Classic Furnishings 109"/>
    <s v="Standard Class"/>
    <x v="3"/>
    <s v="OK"/>
    <n v="4"/>
    <n v="3944.64"/>
    <n v="0.25"/>
    <n v="0.25"/>
    <s v="OK"/>
    <n v="11833.92"/>
    <n v="6682.92"/>
    <n v="5151"/>
    <n v="11833.92"/>
    <n v="5151"/>
    <x v="575"/>
    <s v="Paid"/>
    <x v="0"/>
    <s v="OK"/>
    <s v="Cancelled"/>
    <x v="2"/>
    <s v="EXCLUDE_FROM_SALES"/>
    <s v="CLEAN"/>
    <s v="MATCH"/>
    <s v="MATCH"/>
  </r>
  <r>
    <x v="586"/>
    <n v="2"/>
    <d v="2025-02-10T00:00:00"/>
    <d v="2025-02-10T00:00:00"/>
    <x v="11"/>
    <x v="1"/>
    <s v="02/28/2025"/>
    <d v="2025-02-28T00:00:00"/>
    <n v="18"/>
    <s v="OK"/>
    <s v="CUST-9871"/>
    <s v="Isha Nair"/>
    <s v="Isha Nair"/>
    <s v="Small Business"/>
    <x v="1"/>
    <s v="North"/>
    <x v="0"/>
    <s v="OK"/>
    <s v="Punjab"/>
    <s v="Punjab"/>
    <s v="Ludhiana"/>
    <s v="Ludhiana"/>
    <s v="Furniture"/>
    <x v="1"/>
    <s v="Furnishings"/>
    <x v="3"/>
    <s v="Classic Furnishings 109"/>
    <s v="Standard Class"/>
    <x v="3"/>
    <s v="OK"/>
    <n v="4"/>
    <n v="3944.64"/>
    <n v="0.25"/>
    <n v="0.25"/>
    <s v="OK"/>
    <n v="12116.89"/>
    <n v="6682.92"/>
    <n v="5151"/>
    <n v="11833.92"/>
    <n v="5151"/>
    <x v="575"/>
    <s v="Paid"/>
    <x v="0"/>
    <s v="OK"/>
    <s v="Returned"/>
    <x v="1"/>
    <s v="RETURNED_ORDER"/>
    <s v="CLEAN"/>
    <s v="MISMATCH"/>
    <s v="MATCH"/>
  </r>
  <r>
    <x v="587"/>
    <n v="1"/>
    <d v="2025-04-10T00:00:00"/>
    <d v="2025-04-10T00:00:00"/>
    <x v="6"/>
    <x v="1"/>
    <s v="22 Feb 2025"/>
    <d v="2025-02-22T00:00:00"/>
    <n v="-47"/>
    <s v="INVALID_SHIPPING"/>
    <s v="CUST-2545"/>
    <s v="Diya Patel"/>
    <s v="Diya Patel"/>
    <s v="Home Office"/>
    <x v="3"/>
    <m/>
    <x v="4"/>
    <s v="MISSING_REGION"/>
    <s v="Kerala"/>
    <s v="Kerala"/>
    <s v="Kochi"/>
    <s v="Kochi"/>
    <s v="Technology"/>
    <x v="2"/>
    <s v="Copiers"/>
    <x v="6"/>
    <s v="Max Copiers 363"/>
    <s v="Same Day"/>
    <x v="1"/>
    <s v="OK"/>
    <n v="1"/>
    <n v="2208.27"/>
    <n v="0.1"/>
    <n v="0.1"/>
    <s v="OK"/>
    <n v="1987.44"/>
    <n v="1110.23"/>
    <n v="877.21"/>
    <n v="1987.443"/>
    <n v="877.21299999999997"/>
    <x v="576"/>
    <s v="Paid"/>
    <x v="0"/>
    <s v="OK"/>
    <s v="Completed"/>
    <x v="0"/>
    <s v="OK"/>
    <s v="INVALID"/>
    <s v="MATCH"/>
    <s v="MATCH"/>
  </r>
  <r>
    <x v="588"/>
    <n v="1"/>
    <d v="2025-06-28T00:00:00"/>
    <d v="2025-06-28T00:00:00"/>
    <x v="8"/>
    <x v="1"/>
    <s v="23 Jun 2024"/>
    <d v="2024-06-23T00:00:00"/>
    <n v="-370"/>
    <s v="INVALID_SHIPPING"/>
    <s v="CUST-1943"/>
    <s v="Rohan Mehta"/>
    <s v="Rohan Mehta"/>
    <s v="Consumer"/>
    <x v="0"/>
    <s v="South"/>
    <x v="2"/>
    <s v="OK"/>
    <s v="Telangana"/>
    <s v="Telangana"/>
    <s v="Hyderabad"/>
    <s v="Hyderabad"/>
    <s v="Furniture"/>
    <x v="1"/>
    <s v="Bookcases"/>
    <x v="9"/>
    <s v="Smart Bookcases 662"/>
    <s v="First Class"/>
    <x v="2"/>
    <s v="OK"/>
    <n v="3"/>
    <n v="2886.23"/>
    <n v="0"/>
    <n v="0"/>
    <s v="OK"/>
    <n v="8658.69"/>
    <n v="5535.94"/>
    <n v="3122.75"/>
    <n v="8658.69"/>
    <n v="3122.7500000000009"/>
    <x v="577"/>
    <s v="Refunded"/>
    <x v="2"/>
    <s v="REFUNDED_PAYMENT"/>
    <s v="Returned"/>
    <x v="1"/>
    <s v="RETURNED_ORDER"/>
    <s v="INVALID"/>
    <s v="MATCH"/>
    <s v="MATCH"/>
  </r>
  <r>
    <x v="589"/>
    <n v="1"/>
    <d v="2025-04-06T00:00:00"/>
    <d v="2025-04-06T00:00:00"/>
    <x v="6"/>
    <x v="1"/>
    <s v="12-01-2025"/>
    <d v="2025-12-01T00:00:00"/>
    <n v="239"/>
    <s v="OK"/>
    <s v="CUST-5341"/>
    <s v="Rahul Verma"/>
    <s v="Rahul Verma"/>
    <s v="Consumer"/>
    <x v="0"/>
    <s v="South"/>
    <x v="2"/>
    <s v="OK"/>
    <s v="Andhra Pradesh"/>
    <s v="Andhra Pradesh"/>
    <s v="Vijayawada"/>
    <s v="Vijayawada"/>
    <s v="Technology"/>
    <x v="2"/>
    <s v="Phones"/>
    <x v="8"/>
    <s v="Classic Phones 530"/>
    <s v="Standard Class"/>
    <x v="3"/>
    <s v="OK"/>
    <n v="4"/>
    <n v="223.37"/>
    <n v="0.25"/>
    <n v="0.25"/>
    <s v="OK"/>
    <n v="670.11"/>
    <n v="559.57000000000005"/>
    <n v="110.54"/>
    <n v="670.11"/>
    <n v="110.53999999999996"/>
    <x v="578"/>
    <s v="Paid"/>
    <x v="0"/>
    <s v="OK"/>
    <s v="Completed"/>
    <x v="0"/>
    <s v="OK"/>
    <s v="CLEAN"/>
    <s v="MATCH"/>
    <s v="MATCH"/>
  </r>
  <r>
    <x v="590"/>
    <n v="1"/>
    <d v="2025-06-07T00:00:00"/>
    <d v="2025-06-07T00:00:00"/>
    <x v="8"/>
    <x v="1"/>
    <s v="05/20/2024"/>
    <d v="2024-05-20T00:00:00"/>
    <n v="-383"/>
    <s v="INVALID_SHIPPING"/>
    <s v="CUST-6949"/>
    <s v="Sneha Kapoor"/>
    <s v="Sneha Kapoor"/>
    <s v="Corporate"/>
    <x v="2"/>
    <s v="North"/>
    <x v="0"/>
    <s v="OK"/>
    <s v="Haryana"/>
    <s v="Haryana"/>
    <s v="Gurugram"/>
    <s v="Gurugram"/>
    <s v="Office Supplies"/>
    <x v="0"/>
    <s v="Storage"/>
    <x v="7"/>
    <s v="Basic Storage 737"/>
    <s v="Standard Class"/>
    <x v="3"/>
    <s v="OK"/>
    <n v="1"/>
    <n v="1617.2"/>
    <n v="0.25"/>
    <n v="0.25"/>
    <s v="OK"/>
    <n v="1212.9000000000001"/>
    <n v="690.52"/>
    <n v="522.38"/>
    <n v="1212.9000000000001"/>
    <n v="522.38000000000011"/>
    <x v="579"/>
    <s v="Pending"/>
    <x v="1"/>
    <s v="OK"/>
    <s v="Returned"/>
    <x v="1"/>
    <s v="RETURNED_ORDER"/>
    <s v="INVALID"/>
    <s v="MATCH"/>
    <s v="MATCH"/>
  </r>
  <r>
    <x v="591"/>
    <n v="1"/>
    <d v="2025-07-02T00:00:00"/>
    <d v="2025-07-02T00:00:00"/>
    <x v="0"/>
    <x v="1"/>
    <s v="15 Jul 2025"/>
    <d v="2025-07-15T00:00:00"/>
    <n v="13"/>
    <s v="OK"/>
    <s v="CUST-3430"/>
    <s v="Arjun Bose"/>
    <s v="Arjun Bose"/>
    <s v="Consumer"/>
    <x v="0"/>
    <s v="North"/>
    <x v="0"/>
    <s v="OK"/>
    <s v="Uttar Pradesh"/>
    <s v="Uttar Pradesh"/>
    <s v="Noida"/>
    <s v="Noida"/>
    <s v="Office Supplies"/>
    <x v="0"/>
    <s v="Art"/>
    <x v="2"/>
    <s v="Classic Art 126"/>
    <s v="Second Class"/>
    <x v="0"/>
    <s v="OK"/>
    <n v="3"/>
    <n v="1999.24"/>
    <n v="0.05"/>
    <n v="0.05"/>
    <s v="OK"/>
    <n v="5697.83"/>
    <n v="4251.5"/>
    <n v="1446.33"/>
    <n v="5697.8339999999998"/>
    <n v="1446.3339999999998"/>
    <x v="580"/>
    <s v="Paid"/>
    <x v="0"/>
    <s v="OK"/>
    <s v="Completed"/>
    <x v="0"/>
    <s v="OK"/>
    <s v="CLEAN"/>
    <s v="MATCH"/>
    <s v="MATCH"/>
  </r>
  <r>
    <x v="592"/>
    <n v="1"/>
    <d v="2025-07-29T00:00:00"/>
    <d v="2025-07-29T00:00:00"/>
    <x v="0"/>
    <x v="1"/>
    <s v="13-04-2025"/>
    <d v="2025-04-13T00:00:00"/>
    <n v="-107"/>
    <s v="INVALID_SHIPPING"/>
    <s v="CUST-6310"/>
    <s v="Sneha Kapoor"/>
    <s v="Sneha Kapoor"/>
    <s v="Small Business"/>
    <x v="1"/>
    <m/>
    <x v="4"/>
    <s v="MISSING_REGION"/>
    <s v="Madhya Pradesh"/>
    <s v="Madhya Pradesh"/>
    <s v="Indore"/>
    <s v="Indore"/>
    <s v="Technology"/>
    <x v="2"/>
    <s v="Accessories"/>
    <x v="4"/>
    <s v="Prime Accessories 243"/>
    <s v="First Class"/>
    <x v="2"/>
    <s v="OK"/>
    <n v="1"/>
    <n v="4499.46"/>
    <n v="0.1"/>
    <n v="0.1"/>
    <s v="OK"/>
    <n v="4049.51"/>
    <n v="2509.1999999999998"/>
    <n v="1540.31"/>
    <n v="4049.5140000000001"/>
    <n v="1540.3140000000003"/>
    <x v="581"/>
    <s v="Paid"/>
    <x v="0"/>
    <s v="OK"/>
    <s v="Completed"/>
    <x v="0"/>
    <s v="OK"/>
    <s v="INVALID"/>
    <s v="MATCH"/>
    <s v="MATCH"/>
  </r>
  <r>
    <x v="593"/>
    <n v="1"/>
    <d v="2025-01-08T00:00:00"/>
    <d v="2025-01-08T00:00:00"/>
    <x v="9"/>
    <x v="1"/>
    <s v="10/10/2024"/>
    <d v="2024-10-10T00:00:00"/>
    <n v="-90"/>
    <s v="INVALID_SHIPPING"/>
    <s v="CUST-2305"/>
    <s v="Mira Das"/>
    <s v="Mira Das"/>
    <s v="Corporate"/>
    <x v="2"/>
    <s v="North"/>
    <x v="0"/>
    <s v="OK"/>
    <s v="Rajasthan"/>
    <s v="Rajasthan"/>
    <s v="Jaipur"/>
    <s v="Jaipur"/>
    <s v="Furniture"/>
    <x v="1"/>
    <s v="Furnishings"/>
    <x v="3"/>
    <s v="Classic Furnishings 378"/>
    <s v="First Class"/>
    <x v="2"/>
    <s v="OK"/>
    <n v="4"/>
    <n v="2790.29"/>
    <n v="0.2"/>
    <n v="0.2"/>
    <s v="OK"/>
    <n v="8928.93"/>
    <n v="5634.38"/>
    <n v="3294.55"/>
    <n v="8928.9279999999999"/>
    <n v="3294.5479999999998"/>
    <x v="582"/>
    <s v="Paid"/>
    <x v="0"/>
    <s v="OK"/>
    <s v="Completed"/>
    <x v="0"/>
    <s v="OK"/>
    <s v="INVALID"/>
    <s v="MATCH"/>
    <s v="MATCH"/>
  </r>
  <r>
    <x v="594"/>
    <n v="1"/>
    <d v="2025-06-04T00:00:00"/>
    <d v="2025-06-04T00:00:00"/>
    <x v="8"/>
    <x v="1"/>
    <s v="19-02-2024"/>
    <d v="2024-02-19T00:00:00"/>
    <n v="-471"/>
    <s v="INVALID_SHIPPING"/>
    <s v="CUST-6268"/>
    <s v="Ananya Rao"/>
    <s v="Ananya Rao"/>
    <s v="Corporate"/>
    <x v="2"/>
    <s v="West"/>
    <x v="3"/>
    <s v="OK"/>
    <s v="Gujarat"/>
    <s v="Gujarat"/>
    <s v="Ahmedabad"/>
    <s v="Ahmedabad"/>
    <s v="Furniture"/>
    <x v="1"/>
    <s v="Tables"/>
    <x v="1"/>
    <s v="Prime Tables 263"/>
    <s v="Second Class"/>
    <x v="0"/>
    <s v="OK"/>
    <n v="6"/>
    <n v="1022.16"/>
    <n v="0"/>
    <n v="0"/>
    <s v="OK"/>
    <n v="6132.96"/>
    <n v="4881.1000000000004"/>
    <n v="1251.8599999999999"/>
    <n v="6132.96"/>
    <n v="1251.8599999999997"/>
    <x v="583"/>
    <s v="Paid"/>
    <x v="0"/>
    <s v="OK"/>
    <s v="Completed"/>
    <x v="0"/>
    <s v="OK"/>
    <s v="INVALID"/>
    <s v="MATCH"/>
    <s v="MATCH"/>
  </r>
  <r>
    <x v="595"/>
    <n v="1"/>
    <d v="2025-06-25T00:00:00"/>
    <d v="2025-06-25T00:00:00"/>
    <x v="8"/>
    <x v="1"/>
    <s v="10/07/2024"/>
    <d v="2024-10-07T00:00:00"/>
    <n v="-261"/>
    <s v="INVALID_SHIPPING"/>
    <s v="CUST-2103"/>
    <s v="Arjun Bose"/>
    <s v="Arjun Bose"/>
    <s v="Corporate"/>
    <x v="2"/>
    <s v="North"/>
    <x v="0"/>
    <s v="OK"/>
    <s v="Haryana"/>
    <s v="Haryana"/>
    <s v="Gurugram"/>
    <s v="Gurugram"/>
    <s v="Office Supplies"/>
    <x v="0"/>
    <s v="Storage"/>
    <x v="7"/>
    <s v="Basic Storage 269"/>
    <s v="First Class"/>
    <x v="2"/>
    <s v="OK"/>
    <n v="2"/>
    <n v="1455.92"/>
    <n v="0.2"/>
    <n v="0.2"/>
    <s v="OK"/>
    <n v="2329.4699999999998"/>
    <n v="1603.62"/>
    <n v="725.85"/>
    <n v="2329.4720000000002"/>
    <n v="725.85200000000032"/>
    <x v="584"/>
    <s v="Pending"/>
    <x v="1"/>
    <s v="OK"/>
    <s v="Returned"/>
    <x v="1"/>
    <s v="RETURNED_ORDER"/>
    <s v="INVALID"/>
    <s v="MATCH"/>
    <s v="MATCH"/>
  </r>
  <r>
    <x v="596"/>
    <n v="1"/>
    <d v="2025-01-01T00:00:00"/>
    <d v="2025-01-01T00:00:00"/>
    <x v="9"/>
    <x v="1"/>
    <s v="19-08-2024"/>
    <d v="2024-08-19T00:00:00"/>
    <n v="-135"/>
    <s v="INVALID_SHIPPING"/>
    <s v="CUST-6853"/>
    <s v="Ananya Rao"/>
    <s v="Ananya Rao"/>
    <s v="Consumer"/>
    <x v="0"/>
    <s v="West"/>
    <x v="3"/>
    <s v="OK"/>
    <s v="Madhya Pradesh"/>
    <s v="Madhya Pradesh"/>
    <s v="Indore"/>
    <s v="Indore"/>
    <s v="Technology"/>
    <x v="2"/>
    <s v="Accessories"/>
    <x v="4"/>
    <s v="Elite Accessories 978"/>
    <s v="Same Day"/>
    <x v="1"/>
    <s v="OK"/>
    <n v="7"/>
    <n v="1000.55"/>
    <n v="0.2"/>
    <n v="0.2"/>
    <s v="OK"/>
    <n v="5603.08"/>
    <n v="3132.52"/>
    <n v="2470.56"/>
    <n v="5603.08"/>
    <n v="2470.56"/>
    <x v="585"/>
    <s v="Paid"/>
    <x v="0"/>
    <s v="OK"/>
    <s v="Returned"/>
    <x v="1"/>
    <s v="RETURNED_ORDER"/>
    <s v="INVALID"/>
    <s v="MATCH"/>
    <s v="MATCH"/>
  </r>
  <r>
    <x v="597"/>
    <n v="1"/>
    <d v="2025-04-02T00:00:00"/>
    <d v="2025-04-02T00:00:00"/>
    <x v="6"/>
    <x v="1"/>
    <s v="2024-09-30"/>
    <d v="2024-09-30T00:00:00"/>
    <n v="-184"/>
    <s v="INVALID_SHIPPING"/>
    <s v="CUST-1549"/>
    <s v="Isha Nair"/>
    <s v="Isha Nair"/>
    <s v="Corporate"/>
    <x v="2"/>
    <s v="West"/>
    <x v="3"/>
    <s v="OK"/>
    <s v="Maharashtra"/>
    <s v="Maharashtra"/>
    <s v="Mumbai"/>
    <s v="Mumbai"/>
    <s v="Technology"/>
    <x v="2"/>
    <s v="Phones"/>
    <x v="8"/>
    <s v="Eco Phones 132"/>
    <s v="First Class"/>
    <x v="2"/>
    <s v="OK"/>
    <n v="7"/>
    <n v="1830"/>
    <n v="0"/>
    <n v="0"/>
    <s v="OK"/>
    <n v="12810"/>
    <n v="9334.1200000000008"/>
    <n v="3475.88"/>
    <n v="12810"/>
    <n v="3475.8799999999992"/>
    <x v="586"/>
    <s v="Paid"/>
    <x v="0"/>
    <s v="OK"/>
    <s v="Completed"/>
    <x v="0"/>
    <s v="OK"/>
    <s v="INVALID"/>
    <s v="MATCH"/>
    <s v="MATCH"/>
  </r>
  <r>
    <x v="598"/>
    <n v="1"/>
    <d v="2025-09-08T00:00:00"/>
    <d v="2025-09-08T00:00:00"/>
    <x v="5"/>
    <x v="1"/>
    <s v="2024-07-30"/>
    <d v="2024-07-30T00:00:00"/>
    <n v="-405"/>
    <s v="INVALID_SHIPPING"/>
    <s v="CUST-5615"/>
    <s v="Diya Patel"/>
    <s v="Diya Patel"/>
    <s v="Corporate"/>
    <x v="2"/>
    <s v="South"/>
    <x v="2"/>
    <s v="OK"/>
    <s v="Karnataka"/>
    <s v="Karnataka"/>
    <s v="Bengaluru"/>
    <s v="Bengaluru"/>
    <s v="Technology"/>
    <x v="2"/>
    <s v="Accessories"/>
    <x v="4"/>
    <s v="Smart Accessories 180"/>
    <s v="Second Class"/>
    <x v="0"/>
    <s v="OK"/>
    <n v="2"/>
    <n v="3237.27"/>
    <n v="0"/>
    <n v="0"/>
    <s v="OK"/>
    <n v="6474.54"/>
    <n v="5095.91"/>
    <n v="1378.63"/>
    <n v="6474.54"/>
    <n v="1378.63"/>
    <x v="587"/>
    <s v="Paid"/>
    <x v="0"/>
    <s v="OK"/>
    <s v="Cancelled"/>
    <x v="2"/>
    <s v="EXCLUDE_FROM_SALES"/>
    <s v="INVALID"/>
    <s v="MATCH"/>
    <s v="MATCH"/>
  </r>
  <r>
    <x v="599"/>
    <n v="1"/>
    <d v="2025-09-23T00:00:00"/>
    <d v="2025-09-23T00:00:00"/>
    <x v="5"/>
    <x v="1"/>
    <s v="27 Nov 2024"/>
    <d v="2024-11-27T00:00:00"/>
    <n v="-300"/>
    <s v="INVALID_SHIPPING"/>
    <s v="CUST-3543"/>
    <s v="Aditi Sen"/>
    <s v="Aditi Sen"/>
    <s v="Corporate"/>
    <x v="2"/>
    <s v="East"/>
    <x v="1"/>
    <s v="OK"/>
    <s v="West Bengal"/>
    <s v="West Bengal"/>
    <s v="Kolkata"/>
    <s v="Kolkata"/>
    <s v="Office Supplies"/>
    <x v="0"/>
    <s v="Binders"/>
    <x v="11"/>
    <s v="Elite Binders 827"/>
    <s v="Same Day"/>
    <x v="1"/>
    <s v="OK"/>
    <n v="7"/>
    <n v="2897.12"/>
    <n v="0.25"/>
    <n v="0.25"/>
    <s v="OK"/>
    <n v="15209.88"/>
    <n v="10891.15"/>
    <n v="4318.7299999999996"/>
    <n v="15209.880000000001"/>
    <n v="4318.7300000000014"/>
    <x v="588"/>
    <s v="Failed"/>
    <x v="3"/>
    <s v="EXCLUDE_FROM_SALES"/>
    <s v="Returned"/>
    <x v="1"/>
    <s v="RETURNED_ORDER"/>
    <s v="INVALID"/>
    <s v="MATCH"/>
    <s v="MATCH"/>
  </r>
  <r>
    <x v="600"/>
    <n v="1"/>
    <d v="2025-06-18T00:00:00"/>
    <d v="2025-06-18T00:00:00"/>
    <x v="8"/>
    <x v="1"/>
    <s v="08/21/2024"/>
    <d v="2024-08-21T00:00:00"/>
    <n v="-301"/>
    <s v="INVALID_SHIPPING"/>
    <s v="CUST-7623"/>
    <s v="Sneha Kapoor"/>
    <s v="Sneha Kapoor"/>
    <s v="Corporate"/>
    <x v="2"/>
    <s v="North"/>
    <x v="0"/>
    <s v="OK"/>
    <s v="Rajasthan"/>
    <s v="Rajasthan"/>
    <s v="Jaipur"/>
    <s v="Jaipur"/>
    <s v="Office Supplies"/>
    <x v="0"/>
    <s v="Labels"/>
    <x v="5"/>
    <s v="Prime Labels 326"/>
    <s v="Standard Class"/>
    <x v="3"/>
    <s v="OK"/>
    <n v="3"/>
    <n v="686.74"/>
    <n v="0.2"/>
    <n v="0.2"/>
    <s v="OK"/>
    <n v="1648.18"/>
    <n v="987.91"/>
    <n v="660.27"/>
    <n v="1648.1760000000004"/>
    <n v="660.26600000000042"/>
    <x v="589"/>
    <s v="Failed"/>
    <x v="3"/>
    <s v="EXCLUDE_FROM_SALES"/>
    <s v="Cancelled"/>
    <x v="2"/>
    <s v="EXCLUDE_FROM_SALES"/>
    <s v="INVALID"/>
    <s v="MATCH"/>
    <s v="MATCH"/>
  </r>
  <r>
    <x v="601"/>
    <n v="1"/>
    <d v="2025-05-26T00:00:00"/>
    <d v="2025-05-26T00:00:00"/>
    <x v="3"/>
    <x v="1"/>
    <s v="06-12-2024"/>
    <d v="2024-06-12T00:00:00"/>
    <n v="-348"/>
    <s v="INVALID_SHIPPING"/>
    <s v="CUST-6153"/>
    <s v="Arjun Bose"/>
    <s v="Arjun Bose"/>
    <s v="Small Business"/>
    <x v="1"/>
    <s v="North"/>
    <x v="0"/>
    <s v="OK"/>
    <s v="Delhi"/>
    <s v="Delhi"/>
    <s v="New Delhi"/>
    <s v="New Delhi"/>
    <s v="Technology"/>
    <x v="2"/>
    <s v="Phones"/>
    <x v="8"/>
    <s v="Eco Phones 245"/>
    <s v="Same Day"/>
    <x v="1"/>
    <s v="OK"/>
    <n v="4"/>
    <n v="3349.86"/>
    <n v="0"/>
    <n v="0"/>
    <s v="OK"/>
    <n v="13399.44"/>
    <n v="8581.35"/>
    <n v="4818.09"/>
    <n v="13399.44"/>
    <n v="4818.09"/>
    <x v="590"/>
    <s v="Pending"/>
    <x v="1"/>
    <s v="OK"/>
    <s v="Returned"/>
    <x v="1"/>
    <s v="RETURNED_ORDER"/>
    <s v="INVALID"/>
    <s v="MATCH"/>
    <s v="MATCH"/>
  </r>
  <r>
    <x v="602"/>
    <n v="1"/>
    <d v="2025-06-08T00:00:00"/>
    <d v="2025-06-08T00:00:00"/>
    <x v="8"/>
    <x v="1"/>
    <s v="06 Feb 2025"/>
    <d v="2025-02-06T00:00:00"/>
    <n v="-122"/>
    <s v="INVALID_SHIPPING"/>
    <s v="CUST-8265"/>
    <s v="Rohan Mehta"/>
    <s v="Rohan Mehta"/>
    <s v="Small Business"/>
    <x v="1"/>
    <s v="North"/>
    <x v="0"/>
    <s v="OK"/>
    <s v="Delhi"/>
    <s v="Delhi"/>
    <s v="New Delhi"/>
    <s v="New Delhi"/>
    <s v="Office Supplies"/>
    <x v="0"/>
    <s v="Binders"/>
    <x v="11"/>
    <s v="Smart Binders 905"/>
    <s v="Second Class"/>
    <x v="0"/>
    <s v="OK"/>
    <n v="9"/>
    <n v="4042.45"/>
    <n v="0.1"/>
    <n v="0.1"/>
    <s v="OK"/>
    <n v="32743.84"/>
    <n v="22452.05"/>
    <n v="10291.790000000001"/>
    <n v="32743.844999999998"/>
    <n v="10291.794999999998"/>
    <x v="591"/>
    <s v="Pending"/>
    <x v="1"/>
    <s v="OK"/>
    <s v="Returned"/>
    <x v="1"/>
    <s v="RETURNED_ORDER"/>
    <s v="INVALID"/>
    <s v="MISMATCH"/>
    <s v="MISMATCH"/>
  </r>
  <r>
    <x v="603"/>
    <n v="1"/>
    <d v="2025-03-05T00:00:00"/>
    <d v="2025-03-05T00:00:00"/>
    <x v="10"/>
    <x v="1"/>
    <s v="14 Aug 2024"/>
    <d v="2024-08-14T00:00:00"/>
    <n v="-203"/>
    <s v="INVALID_SHIPPING"/>
    <s v="CUST-7114"/>
    <s v="Neha Gupta"/>
    <s v="Neha Gupta"/>
    <s v="Home Office"/>
    <x v="3"/>
    <s v="West"/>
    <x v="3"/>
    <s v="OK"/>
    <s v="Maharashtra"/>
    <s v="Maharashtra"/>
    <s v="Mumbai"/>
    <s v="Mumbai"/>
    <s v="Office Supplies"/>
    <x v="0"/>
    <s v="Storage"/>
    <x v="7"/>
    <s v="Classic Storage 926"/>
    <s v="Second Class"/>
    <x v="0"/>
    <s v="OK"/>
    <n v="3"/>
    <n v="4339.24"/>
    <n v="0"/>
    <n v="0"/>
    <s v="OK"/>
    <n v="13017.72"/>
    <n v="10170.57"/>
    <n v="2847.15"/>
    <n v="13017.72"/>
    <n v="2847.1499999999996"/>
    <x v="592"/>
    <s v="Paid"/>
    <x v="0"/>
    <s v="OK"/>
    <s v="Completed"/>
    <x v="0"/>
    <s v="OK"/>
    <s v="INVALID"/>
    <s v="MATCH"/>
    <s v="MATCH"/>
  </r>
  <r>
    <x v="604"/>
    <n v="1"/>
    <d v="2025-05-28T00:00:00"/>
    <d v="2025-05-28T00:00:00"/>
    <x v="3"/>
    <x v="1"/>
    <s v="2024-02-01"/>
    <d v="2024-02-01T00:00:00"/>
    <n v="-482"/>
    <s v="INVALID_SHIPPING"/>
    <s v="CUST-4431"/>
    <s v="Diya Patel"/>
    <s v="Diya Patel"/>
    <s v="Corporate"/>
    <x v="2"/>
    <s v="East"/>
    <x v="1"/>
    <s v="OK"/>
    <s v="Jharkhand"/>
    <s v="Jharkhand"/>
    <s v="Ranchi"/>
    <s v="Ranchi"/>
    <s v="Furniture"/>
    <x v="1"/>
    <s v="Furnishings"/>
    <x v="3"/>
    <s v="Basic Furnishings 372"/>
    <s v="First Class"/>
    <x v="2"/>
    <s v="OK"/>
    <n v="4"/>
    <n v="261.8"/>
    <n v="0.25"/>
    <n v="0.25"/>
    <s v="OK"/>
    <n v="785.4"/>
    <n v="557.22"/>
    <n v="228.18"/>
    <n v="785.40000000000009"/>
    <n v="228.18000000000006"/>
    <x v="593"/>
    <s v="Paid"/>
    <x v="0"/>
    <s v="OK"/>
    <s v="Completed"/>
    <x v="0"/>
    <s v="OK"/>
    <s v="INVALID"/>
    <s v="MATCH"/>
    <s v="MATCH"/>
  </r>
  <r>
    <x v="605"/>
    <n v="1"/>
    <d v="2025-08-17T00:00:00"/>
    <d v="2025-08-17T00:00:00"/>
    <x v="1"/>
    <x v="1"/>
    <s v="21 Dec 2024"/>
    <d v="2024-12-21T00:00:00"/>
    <n v="-239"/>
    <s v="INVALID_SHIPPING"/>
    <s v="CUST-1488"/>
    <s v="Aarav Sharma"/>
    <s v="Aarav Sharma"/>
    <s v="Home Office"/>
    <x v="3"/>
    <s v="North"/>
    <x v="0"/>
    <s v="OK"/>
    <s v="Punjab"/>
    <s v="Punjab"/>
    <s v="Ludhiana"/>
    <s v="Ludhiana"/>
    <s v="Technology"/>
    <x v="2"/>
    <s v="Accessories"/>
    <x v="4"/>
    <s v="Prime Accessories 367"/>
    <s v="First Class"/>
    <x v="2"/>
    <s v="OK"/>
    <n v="7"/>
    <n v="632.20000000000005"/>
    <n v="0.25"/>
    <n v="0.25"/>
    <s v="OK"/>
    <n v="3319.05"/>
    <n v="2124.6"/>
    <n v="1194.45"/>
    <n v="3319.05"/>
    <n v="1194.4500000000003"/>
    <x v="594"/>
    <s v="Paid"/>
    <x v="0"/>
    <s v="OK"/>
    <s v="Completed"/>
    <x v="0"/>
    <s v="OK"/>
    <s v="INVALID"/>
    <s v="MATCH"/>
    <s v="MATCH"/>
  </r>
  <r>
    <x v="606"/>
    <n v="1"/>
    <d v="2025-10-02T00:00:00"/>
    <d v="2025-10-02T00:00:00"/>
    <x v="7"/>
    <x v="1"/>
    <s v="06/07/2025"/>
    <d v="2025-06-07T00:00:00"/>
    <n v="-117"/>
    <s v="INVALID_SHIPPING"/>
    <s v="CUST-1586"/>
    <s v="Rahul Verma"/>
    <s v="Rahul Verma"/>
    <s v="Small Business"/>
    <x v="1"/>
    <s v="West"/>
    <x v="3"/>
    <s v="OK"/>
    <s v="Rajasthan"/>
    <s v="Rajasthan"/>
    <s v="Udaipur"/>
    <s v="Udaipur"/>
    <s v="Furniture"/>
    <x v="1"/>
    <s v="Tables"/>
    <x v="1"/>
    <s v="Max Tables 526"/>
    <s v="Same Day"/>
    <x v="1"/>
    <s v="OK"/>
    <n v="1"/>
    <n v="1925.86"/>
    <n v="0"/>
    <n v="0"/>
    <s v="OK"/>
    <n v="1925.86"/>
    <n v="1321.89"/>
    <n v="603.97"/>
    <n v="1925.86"/>
    <n v="603.9699999999998"/>
    <x v="595"/>
    <s v="Paid"/>
    <x v="0"/>
    <s v="OK"/>
    <s v="Completed"/>
    <x v="0"/>
    <s v="OK"/>
    <s v="INVALID"/>
    <s v="MATCH"/>
    <s v="MATCH"/>
  </r>
  <r>
    <x v="607"/>
    <n v="1"/>
    <d v="2025-02-13T00:00:00"/>
    <d v="2025-02-13T00:00:00"/>
    <x v="11"/>
    <x v="1"/>
    <s v="21-02-2025"/>
    <d v="2025-02-21T00:00:00"/>
    <n v="8"/>
    <s v="OK"/>
    <s v="CUST-8249"/>
    <s v="Isha Nair"/>
    <s v="Isha Nair"/>
    <s v="Consumer"/>
    <x v="0"/>
    <s v="East"/>
    <x v="1"/>
    <s v="OK"/>
    <s v="Bihar"/>
    <s v="Bihar"/>
    <s v="Patna"/>
    <s v="Patna"/>
    <s v="Office Supplies"/>
    <x v="0"/>
    <s v="Paper"/>
    <x v="0"/>
    <s v="Basic Paper 657"/>
    <s v="Second Class"/>
    <x v="0"/>
    <s v="OK"/>
    <n v="9"/>
    <n v="2521.63"/>
    <n v="0"/>
    <n v="0"/>
    <s v="OK"/>
    <n v="22694.67"/>
    <n v="15405.36"/>
    <n v="7289.31"/>
    <n v="22694.670000000002"/>
    <n v="7289.3100000000013"/>
    <x v="596"/>
    <s v="Paid"/>
    <x v="0"/>
    <s v="OK"/>
    <s v="Returned"/>
    <x v="1"/>
    <s v="RETURNED_ORDER"/>
    <s v="CLEAN"/>
    <s v="MATCH"/>
    <s v="MATCH"/>
  </r>
  <r>
    <x v="608"/>
    <n v="1"/>
    <d v="2025-04-06T00:00:00"/>
    <d v="2025-04-06T00:00:00"/>
    <x v="6"/>
    <x v="1"/>
    <s v="12 Oct 2025"/>
    <d v="2025-10-12T00:00:00"/>
    <n v="189"/>
    <s v="OK"/>
    <s v="CUST-2819"/>
    <s v="Isha Nair"/>
    <s v="Isha Nair"/>
    <s v="Corporate"/>
    <x v="2"/>
    <s v="North"/>
    <x v="0"/>
    <s v="OK"/>
    <s v="Haryana"/>
    <s v="Haryana"/>
    <s v="Gurugram"/>
    <s v="Gurugram"/>
    <s v="Technology"/>
    <x v="2"/>
    <s v="Accessories"/>
    <x v="4"/>
    <s v="Elite Accessories 291"/>
    <s v="Second Class"/>
    <x v="0"/>
    <s v="OK"/>
    <n v="1"/>
    <n v="2133.73"/>
    <n v="0.15"/>
    <n v="0.15"/>
    <s v="OK"/>
    <n v="2008.39"/>
    <n v="1002.57"/>
    <n v="811.1"/>
    <n v="1813.6704999999999"/>
    <n v="811.1004999999999"/>
    <x v="597"/>
    <s v="Pending"/>
    <x v="1"/>
    <s v="OK"/>
    <s v="Cancelled"/>
    <x v="2"/>
    <s v="EXCLUDE_FROM_SALES"/>
    <s v="CLEAN"/>
    <s v="MISMATCH"/>
    <s v="MATCH"/>
  </r>
  <r>
    <x v="609"/>
    <n v="1"/>
    <d v="2025-03-07T00:00:00"/>
    <d v="2025-03-07T00:00:00"/>
    <x v="10"/>
    <x v="1"/>
    <s v="14 Sep 2025"/>
    <d v="2025-09-14T00:00:00"/>
    <n v="191"/>
    <s v="OK"/>
    <s v="CUST-8242"/>
    <s v="Priya Menon"/>
    <s v="Priya Menon"/>
    <s v="Small Business"/>
    <x v="1"/>
    <s v="North"/>
    <x v="0"/>
    <s v="OK"/>
    <s v="Delhi"/>
    <s v="Delhi"/>
    <s v="New Delhi"/>
    <s v="New Delhi"/>
    <s v="Technology"/>
    <x v="2"/>
    <s v="Accessories"/>
    <x v="4"/>
    <s v="Pro Accessories 207"/>
    <s v="Same Day"/>
    <x v="1"/>
    <s v="OK"/>
    <n v="1"/>
    <n v="3979.64"/>
    <n v="0.05"/>
    <n v="0.05"/>
    <s v="OK"/>
    <n v="3780.66"/>
    <n v="2148.31"/>
    <n v="1632.35"/>
    <n v="3780.6579999999999"/>
    <n v="1632.348"/>
    <x v="598"/>
    <s v="Paid"/>
    <x v="0"/>
    <s v="OK"/>
    <s v="Returned"/>
    <x v="1"/>
    <s v="RETURNED_ORDER"/>
    <s v="CLEAN"/>
    <s v="MATCH"/>
    <s v="MATCH"/>
  </r>
  <r>
    <x v="610"/>
    <n v="1"/>
    <d v="2025-07-25T00:00:00"/>
    <d v="2025-07-25T00:00:00"/>
    <x v="0"/>
    <x v="1"/>
    <s v="2024-04-10"/>
    <d v="2024-04-10T00:00:00"/>
    <n v="-471"/>
    <s v="INVALID_SHIPPING"/>
    <s v="CUST-2052"/>
    <s v="Kabir Singh"/>
    <s v="Kabir Singh"/>
    <s v="Consumer"/>
    <x v="0"/>
    <s v="East"/>
    <x v="1"/>
    <s v="OK"/>
    <s v="Jharkhand"/>
    <s v="Jharkhand"/>
    <s v="Ranchi"/>
    <s v="Ranchi"/>
    <s v="Office Supplies"/>
    <x v="0"/>
    <s v="Binders"/>
    <x v="11"/>
    <s v="Basic Binders 637"/>
    <s v="Second Class"/>
    <x v="0"/>
    <s v="OK"/>
    <n v="6"/>
    <n v="3438.38"/>
    <n v="0.2"/>
    <n v="0.2"/>
    <s v="OK"/>
    <n v="16504.22"/>
    <n v="11262.71"/>
    <n v="5241.51"/>
    <n v="16504.223999999998"/>
    <n v="5241.5139999999992"/>
    <x v="599"/>
    <s v="Paid"/>
    <x v="0"/>
    <s v="OK"/>
    <s v="Completed"/>
    <x v="0"/>
    <s v="OK"/>
    <s v="INVALID"/>
    <s v="MATCH"/>
    <s v="MATCH"/>
  </r>
  <r>
    <x v="611"/>
    <n v="1"/>
    <d v="2025-03-13T00:00:00"/>
    <d v="2025-03-13T00:00:00"/>
    <x v="10"/>
    <x v="1"/>
    <s v="15-04-2024"/>
    <d v="2024-04-15T00:00:00"/>
    <n v="-332"/>
    <s v="INVALID_SHIPPING"/>
    <s v="CUST-6568"/>
    <s v="Vikram Iyer"/>
    <s v="Vikram Iyer"/>
    <s v="Consumer"/>
    <x v="0"/>
    <s v="West"/>
    <x v="3"/>
    <s v="OK"/>
    <s v="Maharashtra"/>
    <s v="Maharashtra"/>
    <s v="Mumbai"/>
    <s v="Mumbai"/>
    <s v="Furniture"/>
    <x v="1"/>
    <s v="Furnishings"/>
    <x v="3"/>
    <s v="Classic Furnishings 819"/>
    <s v="First Class"/>
    <x v="2"/>
    <s v="OK"/>
    <n v="1"/>
    <n v="1814.01"/>
    <n v="0"/>
    <n v="0"/>
    <s v="OK"/>
    <n v="1814.01"/>
    <n v="1033.47"/>
    <n v="780.54"/>
    <n v="1814.01"/>
    <n v="780.54"/>
    <x v="600"/>
    <s v="Paid"/>
    <x v="0"/>
    <s v="OK"/>
    <s v="Completed"/>
    <x v="0"/>
    <s v="OK"/>
    <s v="INVALID"/>
    <s v="MATCH"/>
    <s v="MATCH"/>
  </r>
  <r>
    <x v="612"/>
    <n v="1"/>
    <d v="2025-08-15T00:00:00"/>
    <d v="2025-08-15T00:00:00"/>
    <x v="1"/>
    <x v="1"/>
    <s v="16-04-2025"/>
    <d v="2025-04-16T00:00:00"/>
    <n v="-121"/>
    <s v="INVALID_SHIPPING"/>
    <s v="CUST-5610"/>
    <s v="Neha Gupta"/>
    <s v="Neha Gupta"/>
    <s v="Home Office"/>
    <x v="3"/>
    <s v="North"/>
    <x v="0"/>
    <s v="OK"/>
    <s v="Rajasthan"/>
    <s v="Rajasthan"/>
    <s v="Jaipur"/>
    <s v="Jaipur"/>
    <s v="Office Supplies"/>
    <x v="0"/>
    <s v="Storage"/>
    <x v="7"/>
    <s v="Basic Storage 771"/>
    <s v="Standard Class"/>
    <x v="3"/>
    <s v="OK"/>
    <n v="9"/>
    <n v="4081.77"/>
    <n v="0"/>
    <n v="0"/>
    <s v="OK"/>
    <n v="36735.93"/>
    <n v="30820.84"/>
    <n v="5915.09"/>
    <n v="36735.93"/>
    <n v="5915.09"/>
    <x v="601"/>
    <s v="Paid"/>
    <x v="0"/>
    <s v="OK"/>
    <s v="Completed"/>
    <x v="0"/>
    <s v="OK"/>
    <s v="INVALID"/>
    <s v="MATCH"/>
    <s v="MATCH"/>
  </r>
  <r>
    <x v="613"/>
    <n v="1"/>
    <d v="2025-06-19T00:00:00"/>
    <d v="2025-06-19T00:00:00"/>
    <x v="8"/>
    <x v="1"/>
    <s v="20 Apr 2025"/>
    <d v="2025-04-20T00:00:00"/>
    <n v="-60"/>
    <s v="INVALID_SHIPPING"/>
    <s v="CUST-9114"/>
    <s v="Karan Malhotra"/>
    <s v="Karan Malhotra"/>
    <s v="Home Office"/>
    <x v="3"/>
    <s v="South"/>
    <x v="2"/>
    <s v="OK"/>
    <s v="Tamil Nadu"/>
    <s v="Tamil Nadu"/>
    <s v="Chennai"/>
    <s v="Chennai"/>
    <s v="Furniture"/>
    <x v="1"/>
    <s v="Bookcases"/>
    <x v="9"/>
    <s v="Basic Bookcases 823"/>
    <s v="First Class"/>
    <x v="2"/>
    <s v="OK"/>
    <n v="2"/>
    <n v="4346.6899999999996"/>
    <n v="0.05"/>
    <n v="0.05"/>
    <s v="OK"/>
    <n v="8258.7099999999991"/>
    <n v="7018.97"/>
    <n v="1239.74"/>
    <n v="8258.7109999999993"/>
    <n v="1239.7409999999991"/>
    <x v="602"/>
    <s v="Paid"/>
    <x v="0"/>
    <s v="OK"/>
    <s v="Completed"/>
    <x v="0"/>
    <s v="OK"/>
    <s v="INVALID"/>
    <s v="MATCH"/>
    <s v="MATCH"/>
  </r>
  <r>
    <x v="614"/>
    <n v="1"/>
    <d v="2025-08-22T00:00:00"/>
    <d v="2025-08-22T00:00:00"/>
    <x v="1"/>
    <x v="1"/>
    <s v="12 Jan 2025"/>
    <d v="2025-01-12T00:00:00"/>
    <n v="-222"/>
    <s v="INVALID_SHIPPING"/>
    <s v="CUST-8557"/>
    <s v="Diya Patel"/>
    <s v="Diya Patel"/>
    <s v="Home Office"/>
    <x v="3"/>
    <s v="East"/>
    <x v="1"/>
    <s v="OK"/>
    <s v="Jharkhand"/>
    <s v="Jharkhand"/>
    <s v="Ranchi"/>
    <s v="Ranchi"/>
    <s v="Furniture"/>
    <x v="1"/>
    <s v="Tables"/>
    <x v="1"/>
    <s v="Classic Tables 178"/>
    <s v="Standard Class"/>
    <x v="3"/>
    <s v="OK"/>
    <n v="1"/>
    <n v="1842.63"/>
    <n v="0.1"/>
    <n v="0.1"/>
    <s v="OK"/>
    <n v="1658.37"/>
    <n v="971.12"/>
    <n v="687.25"/>
    <n v="1658.3670000000002"/>
    <n v="687.24700000000018"/>
    <x v="603"/>
    <s v="Paid"/>
    <x v="0"/>
    <s v="OK"/>
    <s v="Completed"/>
    <x v="0"/>
    <s v="OK"/>
    <s v="INVALID"/>
    <s v="MATCH"/>
    <s v="MATCH"/>
  </r>
  <r>
    <x v="615"/>
    <n v="1"/>
    <d v="2025-02-28T00:00:00"/>
    <d v="2025-02-28T00:00:00"/>
    <x v="11"/>
    <x v="1"/>
    <s v="2024-05-25"/>
    <d v="2024-05-25T00:00:00"/>
    <n v="-279"/>
    <s v="INVALID_SHIPPING"/>
    <s v="CUST-7837"/>
    <s v="Kabir Singh"/>
    <s v="Kabir Singh"/>
    <s v="Home Office"/>
    <x v="3"/>
    <s v="North"/>
    <x v="0"/>
    <s v="OK"/>
    <s v="Haryana"/>
    <s v="Haryana"/>
    <s v="Gurugram"/>
    <s v="Gurugram"/>
    <s v="Office Supplies"/>
    <x v="0"/>
    <s v="Art"/>
    <x v="2"/>
    <s v="Classic Art 183"/>
    <s v="Same Day"/>
    <x v="1"/>
    <s v="OK"/>
    <n v="9"/>
    <n v="3748.95"/>
    <n v="0"/>
    <n v="0"/>
    <s v="OK"/>
    <n v="33740.550000000003"/>
    <n v="24621.89"/>
    <n v="9118.66"/>
    <n v="33740.549999999996"/>
    <n v="9118.6599999999962"/>
    <x v="604"/>
    <s v="Pending"/>
    <x v="1"/>
    <s v="OK"/>
    <s v="Cancelled"/>
    <x v="2"/>
    <s v="EXCLUDE_FROM_SALES"/>
    <s v="INVALID"/>
    <s v="MATCH"/>
    <s v="MATCH"/>
  </r>
  <r>
    <x v="616"/>
    <n v="1"/>
    <d v="2025-07-16T00:00:00"/>
    <d v="2025-07-16T00:00:00"/>
    <x v="0"/>
    <x v="1"/>
    <s v="09 Oct 2024"/>
    <d v="2024-10-09T00:00:00"/>
    <n v="-280"/>
    <s v="INVALID_SHIPPING"/>
    <s v="CUST-4755"/>
    <s v="Priya Menon"/>
    <s v="Priya Menon"/>
    <s v="Consumer"/>
    <x v="0"/>
    <s v="East"/>
    <x v="1"/>
    <s v="OK"/>
    <s v="Odisha"/>
    <s v="Odisha"/>
    <s v="Bhubaneswar"/>
    <s v="Bhubaneswar"/>
    <s v="Technology"/>
    <x v="2"/>
    <s v="Phones"/>
    <x v="8"/>
    <s v="Basic Phones 326"/>
    <s v="Second Class"/>
    <x v="0"/>
    <s v="OK"/>
    <n v="6"/>
    <n v="4159.33"/>
    <n v="0.25"/>
    <n v="0.25"/>
    <s v="OK"/>
    <n v="18716.990000000002"/>
    <n v="12282.43"/>
    <n v="6434.56"/>
    <n v="18716.985000000001"/>
    <n v="6434.5550000000003"/>
    <x v="605"/>
    <s v="Paid"/>
    <x v="0"/>
    <s v="OK"/>
    <s v="Returned"/>
    <x v="1"/>
    <s v="RETURNED_ORDER"/>
    <s v="INVALID"/>
    <s v="MATCH"/>
    <s v="MATCH"/>
  </r>
  <r>
    <x v="617"/>
    <n v="1"/>
    <d v="2025-06-25T00:00:00"/>
    <d v="2025-06-25T00:00:00"/>
    <x v="8"/>
    <x v="1"/>
    <s v="2024-05-26"/>
    <d v="2024-05-26T00:00:00"/>
    <n v="-395"/>
    <s v="INVALID_SHIPPING"/>
    <s v="CUST-6778"/>
    <s v="Aditi Sen"/>
    <s v="Aditi Sen"/>
    <s v="Small Business"/>
    <x v="1"/>
    <s v="East"/>
    <x v="1"/>
    <s v="OK"/>
    <s v="Assam"/>
    <s v="Assam"/>
    <s v="Guwahati"/>
    <s v="Guwahati"/>
    <s v="Office Supplies"/>
    <x v="0"/>
    <s v="Binders"/>
    <x v="11"/>
    <s v="Max Binders 587"/>
    <s v="Standard Class"/>
    <x v="3"/>
    <s v="OK"/>
    <n v="3"/>
    <n v="3476.05"/>
    <n v="0.1"/>
    <n v="0.1"/>
    <s v="OK"/>
    <n v="9385.34"/>
    <n v="5828.54"/>
    <n v="3556.8"/>
    <n v="9385.3350000000009"/>
    <n v="3556.795000000001"/>
    <x v="606"/>
    <s v="Paid"/>
    <x v="0"/>
    <s v="OK"/>
    <s v="Completed"/>
    <x v="0"/>
    <s v="OK"/>
    <s v="INVALID"/>
    <s v="MATCH"/>
    <s v="MATCH"/>
  </r>
  <r>
    <x v="618"/>
    <n v="1"/>
    <d v="2025-05-24T00:00:00"/>
    <d v="2025-05-24T00:00:00"/>
    <x v="3"/>
    <x v="1"/>
    <s v="31-01-2024"/>
    <d v="2024-01-31T00:00:00"/>
    <n v="-479"/>
    <s v="INVALID_SHIPPING"/>
    <s v="CUST-7629"/>
    <s v="Aditi Sen"/>
    <s v="Aditi Sen"/>
    <s v="Home Office"/>
    <x v="3"/>
    <s v="North"/>
    <x v="0"/>
    <s v="OK"/>
    <s v="Haryana"/>
    <s v="Haryana"/>
    <s v="Gurugram"/>
    <s v="Gurugram"/>
    <s v="Furniture"/>
    <x v="1"/>
    <s v="Furnishings"/>
    <x v="3"/>
    <s v="Basic Furnishings 617"/>
    <s v="Same Day"/>
    <x v="1"/>
    <s v="OK"/>
    <n v="6"/>
    <n v="3495.41"/>
    <n v="0.15"/>
    <n v="0.15"/>
    <s v="OK"/>
    <n v="17826.59"/>
    <n v="10855.35"/>
    <n v="6971.24"/>
    <n v="17826.591"/>
    <n v="6971.241"/>
    <x v="607"/>
    <s v="Paid"/>
    <x v="0"/>
    <s v="OK"/>
    <s v="Completed"/>
    <x v="0"/>
    <s v="OK"/>
    <s v="INVALID"/>
    <s v="MATCH"/>
    <s v="MATCH"/>
  </r>
  <r>
    <x v="619"/>
    <n v="1"/>
    <d v="2025-01-23T00:00:00"/>
    <d v="2025-01-23T00:00:00"/>
    <x v="9"/>
    <x v="1"/>
    <s v="31-12-2024"/>
    <d v="2024-12-31T00:00:00"/>
    <n v="-23"/>
    <s v="INVALID_SHIPPING"/>
    <s v="CUST-2141"/>
    <s v="Isha Nair"/>
    <s v="Isha Nair"/>
    <s v="Consumer"/>
    <x v="0"/>
    <s v="South"/>
    <x v="2"/>
    <s v="OK"/>
    <s v="Kerala"/>
    <s v="Kerala"/>
    <s v="Kochi"/>
    <s v="Kochi"/>
    <s v="Technology"/>
    <x v="2"/>
    <s v="Copiers"/>
    <x v="6"/>
    <s v="Eco Copiers 894"/>
    <s v="First Class"/>
    <x v="2"/>
    <s v="OK"/>
    <n v="7"/>
    <n v="348.49"/>
    <n v="0.2"/>
    <n v="0.2"/>
    <s v="OK"/>
    <n v="1951.54"/>
    <n v="1609.95"/>
    <n v="341.59"/>
    <n v="1951.5440000000003"/>
    <n v="341.59400000000028"/>
    <x v="608"/>
    <s v="Failed"/>
    <x v="3"/>
    <s v="EXCLUDE_FROM_SALES"/>
    <s v="Returned"/>
    <x v="1"/>
    <s v="RETURNED_ORDER"/>
    <s v="INVALID"/>
    <s v="MATCH"/>
    <s v="MATCH"/>
  </r>
  <r>
    <x v="620"/>
    <n v="1"/>
    <d v="2025-05-28T00:00:00"/>
    <d v="2025-05-28T00:00:00"/>
    <x v="3"/>
    <x v="1"/>
    <s v="17 Jan 2025"/>
    <d v="2025-01-17T00:00:00"/>
    <n v="-131"/>
    <s v="INVALID_SHIPPING"/>
    <s v="CUST-5599"/>
    <s v="Isha Nair"/>
    <s v="Isha Nair"/>
    <s v="Home Office"/>
    <x v="3"/>
    <s v="East"/>
    <x v="1"/>
    <s v="OK"/>
    <s v="Bihar"/>
    <s v="Bihar"/>
    <s v="Patna"/>
    <s v="Patna"/>
    <s v="Technology"/>
    <x v="2"/>
    <s v="Phones"/>
    <x v="8"/>
    <s v="Elite Phones 202"/>
    <s v="Same Day"/>
    <x v="1"/>
    <s v="OK"/>
    <n v="4"/>
    <n v="1654.11"/>
    <n v="0.05"/>
    <n v="0.05"/>
    <s v="OK"/>
    <n v="6285.62"/>
    <n v="3705.38"/>
    <n v="2580.2399999999998"/>
    <n v="6285.6179999999995"/>
    <n v="2580.2379999999994"/>
    <x v="609"/>
    <s v="Paid"/>
    <x v="0"/>
    <s v="OK"/>
    <s v="Completed"/>
    <x v="0"/>
    <s v="OK"/>
    <s v="INVALID"/>
    <s v="MATCH"/>
    <s v="MATCH"/>
  </r>
  <r>
    <x v="621"/>
    <n v="1"/>
    <d v="2025-06-04T00:00:00"/>
    <d v="2025-06-04T00:00:00"/>
    <x v="8"/>
    <x v="1"/>
    <s v="2025-04-14"/>
    <d v="2025-04-14T00:00:00"/>
    <n v="-51"/>
    <s v="INVALID_SHIPPING"/>
    <s v="CUST-1623"/>
    <s v="Neha Gupta"/>
    <s v="Neha Gupta"/>
    <s v="Consumer"/>
    <x v="0"/>
    <s v="West"/>
    <x v="3"/>
    <s v="OK"/>
    <s v="Goa"/>
    <s v="Goa"/>
    <s v="Panaji"/>
    <s v="Panaji"/>
    <s v="Office Supplies"/>
    <x v="0"/>
    <s v="Storage"/>
    <x v="7"/>
    <s v="Elite Storage 535"/>
    <s v="Same Day"/>
    <x v="1"/>
    <s v="OK"/>
    <n v="2"/>
    <n v="2703.28"/>
    <n v="0.25"/>
    <n v="0.25"/>
    <s v="OK"/>
    <n v="4054.92"/>
    <n v="2424.83"/>
    <n v="1630.09"/>
    <n v="4054.92"/>
    <n v="1630.0900000000001"/>
    <x v="610"/>
    <s v="Paid"/>
    <x v="0"/>
    <s v="OK"/>
    <s v="Completed"/>
    <x v="0"/>
    <s v="OK"/>
    <s v="INVALID"/>
    <s v="MATCH"/>
    <s v="MATCH"/>
  </r>
  <r>
    <x v="622"/>
    <n v="1"/>
    <d v="2025-02-20T00:00:00"/>
    <d v="2025-02-20T00:00:00"/>
    <x v="11"/>
    <x v="1"/>
    <s v="08/31/2024"/>
    <d v="2024-08-31T00:00:00"/>
    <n v="-173"/>
    <s v="INVALID_SHIPPING"/>
    <s v="CUST-2589"/>
    <s v="Aarav Sharma"/>
    <s v="Aarav Sharma"/>
    <s v="Consumer"/>
    <x v="0"/>
    <s v="North"/>
    <x v="0"/>
    <s v="OK"/>
    <s v="Rajasthan"/>
    <s v="Rajasthan"/>
    <s v="Jaipur"/>
    <s v="Jaipur"/>
    <s v="Technology"/>
    <x v="2"/>
    <s v="Phones"/>
    <x v="8"/>
    <s v="Pro Phones 530"/>
    <s v="Second Class"/>
    <x v="0"/>
    <s v="OK"/>
    <n v="4"/>
    <n v="3673.11"/>
    <n v="0"/>
    <n v="0"/>
    <s v="OK"/>
    <n v="14692.44"/>
    <n v="10082.19"/>
    <n v="4610.25"/>
    <n v="14692.44"/>
    <n v="4610.25"/>
    <x v="611"/>
    <s v="Paid"/>
    <x v="0"/>
    <s v="OK"/>
    <s v="Completed"/>
    <x v="0"/>
    <s v="OK"/>
    <s v="INVALID"/>
    <s v="MATCH"/>
    <s v="MATCH"/>
  </r>
  <r>
    <x v="623"/>
    <n v="1"/>
    <d v="2025-12-07T00:00:00"/>
    <d v="2025-12-07T00:00:00"/>
    <x v="4"/>
    <x v="1"/>
    <s v="2024-02-13"/>
    <d v="2024-02-13T00:00:00"/>
    <n v="-663"/>
    <s v="INVALID_SHIPPING"/>
    <s v="CUST-4153"/>
    <s v="Ananya Rao"/>
    <s v="Ananya Rao"/>
    <s v="Corporate"/>
    <x v="2"/>
    <s v="North"/>
    <x v="0"/>
    <s v="OK"/>
    <s v="Uttar Pradesh"/>
    <s v="Uttar Pradesh"/>
    <s v="Noida"/>
    <s v="Noida"/>
    <s v="Furniture"/>
    <x v="1"/>
    <s v="Tables"/>
    <x v="1"/>
    <s v="Basic Tables 911"/>
    <s v="First Class"/>
    <x v="2"/>
    <s v="OK"/>
    <n v="9"/>
    <n v="4093.04"/>
    <n v="0.2"/>
    <n v="0.2"/>
    <s v="OK"/>
    <n v="29469.89"/>
    <n v="18935.509999999998"/>
    <n v="10534.38"/>
    <n v="29469.888000000003"/>
    <n v="10534.378000000004"/>
    <x v="612"/>
    <s v="Pending"/>
    <x v="1"/>
    <s v="OK"/>
    <s v="Cancelled"/>
    <x v="2"/>
    <s v="EXCLUDE_FROM_SALES"/>
    <s v="INVALID"/>
    <s v="MATCH"/>
    <s v="MATCH"/>
  </r>
  <r>
    <x v="624"/>
    <n v="1"/>
    <d v="2025-06-13T00:00:00"/>
    <d v="2025-06-13T00:00:00"/>
    <x v="8"/>
    <x v="1"/>
    <s v="04/17/2025"/>
    <d v="2025-04-17T00:00:00"/>
    <n v="-57"/>
    <s v="INVALID_SHIPPING"/>
    <s v="CUST-6727"/>
    <s v="Rohan Mehta"/>
    <s v="Rohan Mehta"/>
    <s v="Consumer"/>
    <x v="0"/>
    <s v="North"/>
    <x v="0"/>
    <s v="OK"/>
    <s v="Rajasthan"/>
    <s v="Rajasthan"/>
    <s v="Jaipur"/>
    <s v="Jaipur"/>
    <s v="Furniture"/>
    <x v="1"/>
    <s v="Tables"/>
    <x v="1"/>
    <s v="Classic Tables 224"/>
    <s v="First Class"/>
    <x v="2"/>
    <s v="OK"/>
    <n v="4"/>
    <n v="731.57"/>
    <n v="0.2"/>
    <n v="0.2"/>
    <s v="OK"/>
    <n v="2341.02"/>
    <n v="1565.49"/>
    <n v="775.53"/>
    <n v="2341.0240000000003"/>
    <n v="775.53400000000033"/>
    <x v="613"/>
    <s v="Paid"/>
    <x v="0"/>
    <s v="OK"/>
    <s v="Completed"/>
    <x v="0"/>
    <s v="OK"/>
    <s v="INVALID"/>
    <s v="MATCH"/>
    <s v="MATCH"/>
  </r>
  <r>
    <x v="625"/>
    <n v="1"/>
    <d v="2025-05-30T00:00:00"/>
    <d v="2025-05-30T00:00:00"/>
    <x v="3"/>
    <x v="1"/>
    <s v="09-01-2024"/>
    <d v="2024-09-01T00:00:00"/>
    <n v="-271"/>
    <s v="INVALID_SHIPPING"/>
    <s v="CUST-4770"/>
    <s v="Rahul Verma"/>
    <s v="Rahul Verma"/>
    <s v="Corporate"/>
    <x v="2"/>
    <s v="North"/>
    <x v="0"/>
    <s v="OK"/>
    <s v="Uttar Pradesh"/>
    <s v="Uttar Pradesh"/>
    <s v="Noida"/>
    <s v="Noida"/>
    <s v="Technology"/>
    <x v="2"/>
    <s v="Phones"/>
    <x v="8"/>
    <s v="Pro Phones 764"/>
    <s v="First Class"/>
    <x v="2"/>
    <s v="OK"/>
    <n v="8"/>
    <n v="2081.4299999999998"/>
    <n v="0.25"/>
    <n v="0.25"/>
    <s v="OK"/>
    <n v="12488.58"/>
    <n v="10717.4"/>
    <n v="1771.18"/>
    <n v="12488.579999999998"/>
    <n v="1771.1799999999985"/>
    <x v="614"/>
    <s v="Refunded"/>
    <x v="2"/>
    <s v="REFUNDED_PAYMENT"/>
    <s v="Cancelled"/>
    <x v="2"/>
    <s v="EXCLUDE_FROM_SALES"/>
    <s v="INVALID"/>
    <s v="MATCH"/>
    <s v="MATCH"/>
  </r>
  <r>
    <x v="626"/>
    <n v="2"/>
    <d v="2025-05-18T00:00:00"/>
    <d v="2025-05-18T00:00:00"/>
    <x v="3"/>
    <x v="1"/>
    <s v="24-09-2024"/>
    <d v="2024-09-24T00:00:00"/>
    <n v="-236"/>
    <s v="INVALID_SHIPPING"/>
    <s v="CUST-1945"/>
    <s v="Isha Nair"/>
    <s v="Isha Nair"/>
    <s v="Corporate"/>
    <x v="2"/>
    <s v="West"/>
    <x v="3"/>
    <s v="OK"/>
    <s v="Madhya Pradesh"/>
    <s v="Madhya Pradesh"/>
    <s v="Indore"/>
    <s v="Indore"/>
    <s v="Office Supplies"/>
    <x v="0"/>
    <s v="Labels"/>
    <x v="5"/>
    <s v="Elite Labels 544"/>
    <s v="Standard Class"/>
    <x v="3"/>
    <s v="OK"/>
    <n v="9"/>
    <n v="847.76"/>
    <n v="0.15"/>
    <n v="0.15"/>
    <s v="OK"/>
    <n v="6485.36"/>
    <n v="5376.17"/>
    <n v="1109.19"/>
    <n v="6485.3639999999996"/>
    <n v="1109.1939999999995"/>
    <x v="615"/>
    <s v="Failed"/>
    <x v="3"/>
    <s v="EXCLUDE_FROM_SALES"/>
    <s v="Returned"/>
    <x v="1"/>
    <s v="RETURNED_ORDER"/>
    <s v="INVALID"/>
    <s v="MATCH"/>
    <s v="MATCH"/>
  </r>
  <r>
    <x v="626"/>
    <n v="2"/>
    <d v="2025-05-18T00:00:00"/>
    <d v="2025-05-18T00:00:00"/>
    <x v="3"/>
    <x v="1"/>
    <s v="09-01-2025"/>
    <d v="2025-09-01T00:00:00"/>
    <n v="106"/>
    <s v="OK"/>
    <s v="CUST-1945"/>
    <s v="Isha Nair"/>
    <s v="Isha Nair"/>
    <s v="Corporate"/>
    <x v="2"/>
    <s v="West"/>
    <x v="3"/>
    <s v="OK"/>
    <s v="Madhya Pradesh"/>
    <s v="Madhya Pradesh"/>
    <s v="Indore"/>
    <s v="Indore"/>
    <s v="Office Supplies"/>
    <x v="0"/>
    <s v="Labels"/>
    <x v="5"/>
    <s v="Elite Labels 544"/>
    <s v="Standard Class"/>
    <x v="3"/>
    <s v="OK"/>
    <n v="9"/>
    <n v="847.76"/>
    <n v="0.15"/>
    <n v="0.15"/>
    <s v="OK"/>
    <n v="6589.37"/>
    <n v="5376.17"/>
    <n v="1109.19"/>
    <n v="6485.3639999999996"/>
    <n v="1109.1939999999995"/>
    <x v="615"/>
    <s v="Failed"/>
    <x v="3"/>
    <s v="EXCLUDE_FROM_SALES"/>
    <s v="Completed"/>
    <x v="0"/>
    <s v="OK"/>
    <s v="CLEAN"/>
    <s v="MISMATCH"/>
    <s v="MATCH"/>
  </r>
  <r>
    <x v="627"/>
    <n v="1"/>
    <d v="2025-08-29T00:00:00"/>
    <d v="2025-08-29T00:00:00"/>
    <x v="1"/>
    <x v="1"/>
    <s v="24 Apr 2024"/>
    <d v="2024-04-24T00:00:00"/>
    <n v="-492"/>
    <s v="INVALID_SHIPPING"/>
    <s v="CUST-7992"/>
    <s v="Neha Gupta"/>
    <s v="Neha Gupta"/>
    <s v="Corporate"/>
    <x v="2"/>
    <s v="South"/>
    <x v="2"/>
    <s v="OK"/>
    <s v="Kerala"/>
    <s v="Kerala"/>
    <s v="Kochi"/>
    <s v="Kochi"/>
    <s v="Furniture"/>
    <x v="1"/>
    <s v="Tables"/>
    <x v="1"/>
    <s v="Pro Tables 778"/>
    <s v="First Class"/>
    <x v="2"/>
    <s v="OK"/>
    <n v="9"/>
    <n v="2996.97"/>
    <n v="0.15"/>
    <n v="0.15"/>
    <s v="OK"/>
    <n v="22926.82"/>
    <n v="14621.59"/>
    <n v="8305.23"/>
    <n v="22926.820499999998"/>
    <n v="8305.2304999999978"/>
    <x v="616"/>
    <s v="Paid"/>
    <x v="0"/>
    <s v="OK"/>
    <s v="Completed"/>
    <x v="0"/>
    <s v="OK"/>
    <s v="INVALID"/>
    <s v="MATCH"/>
    <s v="MATCH"/>
  </r>
  <r>
    <x v="628"/>
    <n v="1"/>
    <d v="2025-07-31T00:00:00"/>
    <d v="2025-07-31T00:00:00"/>
    <x v="0"/>
    <x v="1"/>
    <s v="19-08-2025"/>
    <d v="2025-08-19T00:00:00"/>
    <n v="19"/>
    <s v="OK"/>
    <s v="CUST-7212"/>
    <s v="Rohan Mehta"/>
    <s v="Rohan Mehta"/>
    <s v="Home Office"/>
    <x v="3"/>
    <s v="South"/>
    <x v="2"/>
    <s v="OK"/>
    <s v="Andhra Pradesh"/>
    <s v="Andhra Pradesh"/>
    <s v="Vijayawada"/>
    <s v="Vijayawada"/>
    <s v="Office Supplies"/>
    <x v="0"/>
    <s v="Labels"/>
    <x v="5"/>
    <s v="Basic Labels 102"/>
    <s v="Same Day"/>
    <x v="1"/>
    <s v="OK"/>
    <n v="1"/>
    <n v="1947.88"/>
    <n v="0.15"/>
    <n v="0.15"/>
    <s v="OK"/>
    <n v="1655.7"/>
    <n v="1354.8"/>
    <n v="300.89999999999998"/>
    <n v="1655.6980000000001"/>
    <n v="300.89800000000014"/>
    <x v="617"/>
    <s v="Paid"/>
    <x v="0"/>
    <s v="OK"/>
    <s v="Returned"/>
    <x v="1"/>
    <s v="RETURNED_ORDER"/>
    <s v="CLEAN"/>
    <s v="MATCH"/>
    <s v="MATCH"/>
  </r>
  <r>
    <x v="629"/>
    <n v="1"/>
    <d v="2025-09-16T00:00:00"/>
    <d v="2025-09-16T00:00:00"/>
    <x v="5"/>
    <x v="1"/>
    <s v="21 Apr 2024"/>
    <d v="2024-04-21T00:00:00"/>
    <n v="-513"/>
    <s v="INVALID_SHIPPING"/>
    <s v="CUST-7980"/>
    <s v="Sneha Kapoor"/>
    <s v="Sneha Kapoor"/>
    <s v="Home Office"/>
    <x v="3"/>
    <s v="East"/>
    <x v="1"/>
    <s v="OK"/>
    <s v="West Bengal"/>
    <s v="West Bengal"/>
    <s v="Kolkata"/>
    <s v="Kolkata"/>
    <s v="Technology"/>
    <x v="2"/>
    <s v="Copiers"/>
    <x v="6"/>
    <s v="Prime Copiers 170"/>
    <s v="Second Class"/>
    <x v="0"/>
    <s v="OK"/>
    <n v="5"/>
    <n v="3671.2"/>
    <n v="0.15"/>
    <n v="0.15"/>
    <s v="OK"/>
    <n v="15602.6"/>
    <n v="11908.52"/>
    <n v="3694.08"/>
    <n v="15602.6"/>
    <n v="3694.08"/>
    <x v="618"/>
    <s v="Paid"/>
    <x v="0"/>
    <s v="OK"/>
    <s v="Completed"/>
    <x v="0"/>
    <s v="OK"/>
    <s v="INVALID"/>
    <s v="MATCH"/>
    <s v="MATCH"/>
  </r>
  <r>
    <x v="630"/>
    <n v="1"/>
    <d v="2025-07-22T00:00:00"/>
    <d v="2025-07-22T00:00:00"/>
    <x v="0"/>
    <x v="1"/>
    <s v="09-08-2025"/>
    <d v="2025-09-08T00:00:00"/>
    <n v="48"/>
    <s v="OK"/>
    <s v="CUST-1966"/>
    <s v="Sneha Kapoor"/>
    <s v="Sneha Kapoor"/>
    <s v="Corporate"/>
    <x v="2"/>
    <s v="East"/>
    <x v="1"/>
    <s v="OK"/>
    <s v="Jharkhand"/>
    <s v="Jharkhand"/>
    <s v="Ranchi"/>
    <s v="Ranchi"/>
    <s v="Furniture"/>
    <x v="1"/>
    <s v="Furnishings"/>
    <x v="3"/>
    <s v="Smart Furnishings 533"/>
    <s v="Same Day"/>
    <x v="1"/>
    <s v="OK"/>
    <n v="5"/>
    <n v="3187.05"/>
    <n v="0.05"/>
    <n v="0.05"/>
    <s v="OK"/>
    <n v="15138.49"/>
    <n v="11235.72"/>
    <n v="3902.77"/>
    <n v="15138.487499999999"/>
    <n v="3902.7674999999999"/>
    <x v="619"/>
    <s v="Paid"/>
    <x v="0"/>
    <s v="OK"/>
    <s v="Completed"/>
    <x v="0"/>
    <s v="OK"/>
    <s v="CLEAN"/>
    <s v="MATCH"/>
    <s v="MATCH"/>
  </r>
  <r>
    <x v="631"/>
    <n v="1"/>
    <d v="2025-05-29T00:00:00"/>
    <d v="2025-05-29T00:00:00"/>
    <x v="3"/>
    <x v="1"/>
    <s v="2025-03-21"/>
    <d v="2025-03-21T00:00:00"/>
    <n v="-69"/>
    <s v="INVALID_SHIPPING"/>
    <s v="CUST-7239"/>
    <s v="Diya Patel"/>
    <s v="Diya Patel"/>
    <s v="Consumer"/>
    <x v="0"/>
    <s v="West"/>
    <x v="3"/>
    <s v="OK"/>
    <s v="Maharashtra"/>
    <s v="Maharashtra"/>
    <s v="Mumbai"/>
    <s v="Mumbai"/>
    <s v="Office Supplies"/>
    <x v="0"/>
    <s v="Storage"/>
    <x v="7"/>
    <s v="Smart Storage 439"/>
    <s v="First Class"/>
    <x v="2"/>
    <s v="OK"/>
    <n v="6"/>
    <n v="3100.68"/>
    <n v="0"/>
    <n v="0"/>
    <s v="OK"/>
    <n v="18604.080000000002"/>
    <n v="15834.3"/>
    <n v="2769.78"/>
    <n v="18604.079999999998"/>
    <n v="2769.7799999999988"/>
    <x v="620"/>
    <s v="Paid"/>
    <x v="0"/>
    <s v="OK"/>
    <s v="Completed"/>
    <x v="0"/>
    <s v="OK"/>
    <s v="INVALID"/>
    <s v="MATCH"/>
    <s v="MATCH"/>
  </r>
  <r>
    <x v="632"/>
    <n v="1"/>
    <d v="2025-12-05T00:00:00"/>
    <d v="2025-12-05T00:00:00"/>
    <x v="4"/>
    <x v="1"/>
    <s v="04/07/2025"/>
    <d v="2025-04-07T00:00:00"/>
    <n v="-242"/>
    <s v="INVALID_SHIPPING"/>
    <s v="CUST-9718"/>
    <s v="Neha Gupta"/>
    <s v="Neha Gupta"/>
    <s v="Small Business"/>
    <x v="1"/>
    <s v="West"/>
    <x v="3"/>
    <s v="OK"/>
    <s v="Maharashtra"/>
    <s v="Maharashtra"/>
    <s v="Mumbai"/>
    <s v="Mumbai"/>
    <s v="Office Supplies"/>
    <x v="0"/>
    <s v="Storage"/>
    <x v="7"/>
    <s v="Prime Storage 232"/>
    <s v="Standard Class"/>
    <x v="3"/>
    <s v="OK"/>
    <n v="4"/>
    <n v="4053.03"/>
    <n v="0.05"/>
    <n v="0.05"/>
    <s v="OK"/>
    <n v="15401.51"/>
    <n v="8650.42"/>
    <n v="6751.09"/>
    <n v="15401.513999999999"/>
    <n v="6751.0939999999991"/>
    <x v="621"/>
    <s v="Paid"/>
    <x v="0"/>
    <s v="OK"/>
    <s v="Completed"/>
    <x v="0"/>
    <s v="OK"/>
    <s v="INVALID"/>
    <s v="MATCH"/>
    <s v="MATCH"/>
  </r>
  <r>
    <x v="633"/>
    <n v="1"/>
    <d v="2025-05-27T00:00:00"/>
    <d v="2025-05-27T00:00:00"/>
    <x v="3"/>
    <x v="1"/>
    <s v="16-10-2025"/>
    <d v="2025-10-16T00:00:00"/>
    <n v="142"/>
    <s v="OK"/>
    <s v="CUST-5332"/>
    <s v="Aarav Sharma"/>
    <s v="Aarav Sharma"/>
    <s v="Consumer"/>
    <x v="0"/>
    <s v="South"/>
    <x v="2"/>
    <s v="OK"/>
    <s v="Andhra Pradesh"/>
    <s v="Andhra Pradesh"/>
    <s v="Vijayawada"/>
    <s v="Vijayawada"/>
    <s v="Technology"/>
    <x v="2"/>
    <s v="Machines"/>
    <x v="12"/>
    <s v="Basic Machines 601"/>
    <s v="Second Class"/>
    <x v="0"/>
    <s v="OK"/>
    <n v="2"/>
    <n v="3911.96"/>
    <n v="0"/>
    <n v="0"/>
    <s v="OK"/>
    <n v="7823.92"/>
    <n v="6034.63"/>
    <n v="1789.29"/>
    <n v="7823.92"/>
    <n v="1789.29"/>
    <x v="622"/>
    <s v="Paid"/>
    <x v="0"/>
    <s v="OK"/>
    <s v="Completed"/>
    <x v="0"/>
    <s v="OK"/>
    <s v="CLEAN"/>
    <s v="MATCH"/>
    <s v="MATCH"/>
  </r>
  <r>
    <x v="634"/>
    <n v="1"/>
    <d v="2025-06-22T00:00:00"/>
    <d v="2025-06-22T00:00:00"/>
    <x v="8"/>
    <x v="1"/>
    <s v="08/26/2025"/>
    <d v="2025-08-26T00:00:00"/>
    <n v="65"/>
    <s v="OK"/>
    <s v="CUST-8081"/>
    <s v="Rohan Mehta"/>
    <s v="Rohan Mehta"/>
    <s v="Home Office"/>
    <x v="3"/>
    <m/>
    <x v="4"/>
    <s v="MISSING_REGION"/>
    <s v="Delhi"/>
    <s v="Delhi"/>
    <s v="New Delhi"/>
    <s v="New Delhi"/>
    <s v="Technology"/>
    <x v="2"/>
    <s v="Phones"/>
    <x v="8"/>
    <s v="Pro Phones 968"/>
    <s v="First Class"/>
    <x v="2"/>
    <s v="OK"/>
    <n v="2"/>
    <n v="1468.05"/>
    <n v="0"/>
    <n v="0"/>
    <s v="OK"/>
    <n v="2936.1"/>
    <n v="1923.1"/>
    <n v="1013"/>
    <n v="2936.1"/>
    <n v="1013"/>
    <x v="623"/>
    <s v="Paid"/>
    <x v="0"/>
    <s v="OK"/>
    <s v="Completed"/>
    <x v="0"/>
    <s v="OK"/>
    <s v="WARNING"/>
    <s v="MATCH"/>
    <s v="MATCH"/>
  </r>
  <r>
    <x v="635"/>
    <n v="2"/>
    <d v="2025-06-16T00:00:00"/>
    <d v="2025-06-16T00:00:00"/>
    <x v="8"/>
    <x v="1"/>
    <s v="05/14/2024"/>
    <d v="2024-05-14T00:00:00"/>
    <n v="-398"/>
    <s v="INVALID_SHIPPING"/>
    <s v="CUST-3621"/>
    <s v="Rahul Verma"/>
    <s v="Rahul Verma"/>
    <s v="Home Office"/>
    <x v="3"/>
    <s v="West"/>
    <x v="3"/>
    <s v="OK"/>
    <s v="Madhya Pradesh"/>
    <s v="Madhya Pradesh"/>
    <s v="Indore"/>
    <s v="Indore"/>
    <s v="Office Supplies"/>
    <x v="0"/>
    <s v="Paper"/>
    <x v="0"/>
    <s v="Prime Paper 559"/>
    <s v="First Class"/>
    <x v="2"/>
    <s v="OK"/>
    <n v="3"/>
    <n v="4289.37"/>
    <n v="0.1"/>
    <n v="0.1"/>
    <s v="OK"/>
    <n v="11581.3"/>
    <n v="6829.43"/>
    <n v="4751.87"/>
    <n v="11581.299000000001"/>
    <n v="4751.8690000000006"/>
    <x v="624"/>
    <s v="Paid"/>
    <x v="0"/>
    <s v="OK"/>
    <s v="Completed"/>
    <x v="0"/>
    <s v="OK"/>
    <s v="INVALID"/>
    <s v="MATCH"/>
    <s v="MATCH"/>
  </r>
  <r>
    <x v="635"/>
    <n v="2"/>
    <d v="2025-06-16T00:00:00"/>
    <d v="2025-06-16T00:00:00"/>
    <x v="8"/>
    <x v="1"/>
    <s v="2025-08-10"/>
    <d v="2025-08-10T00:00:00"/>
    <n v="55"/>
    <s v="OK"/>
    <s v="CUST-3621"/>
    <s v="Rahul Verma"/>
    <s v="Rahul Verma"/>
    <s v="Home Office"/>
    <x v="3"/>
    <s v="West"/>
    <x v="3"/>
    <s v="OK"/>
    <s v="Madhya Pradesh"/>
    <s v="Madhya Pradesh"/>
    <s v="Indore"/>
    <s v="Indore"/>
    <s v="Office Supplies"/>
    <x v="0"/>
    <s v="Paper"/>
    <x v="0"/>
    <s v="Prime Paper 559"/>
    <s v="First Class"/>
    <x v="2"/>
    <s v="OK"/>
    <n v="3"/>
    <n v="4289.37"/>
    <n v="0.1"/>
    <n v="0.1"/>
    <s v="OK"/>
    <n v="11778.71"/>
    <n v="6829.43"/>
    <n v="4751.87"/>
    <n v="11581.299000000001"/>
    <n v="4751.8690000000006"/>
    <x v="624"/>
    <s v="Paid"/>
    <x v="0"/>
    <s v="OK"/>
    <s v="Returned"/>
    <x v="1"/>
    <s v="RETURNED_ORDER"/>
    <s v="CLEAN"/>
    <s v="MISMATCH"/>
    <s v="MATCH"/>
  </r>
  <r>
    <x v="636"/>
    <n v="1"/>
    <d v="2025-02-20T00:00:00"/>
    <d v="2025-02-20T00:00:00"/>
    <x v="11"/>
    <x v="1"/>
    <s v="06/12/2025"/>
    <d v="2025-06-12T00:00:00"/>
    <n v="112"/>
    <s v="OK"/>
    <s v="CUST-2752"/>
    <s v="Neha Gupta"/>
    <s v="Neha Gupta"/>
    <s v="Corporate"/>
    <x v="2"/>
    <s v="East"/>
    <x v="1"/>
    <s v="OK"/>
    <s v="Jharkhand"/>
    <s v="Jharkhand"/>
    <s v="Ranchi"/>
    <s v="Ranchi"/>
    <s v="Furniture"/>
    <x v="1"/>
    <s v="Bookcases"/>
    <x v="9"/>
    <s v="Elite Bookcases 988"/>
    <s v="Standard Class"/>
    <x v="3"/>
    <s v="OK"/>
    <n v="8"/>
    <n v="3265.76"/>
    <n v="0.2"/>
    <n v="0.2"/>
    <s v="OK"/>
    <n v="20900.86"/>
    <n v="12513.14"/>
    <n v="8387.7199999999993"/>
    <n v="20900.864000000001"/>
    <n v="8387.724000000002"/>
    <x v="625"/>
    <s v="Paid"/>
    <x v="0"/>
    <s v="OK"/>
    <s v="Completed"/>
    <x v="0"/>
    <s v="OK"/>
    <s v="CLEAN"/>
    <s v="MATCH"/>
    <s v="MATCH"/>
  </r>
  <r>
    <x v="637"/>
    <n v="1"/>
    <d v="2025-08-09T00:00:00"/>
    <d v="2025-08-09T00:00:00"/>
    <x v="1"/>
    <x v="1"/>
    <s v="2025-01-22"/>
    <d v="2025-01-22T00:00:00"/>
    <n v="-199"/>
    <s v="INVALID_SHIPPING"/>
    <s v="CUST-9969"/>
    <s v="Rohan Mehta"/>
    <s v="Rohan Mehta"/>
    <s v="Home Office"/>
    <x v="3"/>
    <s v="West"/>
    <x v="3"/>
    <s v="OK"/>
    <s v="Gujarat"/>
    <s v="Gujarat"/>
    <s v="Ahmedabad"/>
    <s v="Ahmedabad"/>
    <s v="Furniture"/>
    <x v="1"/>
    <s v="Chairs"/>
    <x v="10"/>
    <s v="Eco Chairs 552"/>
    <s v="Second Class"/>
    <x v="0"/>
    <s v="OK"/>
    <n v="2"/>
    <n v="3960.33"/>
    <n v="0.05"/>
    <n v="0.05"/>
    <s v="OK"/>
    <n v="7524.63"/>
    <n v="6229.6"/>
    <n v="1295.03"/>
    <n v="7524.6269999999995"/>
    <n v="1295.0269999999991"/>
    <x v="626"/>
    <s v="Paid"/>
    <x v="0"/>
    <s v="OK"/>
    <s v="Completed"/>
    <x v="0"/>
    <s v="OK"/>
    <s v="INVALID"/>
    <s v="MATCH"/>
    <s v="MATCH"/>
  </r>
  <r>
    <x v="638"/>
    <n v="1"/>
    <d v="2025-07-24T00:00:00"/>
    <d v="2025-07-24T00:00:00"/>
    <x v="0"/>
    <x v="1"/>
    <s v="15-07-2025"/>
    <d v="2025-07-15T00:00:00"/>
    <n v="-9"/>
    <s v="INVALID_SHIPPING"/>
    <s v="CUST-3335"/>
    <s v="Kabir Singh"/>
    <s v="Kabir Singh"/>
    <s v="Small Business"/>
    <x v="1"/>
    <s v="East"/>
    <x v="1"/>
    <s v="OK"/>
    <s v="Jharkhand"/>
    <s v="Jharkhand"/>
    <s v="Ranchi"/>
    <s v="Ranchi"/>
    <s v="Office Supplies"/>
    <x v="0"/>
    <s v="Binders"/>
    <x v="11"/>
    <s v="Smart Binders 574"/>
    <s v="First Class"/>
    <x v="2"/>
    <s v="OK"/>
    <n v="8"/>
    <n v="1528.92"/>
    <n v="0"/>
    <n v="0"/>
    <s v="OK"/>
    <n v="12231.36"/>
    <n v="8766.9"/>
    <n v="3464.46"/>
    <n v="12231.36"/>
    <n v="3464.4600000000009"/>
    <x v="627"/>
    <s v="Paid"/>
    <x v="0"/>
    <s v="OK"/>
    <s v="Completed"/>
    <x v="0"/>
    <s v="OK"/>
    <s v="INVALID"/>
    <s v="MATCH"/>
    <s v="MATCH"/>
  </r>
  <r>
    <x v="639"/>
    <n v="1"/>
    <d v="2025-03-10T00:00:00"/>
    <d v="2025-03-10T00:00:00"/>
    <x v="10"/>
    <x v="1"/>
    <s v="2024-05-22"/>
    <d v="2024-05-22T00:00:00"/>
    <n v="-292"/>
    <s v="INVALID_SHIPPING"/>
    <s v="CUST-7358"/>
    <s v="Aarav Sharma"/>
    <s v="Aarav Sharma"/>
    <s v="Corporate"/>
    <x v="2"/>
    <s v="West"/>
    <x v="3"/>
    <s v="OK"/>
    <s v="Madhya Pradesh"/>
    <s v="Madhya Pradesh"/>
    <s v="Indore"/>
    <s v="Indore"/>
    <s v="Technology"/>
    <x v="2"/>
    <s v="Machines"/>
    <x v="12"/>
    <s v="Pro Machines 444"/>
    <s v="Same Day"/>
    <x v="1"/>
    <s v="OK"/>
    <n v="9"/>
    <n v="3837"/>
    <n v="0.1"/>
    <n v="0.1"/>
    <s v="OK"/>
    <n v="31079.7"/>
    <n v="17758.25"/>
    <n v="13321.45"/>
    <n v="31079.7"/>
    <n v="13321.45"/>
    <x v="628"/>
    <s v="Paid"/>
    <x v="0"/>
    <s v="OK"/>
    <s v="Completed"/>
    <x v="0"/>
    <s v="OK"/>
    <s v="INVALID"/>
    <s v="MATCH"/>
    <s v="MATCH"/>
  </r>
  <r>
    <x v="640"/>
    <n v="1"/>
    <d v="2025-07-22T00:00:00"/>
    <d v="2025-07-22T00:00:00"/>
    <x v="0"/>
    <x v="1"/>
    <s v="18-01-2024"/>
    <d v="2024-01-18T00:00:00"/>
    <n v="-551"/>
    <s v="INVALID_SHIPPING"/>
    <s v="CUST-3400"/>
    <s v="Rahul Verma"/>
    <s v="Rahul Verma"/>
    <s v="Corporate"/>
    <x v="2"/>
    <s v="South"/>
    <x v="2"/>
    <s v="OK"/>
    <s v="Kerala"/>
    <s v="Kerala"/>
    <s v="Kochi"/>
    <s v="Kochi"/>
    <s v="Furniture"/>
    <x v="1"/>
    <s v="Chairs"/>
    <x v="10"/>
    <s v="Eco Chairs 369"/>
    <s v="Second Class"/>
    <x v="0"/>
    <s v="OK"/>
    <n v="6"/>
    <n v="1607.46"/>
    <n v="0.2"/>
    <n v="0.2"/>
    <s v="OK"/>
    <n v="7715.81"/>
    <n v="4258.42"/>
    <n v="3457.39"/>
    <n v="7715.8080000000009"/>
    <n v="3457.3880000000008"/>
    <x v="629"/>
    <s v="Paid"/>
    <x v="0"/>
    <s v="OK"/>
    <s v="Completed"/>
    <x v="0"/>
    <s v="OK"/>
    <s v="INVALID"/>
    <s v="MATCH"/>
    <s v="MATCH"/>
  </r>
  <r>
    <x v="641"/>
    <n v="1"/>
    <d v="2025-09-27T00:00:00"/>
    <d v="2025-09-27T00:00:00"/>
    <x v="5"/>
    <x v="1"/>
    <s v="2024-05-08"/>
    <d v="2024-05-08T00:00:00"/>
    <n v="-507"/>
    <s v="INVALID_SHIPPING"/>
    <s v="CUST-6697"/>
    <s v="Kabir Singh"/>
    <s v="Kabir Singh"/>
    <s v="Home Office"/>
    <x v="3"/>
    <s v="East"/>
    <x v="1"/>
    <s v="OK"/>
    <s v="Jharkhand"/>
    <s v="Jharkhand"/>
    <s v="Ranchi"/>
    <s v="Ranchi"/>
    <s v="Furniture"/>
    <x v="1"/>
    <s v="Furnishings"/>
    <x v="3"/>
    <s v="Max Furnishings 628"/>
    <s v="Second Class"/>
    <x v="0"/>
    <s v="OK"/>
    <n v="9"/>
    <n v="2867.55"/>
    <n v="0.25"/>
    <n v="0.25"/>
    <s v="OK"/>
    <n v="19355.96"/>
    <n v="15012.45"/>
    <n v="4017.4"/>
    <n v="19355.962500000001"/>
    <n v="4343.5125000000007"/>
    <x v="630"/>
    <s v="Paid"/>
    <x v="0"/>
    <s v="OK"/>
    <s v="Completed"/>
    <x v="0"/>
    <s v="OK"/>
    <s v="INVALID"/>
    <s v="MATCH"/>
    <s v="MISMATCH"/>
  </r>
  <r>
    <x v="642"/>
    <n v="1"/>
    <d v="2025-05-23T00:00:00"/>
    <d v="2025-05-23T00:00:00"/>
    <x v="3"/>
    <x v="1"/>
    <s v="10 Dec 2024"/>
    <d v="2024-12-10T00:00:00"/>
    <n v="-164"/>
    <s v="INVALID_SHIPPING"/>
    <s v="CUST-9963"/>
    <s v="Vikram Iyer"/>
    <s v="Vikram Iyer"/>
    <s v="Small Business"/>
    <x v="1"/>
    <s v="South"/>
    <x v="2"/>
    <s v="OK"/>
    <s v="Telangana"/>
    <s v="Telangana"/>
    <s v="Hyderabad"/>
    <s v="Hyderabad"/>
    <s v="Office Supplies"/>
    <x v="0"/>
    <s v="Storage"/>
    <x v="7"/>
    <s v="Pro Storage 847"/>
    <s v="First Class"/>
    <x v="2"/>
    <s v="OK"/>
    <n v="6"/>
    <n v="719.44"/>
    <n v="0.25"/>
    <n v="0.25"/>
    <s v="OK"/>
    <n v="3237.48"/>
    <n v="2118.34"/>
    <n v="1119.1400000000001"/>
    <n v="3237.4800000000005"/>
    <n v="1119.1400000000003"/>
    <x v="631"/>
    <s v="Pending"/>
    <x v="1"/>
    <s v="OK"/>
    <s v="Cancelled"/>
    <x v="2"/>
    <s v="EXCLUDE_FROM_SALES"/>
    <s v="INVALID"/>
    <s v="MATCH"/>
    <s v="MATCH"/>
  </r>
  <r>
    <x v="643"/>
    <n v="1"/>
    <d v="2025-08-15T00:00:00"/>
    <d v="2025-08-15T00:00:00"/>
    <x v="1"/>
    <x v="1"/>
    <s v="01/13/2025"/>
    <d v="2025-01-13T00:00:00"/>
    <n v="-214"/>
    <s v="INVALID_SHIPPING"/>
    <s v="CUST-6382"/>
    <s v="Diya Patel"/>
    <s v="Diya Patel"/>
    <s v="Small Business"/>
    <x v="1"/>
    <s v="East"/>
    <x v="1"/>
    <s v="OK"/>
    <s v="Assam"/>
    <s v="Assam"/>
    <s v="Guwahati"/>
    <s v="Guwahati"/>
    <s v="Technology"/>
    <x v="2"/>
    <s v="Copiers"/>
    <x v="6"/>
    <s v="Elite Copiers 706"/>
    <s v="First Class"/>
    <x v="2"/>
    <s v="OK"/>
    <n v="5"/>
    <n v="2862.6"/>
    <n v="0.25"/>
    <n v="0.25"/>
    <s v="OK"/>
    <n v="10734.75"/>
    <n v="6475.73"/>
    <n v="4259.0200000000004"/>
    <n v="10734.75"/>
    <n v="4259.0200000000004"/>
    <x v="632"/>
    <s v="Paid"/>
    <x v="0"/>
    <s v="OK"/>
    <s v="Completed"/>
    <x v="0"/>
    <s v="OK"/>
    <s v="INVALID"/>
    <s v="MATCH"/>
    <s v="MATCH"/>
  </r>
  <r>
    <x v="644"/>
    <n v="1"/>
    <d v="2025-02-21T00:00:00"/>
    <d v="2025-02-21T00:00:00"/>
    <x v="11"/>
    <x v="1"/>
    <s v="06/26/2024"/>
    <d v="2024-06-26T00:00:00"/>
    <n v="-240"/>
    <s v="INVALID_SHIPPING"/>
    <s v="CUST-3253"/>
    <s v="Ananya Rao"/>
    <s v="Ananya Rao"/>
    <s v="Consumer"/>
    <x v="0"/>
    <s v="North"/>
    <x v="0"/>
    <s v="OK"/>
    <s v="Rajasthan"/>
    <s v="Rajasthan"/>
    <s v="Jaipur"/>
    <s v="Jaipur"/>
    <s v="Office Supplies"/>
    <x v="0"/>
    <s v="Art"/>
    <x v="2"/>
    <s v="Prime Art 978"/>
    <s v="Same Day"/>
    <x v="1"/>
    <s v="OK"/>
    <n v="9"/>
    <n v="1431.67"/>
    <n v="0.2"/>
    <n v="0.2"/>
    <s v="OK"/>
    <n v="10308.02"/>
    <n v="5822.31"/>
    <n v="4485.71"/>
    <n v="10308.024000000001"/>
    <n v="4485.7140000000009"/>
    <x v="633"/>
    <s v="Paid"/>
    <x v="0"/>
    <s v="OK"/>
    <s v="Completed"/>
    <x v="0"/>
    <s v="OK"/>
    <s v="INVALID"/>
    <s v="MATCH"/>
    <s v="MATCH"/>
  </r>
  <r>
    <x v="645"/>
    <n v="1"/>
    <d v="2025-06-27T00:00:00"/>
    <d v="2025-06-27T00:00:00"/>
    <x v="8"/>
    <x v="1"/>
    <s v="27-05-2025"/>
    <d v="2025-05-27T00:00:00"/>
    <n v="-31"/>
    <s v="INVALID_SHIPPING"/>
    <s v="CUST-9268"/>
    <s v="Rohan Mehta"/>
    <s v="Rohan Mehta"/>
    <s v="Home Office"/>
    <x v="3"/>
    <s v="South"/>
    <x v="2"/>
    <s v="OK"/>
    <s v="Telangana"/>
    <s v="Telangana"/>
    <s v="Hyderabad"/>
    <s v="Hyderabad"/>
    <s v="Furniture"/>
    <x v="1"/>
    <s v="Chairs"/>
    <x v="10"/>
    <s v="Eco Chairs 346"/>
    <s v="First Class"/>
    <x v="2"/>
    <s v="OK"/>
    <n v="5"/>
    <n v="621.70000000000005"/>
    <n v="0.2"/>
    <n v="0.2"/>
    <s v="OK"/>
    <n v="2486.8000000000002"/>
    <n v="2131.73"/>
    <n v="355.07"/>
    <n v="2486.8000000000002"/>
    <n v="355.07000000000016"/>
    <x v="634"/>
    <s v="Pending"/>
    <x v="1"/>
    <s v="OK"/>
    <s v="Returned"/>
    <x v="1"/>
    <s v="RETURNED_ORDER"/>
    <s v="INVALID"/>
    <s v="MATCH"/>
    <s v="MATCH"/>
  </r>
  <r>
    <x v="646"/>
    <n v="1"/>
    <d v="2025-01-21T00:00:00"/>
    <d v="2025-01-21T00:00:00"/>
    <x v="9"/>
    <x v="1"/>
    <s v="23 Nov 2024"/>
    <d v="2024-11-23T00:00:00"/>
    <n v="-59"/>
    <s v="INVALID_SHIPPING"/>
    <s v="CUST-1363"/>
    <s v="Mira Das"/>
    <s v="Mira Das"/>
    <s v="Home Office"/>
    <x v="3"/>
    <s v="South"/>
    <x v="2"/>
    <s v="OK"/>
    <s v="Andhra Pradesh"/>
    <s v="Andhra Pradesh"/>
    <s v="Vijayawada"/>
    <s v="Vijayawada"/>
    <s v="Technology"/>
    <x v="2"/>
    <s v="Machines"/>
    <x v="12"/>
    <s v="Max Machines 770"/>
    <s v="Second Class"/>
    <x v="0"/>
    <s v="OK"/>
    <n v="8"/>
    <n v="546.13"/>
    <n v="0"/>
    <n v="0"/>
    <s v="OK"/>
    <n v="4369.04"/>
    <n v="3716.88"/>
    <n v="652.16"/>
    <n v="4369.04"/>
    <n v="652.15999999999985"/>
    <x v="635"/>
    <s v="Paid"/>
    <x v="0"/>
    <s v="OK"/>
    <s v="Cancelled"/>
    <x v="2"/>
    <s v="EXCLUDE_FROM_SALES"/>
    <s v="INVALID"/>
    <s v="MATCH"/>
    <s v="MATCH"/>
  </r>
  <r>
    <x v="647"/>
    <n v="1"/>
    <d v="2025-09-08T00:00:00"/>
    <d v="2025-09-08T00:00:00"/>
    <x v="5"/>
    <x v="1"/>
    <s v="01 Apr 2024"/>
    <d v="2024-04-01T00:00:00"/>
    <n v="-525"/>
    <s v="INVALID_SHIPPING"/>
    <s v="CUST-2477"/>
    <s v="Vikram Iyer"/>
    <s v="Vikram Iyer"/>
    <s v="Home Office"/>
    <x v="3"/>
    <s v="West"/>
    <x v="3"/>
    <s v="OK"/>
    <s v="Gujarat"/>
    <s v="Gujarat"/>
    <s v="Ahmedabad"/>
    <s v="Ahmedabad"/>
    <s v="Furniture"/>
    <x v="1"/>
    <s v="Bookcases"/>
    <x v="9"/>
    <s v="Smart Bookcases 134"/>
    <s v="Second Class"/>
    <x v="0"/>
    <s v="OK"/>
    <n v="5"/>
    <n v="1253.92"/>
    <n v="0.05"/>
    <n v="0.05"/>
    <s v="OK"/>
    <n v="5956.12"/>
    <n v="4379.18"/>
    <n v="1576.94"/>
    <n v="5956.12"/>
    <n v="1576.9399999999996"/>
    <x v="636"/>
    <s v="Pending"/>
    <x v="1"/>
    <s v="OK"/>
    <s v="Returned"/>
    <x v="1"/>
    <s v="RETURNED_ORDER"/>
    <s v="INVALID"/>
    <s v="MATCH"/>
    <s v="MATCH"/>
  </r>
  <r>
    <x v="648"/>
    <n v="1"/>
    <d v="2025-04-01T00:00:00"/>
    <d v="2025-04-01T00:00:00"/>
    <x v="6"/>
    <x v="1"/>
    <s v="06 Feb 2025"/>
    <d v="2025-02-06T00:00:00"/>
    <n v="-54"/>
    <s v="INVALID_SHIPPING"/>
    <s v="CUST-2909"/>
    <s v="Rohan Mehta"/>
    <s v="Rohan Mehta"/>
    <s v="Corporate"/>
    <x v="2"/>
    <s v="East"/>
    <x v="1"/>
    <s v="OK"/>
    <s v="Odisha"/>
    <s v="Odisha"/>
    <s v="Bhubaneswar"/>
    <s v="Bhubaneswar"/>
    <s v="Furniture"/>
    <x v="1"/>
    <s v="Chairs"/>
    <x v="10"/>
    <s v="Basic Chairs 113"/>
    <s v="Second Class"/>
    <x v="0"/>
    <s v="OK"/>
    <n v="9"/>
    <n v="4165.58"/>
    <n v="0.05"/>
    <n v="0.05"/>
    <s v="OK"/>
    <n v="35615.71"/>
    <n v="20389.71"/>
    <n v="15226"/>
    <n v="35615.709000000003"/>
    <n v="15225.999000000003"/>
    <x v="637"/>
    <s v="Pending"/>
    <x v="1"/>
    <s v="OK"/>
    <s v="Returned"/>
    <x v="1"/>
    <s v="RETURNED_ORDER"/>
    <s v="INVALID"/>
    <s v="MATCH"/>
    <s v="MATCH"/>
  </r>
  <r>
    <x v="649"/>
    <n v="1"/>
    <d v="2025-07-07T00:00:00"/>
    <d v="2025-07-07T00:00:00"/>
    <x v="0"/>
    <x v="1"/>
    <s v="27-03-2024"/>
    <d v="2024-03-27T00:00:00"/>
    <n v="-467"/>
    <s v="INVALID_SHIPPING"/>
    <s v="CUST-1832"/>
    <s v="Diya Patel"/>
    <s v="Diya Patel"/>
    <s v="Corporate"/>
    <x v="2"/>
    <s v="East"/>
    <x v="1"/>
    <s v="OK"/>
    <s v="West Bengal"/>
    <s v="West Bengal"/>
    <s v="Kolkata"/>
    <s v="Kolkata"/>
    <s v="Furniture"/>
    <x v="1"/>
    <s v="Tables"/>
    <x v="1"/>
    <s v="Smart Tables 943"/>
    <s v="Second Class"/>
    <x v="0"/>
    <s v="OK"/>
    <n v="5"/>
    <n v="1831.37"/>
    <n v="0.25"/>
    <n v="0.25"/>
    <s v="OK"/>
    <n v="6867.64"/>
    <n v="5205.3599999999997"/>
    <n v="1662.28"/>
    <n v="6867.6374999999989"/>
    <n v="1662.2774999999992"/>
    <x v="638"/>
    <s v="Paid"/>
    <x v="0"/>
    <s v="OK"/>
    <s v="Completed"/>
    <x v="0"/>
    <s v="OK"/>
    <s v="INVALID"/>
    <s v="MATCH"/>
    <s v="MATCH"/>
  </r>
  <r>
    <x v="650"/>
    <n v="1"/>
    <d v="2025-03-21T00:00:00"/>
    <d v="2025-03-21T00:00:00"/>
    <x v="10"/>
    <x v="1"/>
    <s v="2024-09-05"/>
    <d v="2024-09-05T00:00:00"/>
    <n v="-197"/>
    <s v="INVALID_SHIPPING"/>
    <s v="CUST-4452"/>
    <s v="Aarav Sharma"/>
    <s v="Aarav Sharma"/>
    <s v="Small Business"/>
    <x v="1"/>
    <s v="South"/>
    <x v="2"/>
    <s v="OK"/>
    <s v="Andhra Pradesh"/>
    <s v="Andhra Pradesh"/>
    <s v="Vijayawada"/>
    <s v="Vijayawada"/>
    <s v="Furniture"/>
    <x v="1"/>
    <s v="Chairs"/>
    <x v="10"/>
    <s v="Prime Chairs 101"/>
    <s v="Second Class"/>
    <x v="0"/>
    <s v="OK"/>
    <n v="5"/>
    <n v="1239.1500000000001"/>
    <n v="0"/>
    <n v="0"/>
    <s v="OK"/>
    <n v="6195.75"/>
    <n v="3967.02"/>
    <n v="2228.73"/>
    <n v="6195.75"/>
    <n v="2228.73"/>
    <x v="639"/>
    <s v="Paid"/>
    <x v="0"/>
    <s v="OK"/>
    <s v="Completed"/>
    <x v="0"/>
    <s v="OK"/>
    <s v="INVALID"/>
    <s v="MATCH"/>
    <s v="MATCH"/>
  </r>
  <r>
    <x v="651"/>
    <n v="1"/>
    <d v="2025-01-16T00:00:00"/>
    <d v="2025-01-16T00:00:00"/>
    <x v="9"/>
    <x v="1"/>
    <s v="16 Feb 2025"/>
    <d v="2025-02-16T00:00:00"/>
    <n v="31"/>
    <s v="OK"/>
    <s v="CUST-5397"/>
    <s v="Sneha Kapoor"/>
    <s v="Sneha Kapoor"/>
    <s v="Corporate"/>
    <x v="2"/>
    <s v="North"/>
    <x v="0"/>
    <s v="OK"/>
    <s v="Rajasthan"/>
    <s v="Rajasthan"/>
    <s v="Jaipur"/>
    <s v="Jaipur"/>
    <s v="Furniture"/>
    <x v="1"/>
    <s v="Tables"/>
    <x v="1"/>
    <s v="Max Tables 478"/>
    <s v="Same Day"/>
    <x v="1"/>
    <s v="OK"/>
    <n v="2"/>
    <n v="4418.28"/>
    <n v="0"/>
    <n v="0"/>
    <s v="OK"/>
    <n v="8836.56"/>
    <n v="5867.75"/>
    <n v="2968.81"/>
    <n v="8836.56"/>
    <n v="2968.8099999999995"/>
    <x v="640"/>
    <s v="Paid"/>
    <x v="0"/>
    <s v="OK"/>
    <s v="Completed"/>
    <x v="0"/>
    <s v="OK"/>
    <s v="CLEAN"/>
    <s v="MATCH"/>
    <s v="MATCH"/>
  </r>
  <r>
    <x v="652"/>
    <n v="1"/>
    <d v="2025-07-06T00:00:00"/>
    <d v="2025-07-06T00:00:00"/>
    <x v="0"/>
    <x v="1"/>
    <s v="2024-05-21"/>
    <d v="2024-05-21T00:00:00"/>
    <n v="-411"/>
    <s v="INVALID_SHIPPING"/>
    <s v="CUST-8246"/>
    <s v="Aarav Sharma"/>
    <s v="Aarav Sharma"/>
    <s v="Home Office"/>
    <x v="3"/>
    <s v="North"/>
    <x v="0"/>
    <s v="OK"/>
    <s v="Rajasthan"/>
    <s v="Rajasthan"/>
    <s v="Jaipur"/>
    <s v="Jaipur"/>
    <s v="Technology"/>
    <x v="2"/>
    <s v="Accessories"/>
    <x v="4"/>
    <s v="Prime Accessories 962"/>
    <s v="Same Day"/>
    <x v="1"/>
    <s v="OK"/>
    <n v="9"/>
    <n v="243.19"/>
    <n v="0.05"/>
    <n v="0.05"/>
    <s v="OK"/>
    <n v="2079.27"/>
    <n v="1512.17"/>
    <n v="567.1"/>
    <n v="2079.2745"/>
    <n v="567.10449999999992"/>
    <x v="641"/>
    <s v="Refunded"/>
    <x v="2"/>
    <s v="REFUNDED_PAYMENT"/>
    <s v="Returned"/>
    <x v="1"/>
    <s v="RETURNED_ORDER"/>
    <s v="INVALID"/>
    <s v="MATCH"/>
    <s v="MATCH"/>
  </r>
  <r>
    <x v="653"/>
    <n v="1"/>
    <d v="2025-01-23T00:00:00"/>
    <d v="2025-01-23T00:00:00"/>
    <x v="9"/>
    <x v="1"/>
    <s v="06/10/2025"/>
    <d v="2025-06-10T00:00:00"/>
    <n v="138"/>
    <s v="OK"/>
    <s v="CUST-5672"/>
    <s v="Priya Menon"/>
    <s v="Priya Menon"/>
    <s v="Consumer"/>
    <x v="0"/>
    <s v="North"/>
    <x v="0"/>
    <s v="OK"/>
    <s v="Delhi"/>
    <s v="Delhi"/>
    <s v="New Delhi"/>
    <s v="New Delhi"/>
    <s v="Office Supplies"/>
    <x v="0"/>
    <s v="Labels"/>
    <x v="5"/>
    <s v="Eco Labels 646"/>
    <s v="Standard Class"/>
    <x v="3"/>
    <s v="OK"/>
    <n v="9"/>
    <n v="1169.3699999999999"/>
    <n v="0.15"/>
    <n v="0.15"/>
    <s v="OK"/>
    <n v="8945.68"/>
    <n v="6740.35"/>
    <n v="2205.33"/>
    <n v="8945.6804999999986"/>
    <n v="2205.3304999999982"/>
    <x v="642"/>
    <s v="Paid"/>
    <x v="0"/>
    <s v="OK"/>
    <s v="Completed"/>
    <x v="0"/>
    <s v="OK"/>
    <s v="CLEAN"/>
    <s v="MATCH"/>
    <s v="MATCH"/>
  </r>
  <r>
    <x v="654"/>
    <n v="1"/>
    <d v="2025-08-16T00:00:00"/>
    <d v="2025-08-16T00:00:00"/>
    <x v="1"/>
    <x v="1"/>
    <s v="09/18/2025"/>
    <d v="2025-09-18T00:00:00"/>
    <n v="33"/>
    <s v="OK"/>
    <s v="CUST-4399"/>
    <s v="Kabir Singh"/>
    <s v="Kabir Singh"/>
    <s v="Consumer"/>
    <x v="0"/>
    <s v="East"/>
    <x v="1"/>
    <s v="OK"/>
    <s v="Jharkhand"/>
    <s v="Jharkhand"/>
    <s v="Ranchi"/>
    <s v="Ranchi"/>
    <s v="Furniture"/>
    <x v="1"/>
    <s v="Chairs"/>
    <x v="10"/>
    <s v="Max Chairs 181"/>
    <s v="Same Day"/>
    <x v="1"/>
    <s v="OK"/>
    <n v="5"/>
    <n v="1530.36"/>
    <n v="0"/>
    <n v="0"/>
    <s v="OK"/>
    <n v="7651.8"/>
    <n v="5171.78"/>
    <n v="2480.02"/>
    <n v="7651.7999999999993"/>
    <n v="2480.0199999999995"/>
    <x v="643"/>
    <s v="Paid"/>
    <x v="0"/>
    <s v="OK"/>
    <s v="Completed"/>
    <x v="0"/>
    <s v="OK"/>
    <s v="CLEAN"/>
    <s v="MATCH"/>
    <s v="MATCH"/>
  </r>
  <r>
    <x v="655"/>
    <n v="2"/>
    <d v="2025-04-13T00:00:00"/>
    <d v="2025-04-13T00:00:00"/>
    <x v="6"/>
    <x v="1"/>
    <s v="27-06-2024"/>
    <d v="2024-06-27T00:00:00"/>
    <n v="-290"/>
    <s v="INVALID_SHIPPING"/>
    <s v="CUST-8566"/>
    <s v="Sneha Kapoor"/>
    <s v="Sneha Kapoor"/>
    <s v="Small Business"/>
    <x v="1"/>
    <s v="North"/>
    <x v="0"/>
    <s v="OK"/>
    <s v="Uttar Pradesh"/>
    <s v="Uttar Pradesh"/>
    <s v="Noida"/>
    <s v="Noida"/>
    <s v="Office Supplies"/>
    <x v="0"/>
    <s v="Storage"/>
    <x v="7"/>
    <s v="Prime Storage 951"/>
    <s v="Second Class"/>
    <x v="0"/>
    <s v="OK"/>
    <n v="9"/>
    <n v="1118.68"/>
    <n v="0"/>
    <n v="0"/>
    <s v="OK"/>
    <n v="10068.120000000001"/>
    <n v="8595.3700000000008"/>
    <n v="1472.75"/>
    <n v="10068.120000000001"/>
    <n v="1472.75"/>
    <x v="644"/>
    <s v="Paid"/>
    <x v="0"/>
    <s v="OK"/>
    <s v="Completed"/>
    <x v="0"/>
    <s v="OK"/>
    <s v="INVALID"/>
    <s v="MATCH"/>
    <s v="MATCH"/>
  </r>
  <r>
    <x v="655"/>
    <n v="2"/>
    <d v="2025-04-13T00:00:00"/>
    <d v="2025-04-13T00:00:00"/>
    <x v="6"/>
    <x v="1"/>
    <s v="12/01/2024"/>
    <d v="2024-12-01T00:00:00"/>
    <n v="-133"/>
    <s v="INVALID_SHIPPING"/>
    <s v="CUST-8566"/>
    <s v="Sneha Kapoor"/>
    <s v="Sneha Kapoor"/>
    <s v="Small Business"/>
    <x v="1"/>
    <s v="North"/>
    <x v="0"/>
    <s v="OK"/>
    <s v="Uttar Pradesh"/>
    <s v="Uttar Pradesh"/>
    <s v="Noida"/>
    <s v="Noida"/>
    <s v="Office Supplies"/>
    <x v="0"/>
    <s v="Storage"/>
    <x v="7"/>
    <s v="Prime Storage 951"/>
    <s v="Second Class"/>
    <x v="0"/>
    <s v="OK"/>
    <n v="9"/>
    <n v="1118.68"/>
    <n v="0"/>
    <n v="0"/>
    <s v="OK"/>
    <n v="10348.43"/>
    <n v="8595.3700000000008"/>
    <n v="1472.75"/>
    <n v="10068.120000000001"/>
    <n v="1472.75"/>
    <x v="644"/>
    <s v="Paid"/>
    <x v="0"/>
    <s v="OK"/>
    <s v="Returned"/>
    <x v="1"/>
    <s v="RETURNED_ORDER"/>
    <s v="INVALID"/>
    <s v="MISMATCH"/>
    <s v="MATCH"/>
  </r>
  <r>
    <x v="656"/>
    <n v="1"/>
    <d v="2025-02-27T00:00:00"/>
    <d v="2025-02-27T00:00:00"/>
    <x v="11"/>
    <x v="1"/>
    <s v="23-08-2025"/>
    <d v="2025-08-23T00:00:00"/>
    <n v="177"/>
    <s v="OK"/>
    <s v="CUST-2358"/>
    <s v="Aditi Sen"/>
    <s v="Aditi Sen"/>
    <s v="Small Business"/>
    <x v="1"/>
    <s v="North"/>
    <x v="0"/>
    <s v="OK"/>
    <s v="Uttar Pradesh"/>
    <s v="Uttar Pradesh"/>
    <s v="Noida"/>
    <s v="Noida"/>
    <s v="Office Supplies"/>
    <x v="0"/>
    <s v="Labels"/>
    <x v="5"/>
    <s v="Smart Labels 668"/>
    <s v="Standard Class"/>
    <x v="3"/>
    <s v="OK"/>
    <n v="6"/>
    <n v="2393.25"/>
    <n v="0"/>
    <n v="0"/>
    <s v="OK"/>
    <n v="14359.5"/>
    <n v="8117.71"/>
    <n v="6241.79"/>
    <n v="14359.5"/>
    <n v="6241.79"/>
    <x v="645"/>
    <s v="Paid"/>
    <x v="0"/>
    <s v="OK"/>
    <s v="Completed"/>
    <x v="0"/>
    <s v="OK"/>
    <s v="CLEAN"/>
    <s v="MATCH"/>
    <s v="MATCH"/>
  </r>
  <r>
    <x v="657"/>
    <n v="2"/>
    <d v="2025-05-24T00:00:00"/>
    <d v="2025-05-24T00:00:00"/>
    <x v="3"/>
    <x v="1"/>
    <s v="05 Jun 2024"/>
    <d v="2024-06-05T00:00:00"/>
    <n v="-353"/>
    <s v="INVALID_SHIPPING"/>
    <s v="CUST-4875"/>
    <s v="Kabir Singh"/>
    <s v="Kabir Singh"/>
    <s v="Small Business"/>
    <x v="1"/>
    <s v="East"/>
    <x v="1"/>
    <s v="OK"/>
    <s v="Odisha"/>
    <s v="Odisha"/>
    <s v="Bhubaneswar"/>
    <s v="Bhubaneswar"/>
    <s v="Office Supplies"/>
    <x v="0"/>
    <s v="Storage"/>
    <x v="7"/>
    <s v="Basic Storage 360"/>
    <s v="Same Day"/>
    <x v="1"/>
    <s v="OK"/>
    <n v="1"/>
    <n v="2564.7399999999998"/>
    <n v="0"/>
    <n v="0"/>
    <s v="OK"/>
    <n v="2564.7399999999998"/>
    <n v="1754.58"/>
    <n v="810.16"/>
    <n v="2564.7399999999998"/>
    <n v="810.15999999999985"/>
    <x v="646"/>
    <s v="Paid"/>
    <x v="0"/>
    <s v="OK"/>
    <s v="Completed"/>
    <x v="0"/>
    <s v="OK"/>
    <s v="INVALID"/>
    <s v="MATCH"/>
    <s v="MATCH"/>
  </r>
  <r>
    <x v="657"/>
    <n v="2"/>
    <d v="2025-05-24T00:00:00"/>
    <d v="2025-05-24T00:00:00"/>
    <x v="3"/>
    <x v="1"/>
    <s v="2024-07-10"/>
    <d v="2024-07-10T00:00:00"/>
    <n v="-318"/>
    <s v="INVALID_SHIPPING"/>
    <s v="CUST-4875"/>
    <s v="Kabir Singh"/>
    <s v="Kabir Singh"/>
    <s v="Small Business"/>
    <x v="1"/>
    <s v="East"/>
    <x v="1"/>
    <s v="OK"/>
    <s v="Odisha"/>
    <s v="Odisha"/>
    <s v="Bhubaneswar"/>
    <s v="Bhubaneswar"/>
    <s v="Office Supplies"/>
    <x v="0"/>
    <s v="Storage"/>
    <x v="7"/>
    <s v="Basic Storage 360"/>
    <s v="Same Day"/>
    <x v="1"/>
    <s v="OK"/>
    <n v="1"/>
    <n v="2564.7399999999998"/>
    <n v="0"/>
    <n v="0"/>
    <s v="OK"/>
    <n v="2564.7399999999998"/>
    <n v="1754.58"/>
    <n v="810.16"/>
    <n v="2564.7399999999998"/>
    <n v="810.15999999999985"/>
    <x v="646"/>
    <s v="Paid"/>
    <x v="0"/>
    <s v="OK"/>
    <s v="Completed"/>
    <x v="0"/>
    <s v="OK"/>
    <s v="INVALID"/>
    <s v="MATCH"/>
    <s v="MATCH"/>
  </r>
  <r>
    <x v="658"/>
    <n v="1"/>
    <d v="2025-05-22T00:00:00"/>
    <d v="2025-05-22T00:00:00"/>
    <x v="3"/>
    <x v="1"/>
    <s v="05-02-2025"/>
    <d v="2025-05-02T00:00:00"/>
    <n v="-20"/>
    <s v="INVALID_SHIPPING"/>
    <s v="CUST-3154"/>
    <s v="Mira Das"/>
    <s v="Mira Das"/>
    <s v="Consumer"/>
    <x v="0"/>
    <s v="West"/>
    <x v="3"/>
    <s v="OK"/>
    <s v="Goa"/>
    <s v="Goa"/>
    <s v="Panaji"/>
    <s v="Panaji"/>
    <s v="Technology"/>
    <x v="2"/>
    <s v="Accessories"/>
    <x v="4"/>
    <s v="Basic Accessories 988"/>
    <s v="Standard Class"/>
    <x v="3"/>
    <s v="OK"/>
    <n v="2"/>
    <n v="3910.61"/>
    <n v="0"/>
    <n v="0"/>
    <s v="OK"/>
    <n v="7821.22"/>
    <n v="4994.46"/>
    <n v="2826.76"/>
    <n v="7821.22"/>
    <n v="2826.76"/>
    <x v="647"/>
    <s v="Paid"/>
    <x v="0"/>
    <s v="OK"/>
    <s v="Completed"/>
    <x v="0"/>
    <s v="OK"/>
    <s v="INVALID"/>
    <s v="MATCH"/>
    <s v="MATCH"/>
  </r>
  <r>
    <x v="659"/>
    <n v="1"/>
    <d v="2025-09-19T00:00:00"/>
    <d v="2025-09-19T00:00:00"/>
    <x v="5"/>
    <x v="1"/>
    <s v="24-07-2025"/>
    <d v="2025-07-24T00:00:00"/>
    <n v="-57"/>
    <s v="INVALID_SHIPPING"/>
    <s v="CUST-9943"/>
    <s v="Arjun Bose"/>
    <s v="Arjun Bose"/>
    <s v="Home Office"/>
    <x v="3"/>
    <s v="North"/>
    <x v="0"/>
    <s v="OK"/>
    <s v="Delhi"/>
    <s v="Delhi"/>
    <s v="New Delhi"/>
    <s v="New Delhi"/>
    <s v="Office Supplies"/>
    <x v="0"/>
    <s v="Binders"/>
    <x v="11"/>
    <s v="Prime Binders 523"/>
    <s v="Standard Class"/>
    <x v="3"/>
    <s v="OK"/>
    <n v="4"/>
    <n v="4387.1499999999996"/>
    <n v="0.05"/>
    <n v="0.05"/>
    <s v="OK"/>
    <n v="16671.169999999998"/>
    <n v="10833.19"/>
    <n v="5837.98"/>
    <n v="16671.169999999998"/>
    <n v="5837.9799999999977"/>
    <x v="648"/>
    <s v="Failed"/>
    <x v="3"/>
    <s v="EXCLUDE_FROM_SALES"/>
    <s v="Cancelled"/>
    <x v="2"/>
    <s v="EXCLUDE_FROM_SALES"/>
    <s v="INVALID"/>
    <s v="MATCH"/>
    <s v="MATCH"/>
  </r>
  <r>
    <x v="660"/>
    <n v="1"/>
    <d v="2025-04-03T00:00:00"/>
    <d v="2025-04-03T00:00:00"/>
    <x v="6"/>
    <x v="1"/>
    <s v="21-07-2025"/>
    <d v="2025-07-21T00:00:00"/>
    <n v="109"/>
    <s v="OK"/>
    <s v="CUST-7098"/>
    <s v="Arjun Bose"/>
    <s v="Arjun Bose"/>
    <s v="Small Business"/>
    <x v="1"/>
    <s v="East"/>
    <x v="1"/>
    <s v="OK"/>
    <s v="Bihar"/>
    <s v="Bihar"/>
    <s v="Patna"/>
    <s v="Patna"/>
    <s v="Technology"/>
    <x v="2"/>
    <s v="Phones"/>
    <x v="8"/>
    <s v="Pro Phones 538"/>
    <s v="First Class"/>
    <x v="2"/>
    <s v="OK"/>
    <n v="3"/>
    <n v="4361.8500000000004"/>
    <n v="0.2"/>
    <n v="0.2"/>
    <s v="OK"/>
    <n v="10468.44"/>
    <n v="8399.8700000000008"/>
    <n v="2068.5700000000002"/>
    <n v="10468.440000000002"/>
    <n v="2068.5700000000015"/>
    <x v="649"/>
    <s v="Paid"/>
    <x v="0"/>
    <s v="OK"/>
    <s v="Completed"/>
    <x v="0"/>
    <s v="OK"/>
    <s v="CLEAN"/>
    <s v="MATCH"/>
    <s v="MATCH"/>
  </r>
  <r>
    <x v="661"/>
    <n v="1"/>
    <d v="2025-06-28T00:00:00"/>
    <d v="2025-06-28T00:00:00"/>
    <x v="8"/>
    <x v="1"/>
    <s v="2025-10-03"/>
    <d v="2025-10-03T00:00:00"/>
    <n v="97"/>
    <s v="OK"/>
    <s v="CUST-7438"/>
    <s v="Vikram Iyer"/>
    <s v="Vikram Iyer"/>
    <s v="Corporate"/>
    <x v="2"/>
    <s v="East"/>
    <x v="1"/>
    <s v="OK"/>
    <s v="West Bengal"/>
    <s v="West Bengal"/>
    <s v="Kolkata"/>
    <s v="Kolkata"/>
    <s v="Office Supplies"/>
    <x v="0"/>
    <s v="Art"/>
    <x v="2"/>
    <s v="Basic Art 608"/>
    <s v="First Class"/>
    <x v="2"/>
    <s v="OK"/>
    <n v="2"/>
    <n v="2242.75"/>
    <n v="0"/>
    <n v="0"/>
    <s v="OK"/>
    <n v="4485.5"/>
    <n v="3131.86"/>
    <n v="1353.64"/>
    <n v="4485.5"/>
    <n v="1353.6399999999999"/>
    <x v="650"/>
    <s v="Paid"/>
    <x v="0"/>
    <s v="OK"/>
    <s v="Cancelled"/>
    <x v="2"/>
    <s v="EXCLUDE_FROM_SALES"/>
    <s v="CLEAN"/>
    <s v="MATCH"/>
    <s v="MATCH"/>
  </r>
  <r>
    <x v="662"/>
    <n v="1"/>
    <d v="2025-06-24T00:00:00"/>
    <d v="2025-06-24T00:00:00"/>
    <x v="8"/>
    <x v="1"/>
    <s v="04/02/2024"/>
    <d v="2024-04-02T00:00:00"/>
    <n v="-448"/>
    <s v="INVALID_SHIPPING"/>
    <s v="CUST-2834"/>
    <s v="Arjun Bose"/>
    <s v="Arjun Bose"/>
    <s v="Consumer"/>
    <x v="0"/>
    <s v="North"/>
    <x v="0"/>
    <s v="OK"/>
    <s v="Haryana"/>
    <s v="Haryana"/>
    <s v="Gurugram"/>
    <s v="Gurugram"/>
    <s v="Office Supplies"/>
    <x v="0"/>
    <s v="Labels"/>
    <x v="5"/>
    <s v="Classic Labels 670"/>
    <s v="Standard Class"/>
    <x v="3"/>
    <s v="OK"/>
    <n v="6"/>
    <n v="365.76"/>
    <n v="0.1"/>
    <n v="0.1"/>
    <s v="OK"/>
    <n v="1975.1"/>
    <n v="1115.3499999999999"/>
    <n v="859.75"/>
    <n v="1975.104"/>
    <n v="859.75400000000013"/>
    <x v="651"/>
    <s v="Paid"/>
    <x v="0"/>
    <s v="OK"/>
    <s v="Completed"/>
    <x v="0"/>
    <s v="OK"/>
    <s v="INVALID"/>
    <s v="MATCH"/>
    <s v="MATCH"/>
  </r>
  <r>
    <x v="663"/>
    <n v="1"/>
    <d v="2025-12-02T00:00:00"/>
    <d v="2025-12-02T00:00:00"/>
    <x v="4"/>
    <x v="1"/>
    <s v="13-10-2025"/>
    <d v="2025-10-13T00:00:00"/>
    <n v="-50"/>
    <s v="INVALID_SHIPPING"/>
    <s v="CUST-4222"/>
    <s v="Sneha Kapoor"/>
    <s v="Sneha Kapoor"/>
    <s v="Consumer"/>
    <x v="0"/>
    <s v="West"/>
    <x v="3"/>
    <s v="OK"/>
    <s v="Maharashtra"/>
    <s v="Maharashtra"/>
    <s v="Mumbai"/>
    <s v="Mumbai"/>
    <s v="Furniture"/>
    <x v="1"/>
    <s v="Furnishings"/>
    <x v="3"/>
    <s v="Prime Furnishings 597"/>
    <s v="Second Class"/>
    <x v="0"/>
    <s v="OK"/>
    <n v="8"/>
    <n v="2786.66"/>
    <n v="0.1"/>
    <n v="0.1"/>
    <s v="OK"/>
    <n v="20063.95"/>
    <n v="14363.38"/>
    <n v="5700.57"/>
    <n v="20063.952000000001"/>
    <n v="5700.5720000000019"/>
    <x v="652"/>
    <s v="Paid"/>
    <x v="0"/>
    <s v="OK"/>
    <s v="Completed"/>
    <x v="0"/>
    <s v="OK"/>
    <s v="INVALID"/>
    <s v="MATCH"/>
    <s v="MATCH"/>
  </r>
  <r>
    <x v="664"/>
    <n v="1"/>
    <d v="2025-08-10T00:00:00"/>
    <d v="2025-08-10T00:00:00"/>
    <x v="1"/>
    <x v="1"/>
    <s v="27 Feb 2025"/>
    <d v="2025-02-27T00:00:00"/>
    <n v="-164"/>
    <s v="INVALID_SHIPPING"/>
    <s v="CUST-1053"/>
    <s v="Priya Menon"/>
    <s v="Priya Menon"/>
    <s v="Small Business"/>
    <x v="1"/>
    <s v="West"/>
    <x v="3"/>
    <s v="OK"/>
    <s v="Madhya Pradesh"/>
    <s v="Madhya Pradesh"/>
    <s v="Indore"/>
    <s v="Indore"/>
    <s v="Furniture"/>
    <x v="1"/>
    <s v="Chairs"/>
    <x v="10"/>
    <s v="Prime Chairs 196"/>
    <s v="Standard Class"/>
    <x v="3"/>
    <s v="OK"/>
    <n v="5"/>
    <n v="352.86"/>
    <n v="0"/>
    <n v="0"/>
    <s v="OK"/>
    <n v="1764.3"/>
    <n v="1332.49"/>
    <n v="431.81"/>
    <n v="1764.3000000000002"/>
    <n v="431.81000000000017"/>
    <x v="653"/>
    <s v="Pending"/>
    <x v="1"/>
    <s v="OK"/>
    <s v="Cancelled"/>
    <x v="2"/>
    <s v="EXCLUDE_FROM_SALES"/>
    <s v="INVALID"/>
    <s v="MATCH"/>
    <s v="MATCH"/>
  </r>
  <r>
    <x v="665"/>
    <n v="1"/>
    <d v="2025-02-14T00:00:00"/>
    <d v="2025-02-14T00:00:00"/>
    <x v="11"/>
    <x v="1"/>
    <s v="06 Oct 2024"/>
    <d v="2024-10-06T00:00:00"/>
    <n v="-131"/>
    <s v="INVALID_SHIPPING"/>
    <s v="CUST-2267"/>
    <s v="Diya Patel"/>
    <s v="Diya Patel"/>
    <s v="Consumer"/>
    <x v="0"/>
    <s v="South"/>
    <x v="2"/>
    <s v="OK"/>
    <s v="Karnataka"/>
    <s v="Karnataka"/>
    <s v="Bengaluru"/>
    <s v="Bengaluru"/>
    <s v="Office Supplies"/>
    <x v="0"/>
    <s v="Storage"/>
    <x v="7"/>
    <s v="Eco Storage 285"/>
    <s v="First Class"/>
    <x v="2"/>
    <s v="OK"/>
    <n v="1"/>
    <n v="714.43"/>
    <n v="0"/>
    <n v="0"/>
    <s v="OK"/>
    <n v="714.43"/>
    <n v="565.44000000000005"/>
    <n v="148.99"/>
    <n v="714.43"/>
    <n v="148.9899999999999"/>
    <x v="654"/>
    <s v="Paid"/>
    <x v="0"/>
    <s v="OK"/>
    <s v="Completed"/>
    <x v="0"/>
    <s v="OK"/>
    <s v="INVALID"/>
    <s v="MATCH"/>
    <s v="MATCH"/>
  </r>
  <r>
    <x v="666"/>
    <n v="1"/>
    <d v="2025-04-14T00:00:00"/>
    <d v="2025-04-14T00:00:00"/>
    <x v="6"/>
    <x v="1"/>
    <s v="2024-09-15"/>
    <d v="2024-09-15T00:00:00"/>
    <n v="-211"/>
    <s v="INVALID_SHIPPING"/>
    <s v="CUST-2280"/>
    <s v="Aditi Sen"/>
    <s v="Aditi Sen"/>
    <s v="Small Business"/>
    <x v="1"/>
    <s v="South"/>
    <x v="2"/>
    <s v="OK"/>
    <s v="Karnataka"/>
    <s v="Karnataka"/>
    <s v="Bengaluru"/>
    <s v="Bengaluru"/>
    <s v="Technology"/>
    <x v="2"/>
    <s v="Machines"/>
    <x v="12"/>
    <s v="Prime Machines 267"/>
    <s v="Standard Class"/>
    <x v="3"/>
    <s v="OK"/>
    <n v="2"/>
    <n v="638.73"/>
    <n v="0.05"/>
    <n v="0.05"/>
    <s v="OK"/>
    <n v="1213.5899999999999"/>
    <n v="956.22"/>
    <n v="257.37"/>
    <n v="1213.587"/>
    <n v="257.36699999999996"/>
    <x v="655"/>
    <s v="Paid"/>
    <x v="0"/>
    <s v="OK"/>
    <s v="Completed"/>
    <x v="0"/>
    <s v="OK"/>
    <s v="INVALID"/>
    <s v="MATCH"/>
    <s v="MATCH"/>
  </r>
  <r>
    <x v="667"/>
    <n v="1"/>
    <d v="2025-09-06T00:00:00"/>
    <d v="2025-09-06T00:00:00"/>
    <x v="5"/>
    <x v="1"/>
    <s v="16-12-2024"/>
    <d v="2024-12-16T00:00:00"/>
    <n v="-264"/>
    <s v="INVALID_SHIPPING"/>
    <s v="CUST-3177"/>
    <s v="Sneha Kapoor"/>
    <s v="Sneha Kapoor"/>
    <s v="Small Business"/>
    <x v="1"/>
    <s v="North"/>
    <x v="0"/>
    <s v="OK"/>
    <s v="Uttar Pradesh"/>
    <s v="Uttar Pradesh"/>
    <s v="Noida"/>
    <s v="Noida"/>
    <s v="Furniture"/>
    <x v="1"/>
    <s v="Tables"/>
    <x v="1"/>
    <s v="Eco Tables 378"/>
    <s v="Second Class"/>
    <x v="0"/>
    <s v="OK"/>
    <n v="2"/>
    <n v="1731.88"/>
    <n v="0"/>
    <n v="0"/>
    <s v="OK"/>
    <n v="3463.76"/>
    <n v="2143.7399999999998"/>
    <n v="1320.02"/>
    <n v="3463.76"/>
    <n v="1320.0200000000004"/>
    <x v="656"/>
    <s v="Paid"/>
    <x v="0"/>
    <s v="OK"/>
    <s v="Completed"/>
    <x v="0"/>
    <s v="OK"/>
    <s v="INVALID"/>
    <s v="MATCH"/>
    <s v="MATCH"/>
  </r>
  <r>
    <x v="668"/>
    <n v="2"/>
    <d v="2025-04-24T00:00:00"/>
    <d v="2025-04-24T00:00:00"/>
    <x v="6"/>
    <x v="1"/>
    <s v="10-10-2025"/>
    <d v="2025-10-10T00:00:00"/>
    <n v="169"/>
    <s v="OK"/>
    <s v="CUST-5647"/>
    <s v="Diya Patel"/>
    <s v="Diya Patel"/>
    <s v="Small Business"/>
    <x v="1"/>
    <s v="South"/>
    <x v="2"/>
    <s v="OK"/>
    <s v="Andhra Pradesh"/>
    <s v="Andhra Pradesh"/>
    <s v="Vijayawada"/>
    <s v="Vijayawada"/>
    <s v="Office Supplies"/>
    <x v="0"/>
    <s v="Paper"/>
    <x v="0"/>
    <s v="Elite Paper 308"/>
    <s v="Same Day"/>
    <x v="1"/>
    <s v="OK"/>
    <n v="1"/>
    <n v="4358.5"/>
    <n v="0.25"/>
    <n v="0.25"/>
    <s v="OK"/>
    <n v="3268.88"/>
    <n v="1993.74"/>
    <n v="1275.1400000000001"/>
    <n v="3268.875"/>
    <n v="1275.135"/>
    <x v="657"/>
    <s v="Paid"/>
    <x v="0"/>
    <s v="OK"/>
    <s v="Completed"/>
    <x v="0"/>
    <s v="OK"/>
    <s v="CLEAN"/>
    <s v="MATCH"/>
    <s v="MATCH"/>
  </r>
  <r>
    <x v="668"/>
    <n v="2"/>
    <d v="2025-04-24T00:00:00"/>
    <d v="2025-04-24T00:00:00"/>
    <x v="6"/>
    <x v="1"/>
    <s v="2025-04-11"/>
    <d v="2025-04-11T00:00:00"/>
    <n v="-13"/>
    <s v="INVALID_SHIPPING"/>
    <s v="CUST-5647"/>
    <s v="Diya Patel"/>
    <s v="Diya Patel"/>
    <s v="Small Business"/>
    <x v="1"/>
    <s v="South"/>
    <x v="2"/>
    <s v="OK"/>
    <s v="Andhra Pradesh"/>
    <s v="Andhra Pradesh"/>
    <s v="Vijayawada"/>
    <s v="Vijayawada"/>
    <s v="Office Supplies"/>
    <x v="0"/>
    <s v="Paper"/>
    <x v="0"/>
    <s v="Elite Paper 308"/>
    <s v="Same Day"/>
    <x v="1"/>
    <s v="OK"/>
    <n v="1"/>
    <n v="4358.5"/>
    <n v="0.25"/>
    <n v="0.25"/>
    <s v="OK"/>
    <n v="3268.88"/>
    <n v="1993.74"/>
    <n v="1275.1400000000001"/>
    <n v="3268.875"/>
    <n v="1275.135"/>
    <x v="657"/>
    <s v="Paid"/>
    <x v="0"/>
    <s v="OK"/>
    <s v="Completed"/>
    <x v="0"/>
    <s v="OK"/>
    <s v="INVALID"/>
    <s v="MATCH"/>
    <s v="MATCH"/>
  </r>
  <r>
    <x v="669"/>
    <n v="1"/>
    <d v="2025-06-06T00:00:00"/>
    <d v="2025-06-06T00:00:00"/>
    <x v="8"/>
    <x v="1"/>
    <s v="09-08-2025"/>
    <d v="2025-09-08T00:00:00"/>
    <n v="94"/>
    <s v="OK"/>
    <s v="CUST-7150"/>
    <s v="Sneha Kapoor"/>
    <s v="Sneha Kapoor"/>
    <s v="Small Business"/>
    <x v="1"/>
    <s v="North"/>
    <x v="0"/>
    <s v="OK"/>
    <s v="Uttar Pradesh"/>
    <s v="Uttar Pradesh"/>
    <s v="Noida"/>
    <s v="Noida"/>
    <s v="Office Supplies"/>
    <x v="0"/>
    <s v="Paper"/>
    <x v="0"/>
    <s v="Prime Paper 851"/>
    <s v="Same Day"/>
    <x v="1"/>
    <s v="OK"/>
    <n v="7"/>
    <n v="878.09"/>
    <n v="-0.1"/>
    <n v="-0.1"/>
    <s v="Invalid Negative Discount"/>
    <n v="5839.3"/>
    <n v="4877.38"/>
    <n v="961.92"/>
    <s v="INVALID"/>
    <s v="INVALID"/>
    <x v="12"/>
    <s v="Paid"/>
    <x v="0"/>
    <s v="OK"/>
    <s v="Completed"/>
    <x v="0"/>
    <s v="OK"/>
    <s v="INVALID"/>
    <s v="INVALID"/>
    <s v="INVALID"/>
  </r>
  <r>
    <x v="670"/>
    <n v="1"/>
    <d v="2025-09-03T00:00:00"/>
    <d v="2025-09-03T00:00:00"/>
    <x v="5"/>
    <x v="1"/>
    <s v="01-07-2024"/>
    <d v="2024-01-07T00:00:00"/>
    <n v="-605"/>
    <s v="INVALID_SHIPPING"/>
    <s v="CUST-6694"/>
    <s v="Arjun Bose"/>
    <s v="Arjun Bose"/>
    <s v="Small Business"/>
    <x v="1"/>
    <s v="East"/>
    <x v="1"/>
    <s v="OK"/>
    <s v="Jharkhand"/>
    <s v="Jharkhand"/>
    <s v="Ranchi"/>
    <s v="Ranchi"/>
    <s v="Furniture"/>
    <x v="1"/>
    <s v="Tables"/>
    <x v="1"/>
    <s v="Classic Tables 151"/>
    <s v="Same Day"/>
    <x v="1"/>
    <s v="OK"/>
    <n v="3"/>
    <n v="2625.85"/>
    <n v="0"/>
    <n v="0"/>
    <s v="OK"/>
    <n v="7877.55"/>
    <n v="5562.77"/>
    <n v="2314.7800000000002"/>
    <n v="7877.5499999999993"/>
    <n v="2314.7799999999988"/>
    <x v="658"/>
    <s v="Paid"/>
    <x v="0"/>
    <s v="OK"/>
    <s v="Completed"/>
    <x v="0"/>
    <s v="OK"/>
    <s v="INVALID"/>
    <s v="MATCH"/>
    <s v="MATCH"/>
  </r>
  <r>
    <x v="671"/>
    <n v="1"/>
    <d v="2025-02-25T00:00:00"/>
    <d v="2025-02-25T00:00:00"/>
    <x v="11"/>
    <x v="1"/>
    <s v="25 Sep 2025"/>
    <d v="2025-09-25T00:00:00"/>
    <n v="212"/>
    <s v="OK"/>
    <s v="CUST-9909"/>
    <s v="Kabir Singh"/>
    <s v="Kabir Singh"/>
    <s v="Small Business"/>
    <x v="1"/>
    <s v="West"/>
    <x v="3"/>
    <s v="OK"/>
    <s v="Goa"/>
    <s v="Goa"/>
    <s v="Panaji"/>
    <s v="Panaji"/>
    <s v="Furniture"/>
    <x v="1"/>
    <s v="Furnishings"/>
    <x v="3"/>
    <s v="Basic Furnishings 164"/>
    <s v="Standard Class"/>
    <x v="3"/>
    <s v="OK"/>
    <n v="2"/>
    <n v="3924.2"/>
    <n v="0.25"/>
    <n v="0.25"/>
    <s v="OK"/>
    <n v="5886.3"/>
    <n v="3621.76"/>
    <n v="2264.54"/>
    <n v="5886.2999999999993"/>
    <n v="2264.5399999999991"/>
    <x v="659"/>
    <s v="Pending"/>
    <x v="1"/>
    <s v="OK"/>
    <s v="Returned"/>
    <x v="1"/>
    <s v="RETURNED_ORDER"/>
    <s v="CLEAN"/>
    <s v="MATCH"/>
    <s v="MATCH"/>
  </r>
  <r>
    <x v="672"/>
    <n v="1"/>
    <d v="2025-01-08T00:00:00"/>
    <d v="2025-01-08T00:00:00"/>
    <x v="9"/>
    <x v="1"/>
    <s v="07-03-2025"/>
    <d v="2025-07-03T00:00:00"/>
    <n v="176"/>
    <s v="OK"/>
    <s v="CUST-5036"/>
    <s v="Sneha Kapoor"/>
    <s v="Sneha Kapoor"/>
    <s v="Consumer"/>
    <x v="0"/>
    <s v="West"/>
    <x v="3"/>
    <s v="OK"/>
    <s v="Maharashtra"/>
    <s v="Maharashtra"/>
    <s v="Mumbai"/>
    <s v="Mumbai"/>
    <s v="Furniture"/>
    <x v="1"/>
    <s v="Chairs"/>
    <x v="10"/>
    <s v="Max Chairs 765"/>
    <s v="First Class"/>
    <x v="2"/>
    <s v="OK"/>
    <n v="4"/>
    <n v="1773.46"/>
    <n v="0"/>
    <n v="0"/>
    <s v="OK"/>
    <n v="7093.84"/>
    <n v="4587.49"/>
    <n v="2506.35"/>
    <n v="7093.84"/>
    <n v="2506.3500000000004"/>
    <x v="660"/>
    <s v="Failed"/>
    <x v="3"/>
    <s v="EXCLUDE_FROM_SALES"/>
    <s v="Returned"/>
    <x v="1"/>
    <s v="RETURNED_ORDER"/>
    <s v="CLEAN"/>
    <s v="MATCH"/>
    <s v="MATCH"/>
  </r>
  <r>
    <x v="673"/>
    <n v="1"/>
    <d v="2025-02-13T00:00:00"/>
    <d v="2025-02-13T00:00:00"/>
    <x v="11"/>
    <x v="1"/>
    <s v="2024-09-14"/>
    <d v="2024-09-14T00:00:00"/>
    <n v="-152"/>
    <s v="INVALID_SHIPPING"/>
    <s v="CUST-7721"/>
    <s v="Karan Malhotra"/>
    <s v="Karan Malhotra"/>
    <s v="Consumer"/>
    <x v="0"/>
    <s v="East"/>
    <x v="1"/>
    <s v="OK"/>
    <s v="Assam"/>
    <s v="Assam"/>
    <s v="Guwahati"/>
    <s v="Guwahati"/>
    <s v="Technology"/>
    <x v="2"/>
    <s v="Accessories"/>
    <x v="4"/>
    <s v="Pro Accessories 686"/>
    <s v="Same Day"/>
    <x v="1"/>
    <s v="OK"/>
    <n v="1"/>
    <n v="3025.46"/>
    <n v="0.25"/>
    <n v="0.25"/>
    <s v="OK"/>
    <n v="2269.1"/>
    <n v="1593.59"/>
    <n v="675.51"/>
    <n v="2269.0950000000003"/>
    <n v="675.50500000000034"/>
    <x v="661"/>
    <s v="Refunded"/>
    <x v="2"/>
    <s v="REFUNDED_PAYMENT"/>
    <s v="Returned"/>
    <x v="1"/>
    <s v="RETURNED_ORDER"/>
    <s v="INVALID"/>
    <s v="MATCH"/>
    <s v="MATCH"/>
  </r>
  <r>
    <x v="674"/>
    <n v="1"/>
    <d v="2025-08-23T00:00:00"/>
    <d v="2025-08-23T00:00:00"/>
    <x v="1"/>
    <x v="1"/>
    <s v="11 Jun 2024"/>
    <d v="2024-06-11T00:00:00"/>
    <n v="-438"/>
    <s v="INVALID_SHIPPING"/>
    <s v="CUST-2855"/>
    <s v="Arjun Bose"/>
    <s v="Arjun Bose"/>
    <s v="Home Office"/>
    <x v="3"/>
    <s v="West"/>
    <x v="3"/>
    <s v="OK"/>
    <s v="Rajasthan"/>
    <s v="Rajasthan"/>
    <s v="Udaipur"/>
    <s v="Udaipur"/>
    <s v="Furniture"/>
    <x v="1"/>
    <s v="Tables"/>
    <x v="1"/>
    <s v="Basic Tables 615"/>
    <s v="First Class"/>
    <x v="2"/>
    <s v="OK"/>
    <n v="1"/>
    <n v="4167.8100000000004"/>
    <n v="0.2"/>
    <n v="0.2"/>
    <s v="OK"/>
    <n v="3334.25"/>
    <n v="2768.77"/>
    <n v="565.48"/>
    <n v="3334.2480000000005"/>
    <n v="565.47800000000052"/>
    <x v="662"/>
    <s v="Failed"/>
    <x v="3"/>
    <s v="EXCLUDE_FROM_SALES"/>
    <s v="Returned"/>
    <x v="1"/>
    <s v="RETURNED_ORDER"/>
    <s v="INVALID"/>
    <s v="MATCH"/>
    <s v="MATCH"/>
  </r>
  <r>
    <x v="675"/>
    <n v="1"/>
    <d v="2025-08-13T00:00:00"/>
    <d v="2025-08-13T00:00:00"/>
    <x v="1"/>
    <x v="1"/>
    <s v="09/21/2024"/>
    <d v="2024-09-21T00:00:00"/>
    <n v="-326"/>
    <s v="INVALID_SHIPPING"/>
    <s v="CUST-5094"/>
    <s v="Neha Gupta"/>
    <s v="Neha Gupta"/>
    <s v="Home Office"/>
    <x v="3"/>
    <s v="West"/>
    <x v="3"/>
    <s v="OK"/>
    <s v="Madhya Pradesh"/>
    <s v="Madhya Pradesh"/>
    <s v="Indore"/>
    <s v="Indore"/>
    <s v="Technology"/>
    <x v="2"/>
    <s v="Accessories"/>
    <x v="4"/>
    <s v="Smart Accessories 226"/>
    <s v="Second Class"/>
    <x v="0"/>
    <s v="OK"/>
    <n v="8"/>
    <n v="1918.23"/>
    <n v="0"/>
    <n v="0"/>
    <s v="OK"/>
    <n v="15345.84"/>
    <n v="10735.33"/>
    <n v="4610.51"/>
    <n v="15345.84"/>
    <n v="4610.51"/>
    <x v="663"/>
    <s v="Pending"/>
    <x v="1"/>
    <s v="OK"/>
    <s v="Cancelled"/>
    <x v="2"/>
    <s v="EXCLUDE_FROM_SALES"/>
    <s v="INVALID"/>
    <s v="MATCH"/>
    <s v="MATCH"/>
  </r>
  <r>
    <x v="676"/>
    <n v="1"/>
    <d v="2025-08-01T00:00:00"/>
    <d v="2025-08-01T00:00:00"/>
    <x v="1"/>
    <x v="1"/>
    <s v="04 May 2024"/>
    <d v="2024-05-04T00:00:00"/>
    <n v="-454"/>
    <s v="INVALID_SHIPPING"/>
    <s v="CUST-7608"/>
    <s v="Neha Gupta"/>
    <s v="Neha Gupta"/>
    <s v="Consumer"/>
    <x v="0"/>
    <s v="South"/>
    <x v="2"/>
    <s v="OK"/>
    <s v="Telangana"/>
    <s v="Telangana"/>
    <s v="Hyderabad"/>
    <s v="Hyderabad"/>
    <s v="Furniture"/>
    <x v="1"/>
    <s v="Furnishings"/>
    <x v="3"/>
    <s v="Smart Furnishings 152"/>
    <s v="First Class"/>
    <x v="2"/>
    <s v="OK"/>
    <n v="8"/>
    <n v="638.95000000000005"/>
    <n v="0.25"/>
    <n v="0.25"/>
    <s v="OK"/>
    <n v="3833.7"/>
    <n v="2886.35"/>
    <n v="947.35"/>
    <n v="3833.7000000000003"/>
    <n v="947.35000000000036"/>
    <x v="664"/>
    <s v="Paid"/>
    <x v="0"/>
    <s v="OK"/>
    <s v="Completed"/>
    <x v="0"/>
    <s v="OK"/>
    <s v="INVALID"/>
    <s v="MATCH"/>
    <s v="MATCH"/>
  </r>
  <r>
    <x v="677"/>
    <n v="1"/>
    <d v="2025-01-29T00:00:00"/>
    <d v="2025-01-29T00:00:00"/>
    <x v="9"/>
    <x v="1"/>
    <s v="02/06/2025"/>
    <d v="2025-02-06T00:00:00"/>
    <n v="8"/>
    <s v="OK"/>
    <s v="CUST-5269"/>
    <s v="Mira Das"/>
    <s v="Mira Das"/>
    <s v="Consumer"/>
    <x v="0"/>
    <s v="West"/>
    <x v="3"/>
    <s v="OK"/>
    <s v="Gujarat"/>
    <s v="Gujarat"/>
    <s v="Ahmedabad"/>
    <s v="Ahmedabad"/>
    <s v="Office Supplies"/>
    <x v="0"/>
    <s v="Art"/>
    <x v="2"/>
    <s v="Max Art 736"/>
    <s v="First Class"/>
    <x v="2"/>
    <s v="OK"/>
    <n v="6"/>
    <n v="3863"/>
    <n v="0.2"/>
    <n v="0.2"/>
    <s v="OK"/>
    <n v="18542.400000000001"/>
    <n v="11193.75"/>
    <n v="7348.65"/>
    <n v="18542.400000000001"/>
    <n v="7348.6500000000015"/>
    <x v="665"/>
    <s v="Paid"/>
    <x v="0"/>
    <s v="OK"/>
    <s v="Completed"/>
    <x v="0"/>
    <s v="OK"/>
    <s v="CLEAN"/>
    <s v="MATCH"/>
    <s v="MATCH"/>
  </r>
  <r>
    <x v="678"/>
    <n v="1"/>
    <d v="2025-09-26T00:00:00"/>
    <d v="2025-09-26T00:00:00"/>
    <x v="5"/>
    <x v="1"/>
    <s v="2024-10-20"/>
    <d v="2024-10-20T00:00:00"/>
    <n v="-341"/>
    <s v="INVALID_SHIPPING"/>
    <s v="CUST-6552"/>
    <s v="Sneha Kapoor"/>
    <s v="Sneha Kapoor"/>
    <s v="Home Office"/>
    <x v="3"/>
    <s v="North"/>
    <x v="0"/>
    <s v="OK"/>
    <s v="Haryana"/>
    <s v="Haryana"/>
    <s v="Gurugram"/>
    <s v="Gurugram"/>
    <s v="Technology"/>
    <x v="2"/>
    <s v="Phones"/>
    <x v="8"/>
    <s v="Classic Phones 940"/>
    <s v="Same Day"/>
    <x v="1"/>
    <s v="OK"/>
    <n v="2"/>
    <n v="688.83"/>
    <n v="0.05"/>
    <n v="0.05"/>
    <s v="OK"/>
    <n v="1308.78"/>
    <n v="843"/>
    <n v="465.78"/>
    <n v="1308.777"/>
    <n v="465.77700000000004"/>
    <x v="666"/>
    <s v="Paid"/>
    <x v="0"/>
    <s v="OK"/>
    <s v="Completed"/>
    <x v="0"/>
    <s v="OK"/>
    <s v="INVALID"/>
    <s v="MATCH"/>
    <s v="MATCH"/>
  </r>
  <r>
    <x v="679"/>
    <n v="1"/>
    <d v="2025-03-18T00:00:00"/>
    <d v="2025-03-18T00:00:00"/>
    <x v="10"/>
    <x v="1"/>
    <s v="03/20/2024"/>
    <d v="2024-03-20T00:00:00"/>
    <n v="-363"/>
    <s v="INVALID_SHIPPING"/>
    <s v="CUST-7131"/>
    <s v="Isha Nair"/>
    <s v="Isha Nair"/>
    <s v="Corporate"/>
    <x v="2"/>
    <s v="South"/>
    <x v="2"/>
    <s v="OK"/>
    <s v="Tamil Nadu"/>
    <s v="Tamil Nadu"/>
    <s v="Chennai"/>
    <s v="Chennai"/>
    <s v="Technology"/>
    <x v="2"/>
    <s v="Machines"/>
    <x v="12"/>
    <s v="Pro Machines 579"/>
    <s v="Standard Class"/>
    <x v="3"/>
    <s v="OK"/>
    <n v="2"/>
    <n v="1209.99"/>
    <n v="0.25"/>
    <n v="0.25"/>
    <s v="OK"/>
    <n v="1814.99"/>
    <n v="1120.06"/>
    <n v="694.93"/>
    <n v="1814.9850000000001"/>
    <n v="694.92500000000018"/>
    <x v="667"/>
    <s v="Pending"/>
    <x v="1"/>
    <s v="OK"/>
    <s v="Cancelled"/>
    <x v="2"/>
    <s v="EXCLUDE_FROM_SALES"/>
    <s v="INVALID"/>
    <s v="MATCH"/>
    <s v="MATCH"/>
  </r>
  <r>
    <x v="680"/>
    <n v="1"/>
    <d v="2025-06-14T00:00:00"/>
    <d v="2025-06-14T00:00:00"/>
    <x v="8"/>
    <x v="1"/>
    <s v="09/14/2024"/>
    <d v="2024-09-14T00:00:00"/>
    <n v="-273"/>
    <s v="INVALID_SHIPPING"/>
    <s v="CUST-2779"/>
    <s v="Rohan Mehta"/>
    <s v="Rohan Mehta"/>
    <s v="Small Business"/>
    <x v="1"/>
    <s v="North"/>
    <x v="0"/>
    <s v="OK"/>
    <s v="Delhi"/>
    <s v="Delhi"/>
    <s v="New Delhi"/>
    <s v="New Delhi"/>
    <s v="Office Supplies"/>
    <x v="0"/>
    <s v="Binders"/>
    <x v="11"/>
    <s v="Elite Binders 943"/>
    <s v="Same Day"/>
    <x v="1"/>
    <s v="OK"/>
    <n v="3"/>
    <n v="1037.45"/>
    <n v="0.2"/>
    <n v="0.2"/>
    <s v="OK"/>
    <n v="2489.88"/>
    <n v="1707.52"/>
    <n v="782.36"/>
    <n v="2489.8800000000006"/>
    <n v="782.36000000000058"/>
    <x v="668"/>
    <s v="Pending"/>
    <x v="1"/>
    <s v="OK"/>
    <s v="Returned"/>
    <x v="1"/>
    <s v="RETURNED_ORDER"/>
    <s v="INVALID"/>
    <s v="MATCH"/>
    <s v="MATCH"/>
  </r>
  <r>
    <x v="681"/>
    <n v="1"/>
    <d v="2025-03-09T00:00:00"/>
    <d v="2025-03-09T00:00:00"/>
    <x v="10"/>
    <x v="1"/>
    <s v="28-06-2024"/>
    <d v="2024-06-28T00:00:00"/>
    <n v="-254"/>
    <s v="INVALID_SHIPPING"/>
    <s v="CUST-6077"/>
    <s v="Kabir Singh"/>
    <s v="Kabir Singh"/>
    <s v="Consumer"/>
    <x v="0"/>
    <s v="West"/>
    <x v="3"/>
    <s v="OK"/>
    <s v="Madhya Pradesh"/>
    <s v="Madhya Pradesh"/>
    <s v="Indore"/>
    <s v="Indore"/>
    <s v="Technology"/>
    <x v="2"/>
    <s v="Copiers"/>
    <x v="6"/>
    <s v="Elite Copiers 474"/>
    <s v="Same Day"/>
    <x v="1"/>
    <s v="OK"/>
    <n v="7"/>
    <n v="688.85"/>
    <n v="0.15"/>
    <n v="0.15"/>
    <s v="OK"/>
    <n v="4098.66"/>
    <n v="2678.06"/>
    <n v="1420.6"/>
    <n v="4098.6574999999993"/>
    <n v="1420.5974999999994"/>
    <x v="669"/>
    <s v="Paid"/>
    <x v="0"/>
    <s v="OK"/>
    <s v="Completed"/>
    <x v="0"/>
    <s v="OK"/>
    <s v="INVALID"/>
    <s v="MATCH"/>
    <s v="MATCH"/>
  </r>
  <r>
    <x v="682"/>
    <n v="1"/>
    <d v="2025-04-22T00:00:00"/>
    <d v="2025-04-22T00:00:00"/>
    <x v="6"/>
    <x v="1"/>
    <s v="06/26/2025"/>
    <d v="2025-06-26T00:00:00"/>
    <n v="65"/>
    <s v="OK"/>
    <s v="CUST-8843"/>
    <s v="Isha Nair"/>
    <s v="Isha Nair"/>
    <s v="Corporate"/>
    <x v="2"/>
    <m/>
    <x v="4"/>
    <s v="MISSING_REGION"/>
    <s v="Jharkhand"/>
    <s v="Jharkhand"/>
    <s v="Ranchi"/>
    <s v="Ranchi"/>
    <s v="Technology"/>
    <x v="2"/>
    <s v="Accessories"/>
    <x v="4"/>
    <s v="Prime Accessories 419"/>
    <s v="Standard Class"/>
    <x v="3"/>
    <s v="OK"/>
    <n v="9"/>
    <n v="2939.44"/>
    <n v="0"/>
    <n v="0"/>
    <s v="OK"/>
    <n v="26454.959999999999"/>
    <n v="17630.25"/>
    <n v="8824.7099999999991"/>
    <n v="26454.959999999999"/>
    <n v="8824.7099999999991"/>
    <x v="670"/>
    <s v="Paid"/>
    <x v="0"/>
    <s v="OK"/>
    <s v="Completed"/>
    <x v="0"/>
    <s v="OK"/>
    <s v="WARNING"/>
    <s v="MATCH"/>
    <s v="MATCH"/>
  </r>
  <r>
    <x v="683"/>
    <n v="1"/>
    <d v="2025-03-15T00:00:00"/>
    <d v="2025-03-15T00:00:00"/>
    <x v="10"/>
    <x v="1"/>
    <s v="2025-03-26"/>
    <d v="2025-03-26T00:00:00"/>
    <n v="11"/>
    <s v="OK"/>
    <s v="CUST-7626"/>
    <s v="Karan Malhotra"/>
    <s v="Karan Malhotra"/>
    <s v="Small Business"/>
    <x v="1"/>
    <s v="East"/>
    <x v="1"/>
    <s v="OK"/>
    <s v="West Bengal"/>
    <s v="West Bengal"/>
    <s v="Kolkata"/>
    <s v="Kolkata"/>
    <s v="Technology"/>
    <x v="2"/>
    <s v="Phones"/>
    <x v="8"/>
    <s v="Elite Phones 488"/>
    <s v="Same Day"/>
    <x v="1"/>
    <s v="OK"/>
    <n v="2"/>
    <n v="1235.93"/>
    <n v="0.25"/>
    <n v="0.25"/>
    <s v="OK"/>
    <n v="1853.89"/>
    <n v="1101.23"/>
    <n v="752.66"/>
    <n v="1853.895"/>
    <n v="752.66499999999996"/>
    <x v="671"/>
    <s v="Pending"/>
    <x v="1"/>
    <s v="OK"/>
    <s v="Cancelled"/>
    <x v="2"/>
    <s v="EXCLUDE_FROM_SALES"/>
    <s v="CLEAN"/>
    <s v="MISMATCH"/>
    <s v="MISMATCH"/>
  </r>
  <r>
    <x v="684"/>
    <n v="1"/>
    <d v="2025-01-03T00:00:00"/>
    <d v="2025-01-03T00:00:00"/>
    <x v="9"/>
    <x v="1"/>
    <s v="23 Jan 2025"/>
    <d v="2025-01-23T00:00:00"/>
    <n v="20"/>
    <s v="OK"/>
    <s v="CUST-8562"/>
    <s v="Neha Gupta"/>
    <s v="Neha Gupta"/>
    <s v="Home Office"/>
    <x v="3"/>
    <s v="North"/>
    <x v="0"/>
    <s v="OK"/>
    <s v="Rajasthan"/>
    <s v="Rajasthan"/>
    <s v="Jaipur"/>
    <s v="Jaipur"/>
    <s v="Technology"/>
    <x v="2"/>
    <s v="Copiers"/>
    <x v="6"/>
    <s v="Prime Copiers 109"/>
    <s v="Same Day"/>
    <x v="1"/>
    <s v="OK"/>
    <n v="8"/>
    <n v="2943.1"/>
    <n v="0.25"/>
    <n v="0.25"/>
    <s v="OK"/>
    <n v="17658.599999999999"/>
    <n v="13842.48"/>
    <n v="3816.12"/>
    <n v="17658.599999999999"/>
    <n v="3816.119999999999"/>
    <x v="672"/>
    <s v="Paid"/>
    <x v="0"/>
    <s v="OK"/>
    <s v="Completed"/>
    <x v="0"/>
    <s v="OK"/>
    <s v="CLEAN"/>
    <s v="MATCH"/>
    <s v="MATCH"/>
  </r>
  <r>
    <x v="685"/>
    <n v="1"/>
    <d v="2025-11-04T00:00:00"/>
    <d v="2025-11-04T00:00:00"/>
    <x v="2"/>
    <x v="1"/>
    <s v="07/19/2024"/>
    <d v="2024-07-19T00:00:00"/>
    <n v="-473"/>
    <s v="INVALID_SHIPPING"/>
    <s v="CUST-2351"/>
    <s v="Mira Das"/>
    <s v="Mira Das"/>
    <s v="Home Office"/>
    <x v="3"/>
    <s v="North"/>
    <x v="0"/>
    <s v="OK"/>
    <s v="Uttar Pradesh"/>
    <s v="Uttar Pradesh"/>
    <s v="Noida"/>
    <s v="Noida"/>
    <s v="Technology"/>
    <x v="2"/>
    <s v="Accessories"/>
    <x v="4"/>
    <s v="Eco Accessories 705"/>
    <s v="Second Class"/>
    <x v="0"/>
    <s v="OK"/>
    <n v="5"/>
    <n v="652.78"/>
    <n v="0"/>
    <n v="0"/>
    <s v="OK"/>
    <n v="3263.9"/>
    <n v="2068.44"/>
    <n v="1195.46"/>
    <n v="3263.8999999999996"/>
    <n v="1195.4599999999996"/>
    <x v="673"/>
    <s v="Paid"/>
    <x v="0"/>
    <s v="OK"/>
    <s v="Completed"/>
    <x v="0"/>
    <s v="OK"/>
    <s v="INVALID"/>
    <s v="MATCH"/>
    <s v="MATCH"/>
  </r>
  <r>
    <x v="686"/>
    <n v="1"/>
    <d v="2025-12-04T00:00:00"/>
    <d v="2025-12-04T00:00:00"/>
    <x v="4"/>
    <x v="1"/>
    <s v="2025-02-02"/>
    <d v="2025-02-02T00:00:00"/>
    <n v="-305"/>
    <s v="INVALID_SHIPPING"/>
    <s v="CUST-7291"/>
    <s v="Kabir Singh"/>
    <s v="Kabir Singh"/>
    <s v="Home Office"/>
    <x v="3"/>
    <s v="North"/>
    <x v="0"/>
    <s v="OK"/>
    <s v="Delhi"/>
    <s v="Delhi"/>
    <s v="New Delhi"/>
    <s v="New Delhi"/>
    <s v="Technology"/>
    <x v="2"/>
    <s v="Machines"/>
    <x v="12"/>
    <s v="Max Machines 151"/>
    <s v="Standard Class"/>
    <x v="3"/>
    <s v="OK"/>
    <n v="1"/>
    <n v="2737.71"/>
    <n v="0.15"/>
    <n v="0.15"/>
    <s v="OK"/>
    <n v="2327.0500000000002"/>
    <n v="1919.42"/>
    <n v="407.63"/>
    <n v="2327.0535"/>
    <n v="407.63349999999991"/>
    <x v="674"/>
    <s v="Paid"/>
    <x v="0"/>
    <s v="OK"/>
    <s v="Cancelled"/>
    <x v="2"/>
    <s v="EXCLUDE_FROM_SALES"/>
    <s v="INVALID"/>
    <s v="MATCH"/>
    <s v="MATCH"/>
  </r>
  <r>
    <x v="687"/>
    <n v="1"/>
    <d v="2025-07-05T00:00:00"/>
    <d v="2025-07-05T00:00:00"/>
    <x v="0"/>
    <x v="1"/>
    <s v="18 Feb 2024"/>
    <d v="2024-02-18T00:00:00"/>
    <n v="-503"/>
    <s v="INVALID_SHIPPING"/>
    <s v="CUST-7252"/>
    <s v="Neha Gupta"/>
    <s v="Neha Gupta"/>
    <s v="Corporate"/>
    <x v="2"/>
    <s v="East"/>
    <x v="1"/>
    <s v="OK"/>
    <s v="Jharkhand"/>
    <s v="Jharkhand"/>
    <s v="Ranchi"/>
    <s v="Ranchi"/>
    <s v="Technology"/>
    <x v="2"/>
    <s v="Phones"/>
    <x v="8"/>
    <s v="Elite Phones 276"/>
    <s v="Standard Class"/>
    <x v="3"/>
    <s v="OK"/>
    <n v="1"/>
    <n v="2266.4699999999998"/>
    <n v="0.2"/>
    <n v="0.2"/>
    <s v="OK"/>
    <n v="1813.18"/>
    <n v="1363.64"/>
    <n v="449.54"/>
    <n v="1813.1759999999999"/>
    <n v="449.53599999999983"/>
    <x v="675"/>
    <s v="Paid"/>
    <x v="0"/>
    <s v="OK"/>
    <s v="Completed"/>
    <x v="0"/>
    <s v="OK"/>
    <s v="INVALID"/>
    <s v="MATCH"/>
    <s v="MATCH"/>
  </r>
  <r>
    <x v="688"/>
    <n v="1"/>
    <d v="2025-06-30T00:00:00"/>
    <d v="2025-06-30T00:00:00"/>
    <x v="8"/>
    <x v="1"/>
    <s v="06/10/2025"/>
    <d v="2025-06-10T00:00:00"/>
    <n v="-20"/>
    <s v="INVALID_SHIPPING"/>
    <s v="CUST-7346"/>
    <s v="Aarav Sharma"/>
    <s v="Aarav Sharma"/>
    <s v="Home Office"/>
    <x v="3"/>
    <s v="West"/>
    <x v="3"/>
    <s v="OK"/>
    <s v="Goa"/>
    <s v="Goa"/>
    <s v="Panaji"/>
    <s v="Panaji"/>
    <s v="Office Supplies"/>
    <x v="0"/>
    <s v="Storage"/>
    <x v="7"/>
    <s v="Smart Storage 287"/>
    <s v="Same Day"/>
    <x v="1"/>
    <s v="OK"/>
    <n v="5"/>
    <n v="665.25"/>
    <n v="0"/>
    <n v="0"/>
    <s v="OK"/>
    <n v="3326.25"/>
    <n v="2689.36"/>
    <n v="636.89"/>
    <n v="3326.25"/>
    <n v="636.88999999999987"/>
    <x v="676"/>
    <s v="Refunded"/>
    <x v="2"/>
    <s v="REFUNDED_PAYMENT"/>
    <s v="Returned"/>
    <x v="1"/>
    <s v="RETURNED_ORDER"/>
    <s v="INVALID"/>
    <s v="MATCH"/>
    <s v="MATCH"/>
  </r>
  <r>
    <x v="689"/>
    <n v="1"/>
    <d v="2025-12-01T00:00:00"/>
    <d v="2025-12-01T00:00:00"/>
    <x v="4"/>
    <x v="1"/>
    <s v="2025-03-23"/>
    <d v="2025-03-23T00:00:00"/>
    <n v="-253"/>
    <s v="INVALID_SHIPPING"/>
    <s v="CUST-6588"/>
    <s v="Aarav Sharma"/>
    <s v="Aarav Sharma"/>
    <s v="Consumer"/>
    <x v="0"/>
    <s v="East"/>
    <x v="1"/>
    <s v="OK"/>
    <s v="Jharkhand"/>
    <s v="Jharkhand"/>
    <s v="Ranchi"/>
    <s v="Ranchi"/>
    <s v="Furniture"/>
    <x v="1"/>
    <s v="Tables"/>
    <x v="1"/>
    <s v="Prime Tables 242"/>
    <s v="First Class"/>
    <x v="2"/>
    <s v="OK"/>
    <n v="1"/>
    <n v="1842.31"/>
    <n v="0"/>
    <n v="0"/>
    <s v="OK"/>
    <n v="1842.31"/>
    <n v="1019.17"/>
    <n v="823.14"/>
    <n v="1842.31"/>
    <n v="823.14"/>
    <x v="677"/>
    <s v="Paid"/>
    <x v="0"/>
    <s v="OK"/>
    <s v="Completed"/>
    <x v="0"/>
    <s v="OK"/>
    <s v="INVALID"/>
    <s v="MATCH"/>
    <s v="MATCH"/>
  </r>
  <r>
    <x v="690"/>
    <n v="1"/>
    <d v="2025-12-08T00:00:00"/>
    <d v="2025-12-08T00:00:00"/>
    <x v="4"/>
    <x v="1"/>
    <s v="27 Aug 2025"/>
    <d v="2025-08-27T00:00:00"/>
    <n v="-103"/>
    <s v="INVALID_SHIPPING"/>
    <s v="CUST-4475"/>
    <s v="Ananya Rao"/>
    <s v="Ananya Rao"/>
    <s v="Consumer"/>
    <x v="0"/>
    <s v="East"/>
    <x v="1"/>
    <s v="OK"/>
    <s v="Assam"/>
    <s v="Assam"/>
    <s v="Guwahati"/>
    <s v="Guwahati"/>
    <s v="Technology"/>
    <x v="2"/>
    <s v="Accessories"/>
    <x v="4"/>
    <s v="Prime Accessories 482"/>
    <s v="Same Day"/>
    <x v="1"/>
    <s v="OK"/>
    <n v="9"/>
    <n v="2379.2399999999998"/>
    <n v="0.05"/>
    <n v="0.05"/>
    <s v="OK"/>
    <n v="20342.5"/>
    <n v="12407.51"/>
    <n v="7934.99"/>
    <n v="20342.501999999997"/>
    <n v="7934.9919999999966"/>
    <x v="678"/>
    <s v="Paid"/>
    <x v="0"/>
    <s v="OK"/>
    <s v="Completed"/>
    <x v="0"/>
    <s v="OK"/>
    <s v="INVALID"/>
    <s v="MATCH"/>
    <s v="MATCH"/>
  </r>
  <r>
    <x v="691"/>
    <n v="1"/>
    <d v="2025-09-18T00:00:00"/>
    <d v="2025-09-18T00:00:00"/>
    <x v="5"/>
    <x v="1"/>
    <s v="31-08-2025"/>
    <d v="2025-08-31T00:00:00"/>
    <n v="-18"/>
    <s v="INVALID_SHIPPING"/>
    <s v="CUST-9295"/>
    <s v="Sneha Kapoor"/>
    <s v="Sneha Kapoor"/>
    <s v="Home Office"/>
    <x v="3"/>
    <s v="South"/>
    <x v="2"/>
    <s v="OK"/>
    <s v="Andhra Pradesh"/>
    <s v="Andhra Pradesh"/>
    <s v="Vijayawada"/>
    <s v="Vijayawada"/>
    <s v="Office Supplies"/>
    <x v="0"/>
    <s v="Storage"/>
    <x v="7"/>
    <s v="Eco Storage 793"/>
    <s v="Same Day"/>
    <x v="1"/>
    <s v="OK"/>
    <n v="8"/>
    <n v="4242.51"/>
    <n v="0"/>
    <n v="0"/>
    <s v="OK"/>
    <n v="33940.080000000002"/>
    <n v="23754.19"/>
    <n v="10185.89"/>
    <n v="33940.080000000002"/>
    <n v="10185.890000000003"/>
    <x v="679"/>
    <s v="Paid"/>
    <x v="0"/>
    <s v="OK"/>
    <s v="Completed"/>
    <x v="0"/>
    <s v="OK"/>
    <s v="INVALID"/>
    <s v="MATCH"/>
    <s v="MATCH"/>
  </r>
  <r>
    <x v="692"/>
    <n v="1"/>
    <d v="2025-08-10T00:00:00"/>
    <d v="2025-08-10T00:00:00"/>
    <x v="1"/>
    <x v="1"/>
    <s v="15 Oct 2025"/>
    <d v="2025-10-15T00:00:00"/>
    <n v="66"/>
    <s v="OK"/>
    <s v="CUST-3614"/>
    <s v="Rohan Mehta"/>
    <s v="Rohan Mehta"/>
    <s v="Home Office"/>
    <x v="3"/>
    <s v="South"/>
    <x v="2"/>
    <s v="OK"/>
    <s v="Telangana"/>
    <s v="Telangana"/>
    <s v="Hyderabad"/>
    <s v="Hyderabad"/>
    <s v="Furniture"/>
    <x v="1"/>
    <s v="Bookcases"/>
    <x v="9"/>
    <s v="Basic Bookcases 182"/>
    <s v="Standard Class"/>
    <x v="3"/>
    <s v="OK"/>
    <n v="6"/>
    <n v="4288.7"/>
    <n v="0.15"/>
    <n v="0.15"/>
    <s v="OK"/>
    <n v="21872.37"/>
    <n v="13829.5"/>
    <n v="8042.87"/>
    <n v="21872.369999999995"/>
    <n v="8042.8699999999953"/>
    <x v="680"/>
    <s v="Pending"/>
    <x v="1"/>
    <s v="OK"/>
    <s v="Returned"/>
    <x v="1"/>
    <s v="RETURNED_ORDER"/>
    <s v="CLEAN"/>
    <s v="MATCH"/>
    <s v="MATCH"/>
  </r>
  <r>
    <x v="693"/>
    <n v="1"/>
    <d v="2025-12-06T00:00:00"/>
    <d v="2025-12-06T00:00:00"/>
    <x v="4"/>
    <x v="1"/>
    <s v="2024-09-09"/>
    <d v="2024-09-09T00:00:00"/>
    <n v="-453"/>
    <s v="INVALID_SHIPPING"/>
    <s v="CUST-8672"/>
    <s v="Ananya Rao"/>
    <s v="Ananya Rao"/>
    <s v="Corporate"/>
    <x v="2"/>
    <s v="North"/>
    <x v="0"/>
    <s v="OK"/>
    <s v="Delhi"/>
    <s v="Delhi"/>
    <s v="New Delhi"/>
    <s v="New Delhi"/>
    <s v="Furniture"/>
    <x v="1"/>
    <s v="Chairs"/>
    <x v="10"/>
    <s v="Pro Chairs 302"/>
    <s v="Standard Class"/>
    <x v="3"/>
    <s v="OK"/>
    <n v="9"/>
    <n v="2278.5700000000002"/>
    <n v="0.25"/>
    <n v="0.25"/>
    <s v="OK"/>
    <n v="15380.35"/>
    <n v="9907.3700000000008"/>
    <n v="5472.98"/>
    <n v="15380.3475"/>
    <n v="5472.9774999999991"/>
    <x v="681"/>
    <s v="Paid"/>
    <x v="0"/>
    <s v="OK"/>
    <s v="Completed"/>
    <x v="0"/>
    <s v="OK"/>
    <s v="INVALID"/>
    <s v="MATCH"/>
    <s v="MATCH"/>
  </r>
  <r>
    <x v="694"/>
    <n v="1"/>
    <d v="2025-03-05T00:00:00"/>
    <d v="2025-03-05T00:00:00"/>
    <x v="10"/>
    <x v="1"/>
    <s v="2025-09-09"/>
    <d v="2025-09-09T00:00:00"/>
    <n v="188"/>
    <s v="OK"/>
    <s v="CUST-2317"/>
    <s v="Rohan Mehta"/>
    <s v="Rohan Mehta"/>
    <s v="Small Business"/>
    <x v="1"/>
    <s v="West"/>
    <x v="3"/>
    <s v="OK"/>
    <s v="Madhya Pradesh"/>
    <s v="Madhya Pradesh"/>
    <s v="Indore"/>
    <s v="Indore"/>
    <s v="Office Supplies"/>
    <x v="0"/>
    <s v="Labels"/>
    <x v="5"/>
    <s v="Elite Labels 322"/>
    <s v="Same Day"/>
    <x v="1"/>
    <s v="OK"/>
    <n v="5"/>
    <n v="1483.52"/>
    <n v="0"/>
    <n v="0"/>
    <s v="OK"/>
    <n v="7417.6"/>
    <n v="4955.8599999999997"/>
    <n v="2461.7399999999998"/>
    <n v="7417.6"/>
    <n v="2461.7400000000007"/>
    <x v="682"/>
    <s v="Paid"/>
    <x v="0"/>
    <s v="OK"/>
    <s v="Completed"/>
    <x v="0"/>
    <s v="OK"/>
    <s v="CLEAN"/>
    <s v="MATCH"/>
    <s v="MATCH"/>
  </r>
  <r>
    <x v="695"/>
    <n v="1"/>
    <d v="2025-03-23T00:00:00"/>
    <d v="2025-03-23T00:00:00"/>
    <x v="10"/>
    <x v="1"/>
    <s v="07/16/2024"/>
    <d v="2024-07-16T00:00:00"/>
    <n v="-250"/>
    <s v="INVALID_SHIPPING"/>
    <s v="CUST-8643"/>
    <s v="Vikram Iyer"/>
    <s v="Vikram Iyer"/>
    <s v="Small Business"/>
    <x v="1"/>
    <s v="North"/>
    <x v="0"/>
    <s v="OK"/>
    <s v="Rajasthan"/>
    <s v="Rajasthan"/>
    <s v="Jaipur"/>
    <s v="Jaipur"/>
    <s v="Furniture"/>
    <x v="1"/>
    <s v="Furnishings"/>
    <x v="3"/>
    <s v="Max Furnishings 821"/>
    <s v="Standard Class"/>
    <x v="3"/>
    <s v="OK"/>
    <n v="9"/>
    <n v="3298"/>
    <n v="0.15"/>
    <n v="0.15"/>
    <s v="OK"/>
    <n v="25229.7"/>
    <n v="20170.43"/>
    <n v="5059.2700000000004"/>
    <n v="25229.7"/>
    <n v="5059.2700000000004"/>
    <x v="683"/>
    <s v="Paid"/>
    <x v="0"/>
    <s v="OK"/>
    <s v="Completed"/>
    <x v="0"/>
    <s v="OK"/>
    <s v="INVALID"/>
    <s v="MATCH"/>
    <s v="MATCH"/>
  </r>
  <r>
    <x v="696"/>
    <n v="1"/>
    <d v="2025-09-30T00:00:00"/>
    <d v="2025-09-30T00:00:00"/>
    <x v="5"/>
    <x v="1"/>
    <s v="23-06-2025"/>
    <d v="2025-06-23T00:00:00"/>
    <n v="-99"/>
    <s v="INVALID_SHIPPING"/>
    <s v="CUST-5551"/>
    <s v="Aarav Sharma"/>
    <s v="Aarav Sharma"/>
    <s v="Corporate"/>
    <x v="2"/>
    <m/>
    <x v="4"/>
    <s v="MISSING_REGION"/>
    <s v="Rajasthan"/>
    <s v="Rajasthan"/>
    <s v="Jaipur"/>
    <s v="Jaipur"/>
    <s v="Technology"/>
    <x v="2"/>
    <s v="Copiers"/>
    <x v="6"/>
    <s v="Eco Copiers 603"/>
    <s v="Second Class"/>
    <x v="0"/>
    <s v="OK"/>
    <n v="9"/>
    <n v="1359.88"/>
    <n v="0.05"/>
    <n v="0.05"/>
    <s v="OK"/>
    <n v="11626.97"/>
    <n v="7394.07"/>
    <n v="4232.8999999999996"/>
    <n v="11626.974000000002"/>
    <n v="4232.9040000000023"/>
    <x v="684"/>
    <s v="Paid"/>
    <x v="0"/>
    <s v="OK"/>
    <s v="Completed"/>
    <x v="0"/>
    <s v="OK"/>
    <s v="INVALID"/>
    <s v="MATCH"/>
    <s v="MATCH"/>
  </r>
  <r>
    <x v="697"/>
    <n v="1"/>
    <d v="2025-05-25T00:00:00"/>
    <d v="2025-05-25T00:00:00"/>
    <x v="3"/>
    <x v="1"/>
    <s v="10 Oct 2024"/>
    <d v="2024-10-10T00:00:00"/>
    <n v="-227"/>
    <s v="INVALID_SHIPPING"/>
    <s v="CUST-3659"/>
    <s v="Neha Gupta"/>
    <s v="Neha Gupta"/>
    <s v="Corporate"/>
    <x v="2"/>
    <s v="South"/>
    <x v="2"/>
    <s v="OK"/>
    <s v="Andhra Pradesh"/>
    <s v="Andhra Pradesh"/>
    <s v="Vijayawada"/>
    <s v="Vijayawada"/>
    <s v="Office Supplies"/>
    <x v="0"/>
    <s v="Paper"/>
    <x v="0"/>
    <s v="Max Paper 700"/>
    <s v="Standard Class"/>
    <x v="3"/>
    <s v="OK"/>
    <n v="3"/>
    <n v="3378.15"/>
    <n v="0.15"/>
    <n v="0.15"/>
    <s v="OK"/>
    <n v="8614.2800000000007"/>
    <n v="7052.08"/>
    <n v="1562.2"/>
    <n v="8614.2825000000012"/>
    <n v="1562.2025000000012"/>
    <x v="685"/>
    <s v="Paid"/>
    <x v="0"/>
    <s v="OK"/>
    <s v="Completed"/>
    <x v="0"/>
    <s v="OK"/>
    <s v="INVALID"/>
    <s v="MATCH"/>
    <s v="MATCH"/>
  </r>
  <r>
    <x v="698"/>
    <n v="1"/>
    <d v="2025-02-07T00:00:00"/>
    <d v="2025-02-07T00:00:00"/>
    <x v="11"/>
    <x v="1"/>
    <s v="2025-10-13"/>
    <d v="2025-10-13T00:00:00"/>
    <n v="248"/>
    <s v="OK"/>
    <s v="CUST-2626"/>
    <s v="Arjun Bose"/>
    <s v="Arjun Bose"/>
    <s v="Corporate"/>
    <x v="2"/>
    <s v="West"/>
    <x v="3"/>
    <s v="OK"/>
    <s v="Madhya Pradesh"/>
    <s v="Madhya Pradesh"/>
    <s v="Indore"/>
    <s v="Indore"/>
    <s v="Technology"/>
    <x v="2"/>
    <s v="Phones"/>
    <x v="8"/>
    <s v="Eco Phones 208"/>
    <s v="Standard Class"/>
    <x v="3"/>
    <s v="OK"/>
    <n v="4"/>
    <n v="889.5"/>
    <n v="0.2"/>
    <n v="0.2"/>
    <s v="OK"/>
    <n v="2846.4"/>
    <n v="2132.37"/>
    <n v="714.03"/>
    <n v="2846.4"/>
    <n v="714.0300000000002"/>
    <x v="686"/>
    <s v="Paid"/>
    <x v="0"/>
    <s v="OK"/>
    <s v="Completed"/>
    <x v="0"/>
    <s v="OK"/>
    <s v="CLEAN"/>
    <s v="MATCH"/>
    <s v="MATCH"/>
  </r>
  <r>
    <x v="699"/>
    <n v="1"/>
    <d v="2025-03-11T00:00:00"/>
    <d v="2025-03-11T00:00:00"/>
    <x v="10"/>
    <x v="1"/>
    <s v="16-02-2024"/>
    <d v="2024-02-16T00:00:00"/>
    <n v="-389"/>
    <s v="INVALID_SHIPPING"/>
    <s v="CUST-7362"/>
    <s v="Arjun Bose"/>
    <s v="Arjun Bose"/>
    <s v="Corporate"/>
    <x v="2"/>
    <s v="East"/>
    <x v="1"/>
    <s v="OK"/>
    <s v="Bihar"/>
    <s v="Bihar"/>
    <s v="Patna"/>
    <s v="Patna"/>
    <s v="Office Supplies"/>
    <x v="0"/>
    <s v="Paper"/>
    <x v="0"/>
    <s v="Elite Paper 106"/>
    <s v="Same Day"/>
    <x v="1"/>
    <s v="OK"/>
    <n v="3"/>
    <n v="3625.08"/>
    <n v="0.05"/>
    <n v="0.05"/>
    <s v="OK"/>
    <n v="10331.48"/>
    <n v="7131.91"/>
    <n v="3199.57"/>
    <n v="10331.477999999999"/>
    <n v="3199.5679999999993"/>
    <x v="687"/>
    <s v="Pending"/>
    <x v="1"/>
    <s v="OK"/>
    <s v="Cancelled"/>
    <x v="2"/>
    <s v="EXCLUDE_FROM_SALES"/>
    <s v="INVALID"/>
    <s v="MATCH"/>
    <s v="MATCH"/>
  </r>
  <r>
    <x v="700"/>
    <n v="1"/>
    <d v="2025-09-01T00:00:00"/>
    <d v="2025-09-01T00:00:00"/>
    <x v="5"/>
    <x v="1"/>
    <s v="2025-10-12"/>
    <d v="2025-10-12T00:00:00"/>
    <n v="41"/>
    <s v="OK"/>
    <s v="CUST-4176"/>
    <s v="Aarav Sharma"/>
    <s v="Aarav Sharma"/>
    <s v="Home Office"/>
    <x v="3"/>
    <s v="East"/>
    <x v="1"/>
    <s v="OK"/>
    <s v="West Bengal"/>
    <s v="West Bengal"/>
    <s v="Kolkata"/>
    <s v="Kolkata"/>
    <s v="Office Supplies"/>
    <x v="0"/>
    <s v="Binders"/>
    <x v="11"/>
    <s v="Pro Binders 555"/>
    <s v="Second Class"/>
    <x v="0"/>
    <s v="OK"/>
    <n v="3"/>
    <n v="2188.33"/>
    <n v="0"/>
    <n v="0"/>
    <s v="OK"/>
    <n v="6564.99"/>
    <n v="5407.24"/>
    <n v="1157.75"/>
    <n v="6564.99"/>
    <n v="1157.75"/>
    <x v="688"/>
    <s v="Paid"/>
    <x v="0"/>
    <s v="OK"/>
    <s v="Completed"/>
    <x v="0"/>
    <s v="OK"/>
    <s v="CLEAN"/>
    <s v="MATCH"/>
    <s v="MATCH"/>
  </r>
  <r>
    <x v="701"/>
    <n v="1"/>
    <d v="2025-01-03T00:00:00"/>
    <d v="2025-01-03T00:00:00"/>
    <x v="9"/>
    <x v="1"/>
    <s v="01/23/2024"/>
    <d v="2024-01-23T00:00:00"/>
    <n v="-346"/>
    <s v="INVALID_SHIPPING"/>
    <s v="CUST-5712"/>
    <s v="Vikram Iyer"/>
    <s v="Vikram Iyer"/>
    <s v="Consumer"/>
    <x v="0"/>
    <s v="East"/>
    <x v="1"/>
    <s v="OK"/>
    <s v="West Bengal"/>
    <s v="West Bengal"/>
    <s v="Kolkata"/>
    <s v="Kolkata"/>
    <s v="Furniture"/>
    <x v="1"/>
    <s v="Chairs"/>
    <x v="10"/>
    <s v="Eco Chairs 365"/>
    <s v="Same Day"/>
    <x v="1"/>
    <s v="OK"/>
    <n v="8"/>
    <n v="3378.82"/>
    <n v="0.25"/>
    <n v="0.25"/>
    <s v="OK"/>
    <n v="20272.919999999998"/>
    <n v="15873.38"/>
    <n v="4399.54"/>
    <n v="20272.920000000002"/>
    <n v="4399.5400000000027"/>
    <x v="689"/>
    <s v="Pending"/>
    <x v="1"/>
    <s v="OK"/>
    <s v="Returned"/>
    <x v="1"/>
    <s v="RETURNED_ORDER"/>
    <s v="INVALID"/>
    <s v="MATCH"/>
    <s v="MATCH"/>
  </r>
  <r>
    <x v="702"/>
    <n v="1"/>
    <d v="2025-08-23T00:00:00"/>
    <d v="2025-08-23T00:00:00"/>
    <x v="1"/>
    <x v="1"/>
    <s v="13 Oct 2024"/>
    <d v="2024-10-13T00:00:00"/>
    <n v="-314"/>
    <s v="INVALID_SHIPPING"/>
    <s v="CUST-6920"/>
    <s v="Vikram Iyer"/>
    <s v="Vikram Iyer"/>
    <s v="Corporate"/>
    <x v="2"/>
    <s v="West"/>
    <x v="3"/>
    <s v="OK"/>
    <s v="Gujarat"/>
    <s v="Gujarat"/>
    <s v="Ahmedabad"/>
    <s v="Ahmedabad"/>
    <s v="Furniture"/>
    <x v="1"/>
    <s v="Chairs"/>
    <x v="10"/>
    <s v="Pro Chairs 186"/>
    <s v="Standard Class"/>
    <x v="3"/>
    <s v="OK"/>
    <n v="6"/>
    <n v="2193.23"/>
    <n v="0.1"/>
    <n v="0.1"/>
    <s v="OK"/>
    <n v="11843.44"/>
    <n v="9356.8799999999992"/>
    <n v="2486.56"/>
    <n v="11843.442000000001"/>
    <n v="2486.5620000000017"/>
    <x v="690"/>
    <s v="Paid"/>
    <x v="0"/>
    <s v="OK"/>
    <s v="Cancelled"/>
    <x v="2"/>
    <s v="EXCLUDE_FROM_SALES"/>
    <s v="INVALID"/>
    <s v="MATCH"/>
    <s v="MATCH"/>
  </r>
  <r>
    <x v="703"/>
    <n v="1"/>
    <d v="2025-05-01T00:00:00"/>
    <d v="2025-05-01T00:00:00"/>
    <x v="3"/>
    <x v="1"/>
    <s v="07-01-2024"/>
    <d v="2024-07-01T00:00:00"/>
    <n v="-304"/>
    <s v="INVALID_SHIPPING"/>
    <s v="CUST-9947"/>
    <s v="Neha Gupta"/>
    <s v="Neha Gupta"/>
    <s v="Small Business"/>
    <x v="1"/>
    <s v="South"/>
    <x v="2"/>
    <s v="OK"/>
    <s v="Tamil Nadu"/>
    <s v="Tamil Nadu"/>
    <s v="Chennai"/>
    <s v="Chennai"/>
    <s v="Office Supplies"/>
    <x v="0"/>
    <s v="Storage"/>
    <x v="7"/>
    <s v="Eco Storage 923"/>
    <m/>
    <x v="4"/>
    <s v="MISSING_SHIP_MODE"/>
    <n v="5"/>
    <n v="905.16"/>
    <n v="0"/>
    <n v="0"/>
    <s v="OK"/>
    <n v="4525.8"/>
    <n v="2714.51"/>
    <n v="1811.29"/>
    <n v="4525.8"/>
    <n v="1811.29"/>
    <x v="691"/>
    <s v="Paid"/>
    <x v="0"/>
    <s v="OK"/>
    <s v="Completed"/>
    <x v="0"/>
    <s v="OK"/>
    <s v="INVALID"/>
    <s v="MATCH"/>
    <s v="MATCH"/>
  </r>
  <r>
    <x v="704"/>
    <n v="1"/>
    <d v="2025-05-06T00:00:00"/>
    <d v="2025-05-06T00:00:00"/>
    <x v="3"/>
    <x v="1"/>
    <s v="25 May 2025"/>
    <d v="2025-05-25T00:00:00"/>
    <n v="19"/>
    <s v="OK"/>
    <s v="CUST-4403"/>
    <s v="Isha Nair"/>
    <s v="Isha Nair"/>
    <s v="Consumer"/>
    <x v="0"/>
    <s v="North"/>
    <x v="0"/>
    <s v="OK"/>
    <s v="Uttar Pradesh"/>
    <s v="Uttar Pradesh"/>
    <s v="Noida"/>
    <s v="Noida"/>
    <s v="Technology"/>
    <x v="2"/>
    <s v="Machines"/>
    <x v="12"/>
    <s v="Classic Machines 287"/>
    <s v="Same Day"/>
    <x v="1"/>
    <s v="OK"/>
    <n v="4"/>
    <n v="2793.88"/>
    <n v="0.85"/>
    <n v="0.85"/>
    <s v="OK"/>
    <n v="10616.74"/>
    <n v="6353.59"/>
    <n v="4263.1499999999996"/>
    <n v="1676.3280000000002"/>
    <n v="-4677.2619999999997"/>
    <x v="692"/>
    <s v="Paid"/>
    <x v="0"/>
    <s v="OK"/>
    <s v="Completed"/>
    <x v="0"/>
    <s v="OK"/>
    <s v="CLEAN"/>
    <s v="MISMATCH"/>
    <s v="MISMATCH"/>
  </r>
  <r>
    <x v="705"/>
    <n v="1"/>
    <d v="2025-01-22T00:00:00"/>
    <d v="2025-01-22T00:00:00"/>
    <x v="9"/>
    <x v="1"/>
    <s v="24-06-2025"/>
    <d v="2025-06-24T00:00:00"/>
    <n v="153"/>
    <s v="OK"/>
    <s v="CUST-1594"/>
    <s v="Rahul Verma"/>
    <s v="Rahul Verma"/>
    <s v="Corporate"/>
    <x v="2"/>
    <s v="West"/>
    <x v="3"/>
    <s v="OK"/>
    <s v="Goa"/>
    <s v="Goa"/>
    <s v="Panaji"/>
    <s v="Panaji"/>
    <s v="Furniture"/>
    <x v="1"/>
    <s v="Bookcases"/>
    <x v="9"/>
    <s v="Elite Bookcases 802"/>
    <s v="Standard Class"/>
    <x v="3"/>
    <s v="OK"/>
    <n v="4"/>
    <n v="2555.19"/>
    <n v="0.25"/>
    <n v="0.25"/>
    <s v="OK"/>
    <n v="7665.57"/>
    <n v="5595.6"/>
    <n v="2069.9699999999998"/>
    <n v="7665.57"/>
    <n v="2069.9699999999993"/>
    <x v="693"/>
    <s v="Paid"/>
    <x v="0"/>
    <s v="OK"/>
    <s v="Completed"/>
    <x v="0"/>
    <s v="OK"/>
    <s v="CLEAN"/>
    <s v="MATCH"/>
    <s v="MATCH"/>
  </r>
  <r>
    <x v="706"/>
    <n v="1"/>
    <d v="2025-06-22T00:00:00"/>
    <d v="2025-06-22T00:00:00"/>
    <x v="8"/>
    <x v="1"/>
    <s v="19 Mar 2024"/>
    <d v="2024-03-19T00:00:00"/>
    <n v="-460"/>
    <s v="INVALID_SHIPPING"/>
    <s v="CUST-8132"/>
    <s v="Rahul Verma"/>
    <s v="Rahul Verma"/>
    <s v="Corporate"/>
    <x v="2"/>
    <s v="West"/>
    <x v="3"/>
    <s v="OK"/>
    <s v="Goa"/>
    <s v="Goa"/>
    <s v="Panaji"/>
    <s v="Panaji"/>
    <s v="Furniture"/>
    <x v="1"/>
    <s v="Tables"/>
    <x v="1"/>
    <s v="Pro Tables 257"/>
    <s v="Standard Class"/>
    <x v="3"/>
    <s v="OK"/>
    <n v="3"/>
    <n v="1946.18"/>
    <n v="0.2"/>
    <n v="0.2"/>
    <s v="OK"/>
    <n v="4670.83"/>
    <n v="3166.49"/>
    <n v="1504.34"/>
    <n v="4670.8320000000003"/>
    <n v="1504.3420000000006"/>
    <x v="694"/>
    <s v="Paid"/>
    <x v="0"/>
    <s v="OK"/>
    <s v="Completed"/>
    <x v="0"/>
    <s v="OK"/>
    <s v="INVALID"/>
    <s v="MATCH"/>
    <s v="MATCH"/>
  </r>
  <r>
    <x v="707"/>
    <n v="1"/>
    <d v="2025-10-06T00:00:00"/>
    <d v="2025-10-06T00:00:00"/>
    <x v="7"/>
    <x v="1"/>
    <s v="06 Dec 2024"/>
    <d v="2024-12-06T00:00:00"/>
    <n v="-304"/>
    <s v="INVALID_SHIPPING"/>
    <s v="CUST-7685"/>
    <s v="Rahul Verma"/>
    <s v="Rahul Verma"/>
    <s v="Corporate"/>
    <x v="2"/>
    <s v="South"/>
    <x v="2"/>
    <s v="OK"/>
    <s v="Telangana"/>
    <s v="Telangana"/>
    <s v="Hyderabad"/>
    <s v="Hyderabad"/>
    <s v="Furniture"/>
    <x v="1"/>
    <s v="Furnishings"/>
    <x v="3"/>
    <s v="Prime Furnishings 299"/>
    <s v="Standard Class"/>
    <x v="3"/>
    <s v="OK"/>
    <n v="5"/>
    <n v="1231.0999999999999"/>
    <n v="0"/>
    <n v="0"/>
    <s v="OK"/>
    <n v="6155.5"/>
    <n v="4282.09"/>
    <n v="1873.41"/>
    <n v="6155.5"/>
    <n v="1873.4099999999999"/>
    <x v="695"/>
    <s v="Refunded"/>
    <x v="2"/>
    <s v="REFUNDED_PAYMENT"/>
    <s v="Returned"/>
    <x v="1"/>
    <s v="RETURNED_ORDER"/>
    <s v="INVALID"/>
    <s v="MATCH"/>
    <s v="MATCH"/>
  </r>
  <r>
    <x v="708"/>
    <n v="1"/>
    <d v="2025-04-29T00:00:00"/>
    <d v="2025-04-29T00:00:00"/>
    <x v="6"/>
    <x v="1"/>
    <s v="28 Jun 2024"/>
    <d v="2024-06-28T00:00:00"/>
    <n v="-305"/>
    <s v="INVALID_SHIPPING"/>
    <s v="CUST-4101"/>
    <s v="Mira Das"/>
    <s v="Mira Das"/>
    <s v="Corporate"/>
    <x v="2"/>
    <s v="South"/>
    <x v="2"/>
    <s v="OK"/>
    <s v="Kerala"/>
    <s v="Kerala"/>
    <s v="Kochi"/>
    <s v="Kochi"/>
    <s v="Technology"/>
    <x v="2"/>
    <s v="Accessories"/>
    <x v="4"/>
    <s v="Prime Accessories 118"/>
    <s v="Standard Class"/>
    <x v="3"/>
    <s v="OK"/>
    <n v="4"/>
    <n v="606.58000000000004"/>
    <n v="0.2"/>
    <n v="0.2"/>
    <s v="OK"/>
    <n v="1941.06"/>
    <n v="1207.42"/>
    <n v="733.64"/>
    <n v="1941.0560000000003"/>
    <n v="733.63600000000019"/>
    <x v="696"/>
    <s v="Paid"/>
    <x v="0"/>
    <s v="OK"/>
    <s v="Completed"/>
    <x v="0"/>
    <s v="OK"/>
    <s v="INVALID"/>
    <s v="MATCH"/>
    <s v="MATCH"/>
  </r>
  <r>
    <x v="709"/>
    <n v="1"/>
    <d v="2025-06-28T00:00:00"/>
    <d v="2025-06-28T00:00:00"/>
    <x v="8"/>
    <x v="1"/>
    <s v="24-08-2024"/>
    <d v="2024-08-24T00:00:00"/>
    <n v="-308"/>
    <s v="INVALID_SHIPPING"/>
    <s v="CUST-4679"/>
    <s v="Ananya Rao"/>
    <s v="Ananya Rao"/>
    <s v="Corporate"/>
    <x v="2"/>
    <s v="South"/>
    <x v="2"/>
    <s v="OK"/>
    <s v="Andhra Pradesh"/>
    <s v="Andhra Pradesh"/>
    <s v="Vijayawada"/>
    <s v="Vijayawada"/>
    <s v="Office Supplies"/>
    <x v="0"/>
    <s v="Storage"/>
    <x v="7"/>
    <s v="Elite Storage 331"/>
    <s v="Second Class"/>
    <x v="0"/>
    <s v="OK"/>
    <n v="2"/>
    <n v="2725.44"/>
    <n v="0.25"/>
    <n v="0.25"/>
    <s v="OK"/>
    <n v="4088.16"/>
    <n v="3205.68"/>
    <n v="882.48"/>
    <n v="4088.16"/>
    <n v="882.48"/>
    <x v="697"/>
    <s v="Paid"/>
    <x v="0"/>
    <s v="OK"/>
    <s v="Completed"/>
    <x v="0"/>
    <s v="OK"/>
    <s v="INVALID"/>
    <s v="MATCH"/>
    <s v="MATCH"/>
  </r>
  <r>
    <x v="710"/>
    <n v="1"/>
    <d v="2025-02-13T00:00:00"/>
    <d v="2025-02-13T00:00:00"/>
    <x v="11"/>
    <x v="1"/>
    <s v="19-08-2024"/>
    <d v="2024-08-19T00:00:00"/>
    <n v="-178"/>
    <s v="INVALID_SHIPPING"/>
    <s v="CUST-3765"/>
    <s v="Kabir Singh"/>
    <s v="Kabir Singh"/>
    <s v="Corporate"/>
    <x v="2"/>
    <s v="East"/>
    <x v="1"/>
    <s v="OK"/>
    <s v="Odisha"/>
    <s v="Odisha"/>
    <s v="Bhubaneswar"/>
    <s v="Bhubaneswar"/>
    <s v="Office Supplies"/>
    <x v="0"/>
    <s v="Paper"/>
    <x v="0"/>
    <s v="Prime Paper 996"/>
    <s v="Second Class"/>
    <x v="0"/>
    <s v="OK"/>
    <n v="7"/>
    <n v="2296.6999999999998"/>
    <n v="0.05"/>
    <n v="0.05"/>
    <s v="OK"/>
    <n v="15273.05"/>
    <n v="11088.76"/>
    <n v="4184.29"/>
    <n v="15273.054999999997"/>
    <n v="4184.2949999999964"/>
    <x v="698"/>
    <s v="Paid"/>
    <x v="0"/>
    <s v="OK"/>
    <s v="Completed"/>
    <x v="0"/>
    <s v="OK"/>
    <s v="INVALID"/>
    <s v="MISMATCH"/>
    <s v="MISMATCH"/>
  </r>
  <r>
    <x v="711"/>
    <n v="1"/>
    <d v="2025-04-07T00:00:00"/>
    <d v="2025-04-07T00:00:00"/>
    <x v="6"/>
    <x v="1"/>
    <s v="09-12-2024"/>
    <d v="2024-09-12T00:00:00"/>
    <n v="-207"/>
    <s v="INVALID_SHIPPING"/>
    <s v="CUST-2038"/>
    <s v="Kabir Singh"/>
    <s v="Kabir Singh"/>
    <s v="Small Business"/>
    <x v="1"/>
    <s v="East"/>
    <x v="1"/>
    <s v="OK"/>
    <s v="Jharkhand"/>
    <s v="Jharkhand"/>
    <s v="Ranchi"/>
    <s v="Ranchi"/>
    <s v="Furniture"/>
    <x v="1"/>
    <s v="Chairs"/>
    <x v="10"/>
    <s v="Eco Chairs 795"/>
    <s v="Second Class"/>
    <x v="0"/>
    <s v="OK"/>
    <n v="2"/>
    <n v="3686.42"/>
    <n v="0.1"/>
    <n v="0.1"/>
    <s v="OK"/>
    <n v="6635.56"/>
    <n v="3652.91"/>
    <n v="2982.65"/>
    <n v="6635.5560000000005"/>
    <n v="2982.6460000000006"/>
    <x v="699"/>
    <s v="Paid"/>
    <x v="0"/>
    <s v="OK"/>
    <s v="Completed"/>
    <x v="0"/>
    <s v="OK"/>
    <s v="INVALID"/>
    <s v="MATCH"/>
    <s v="MATCH"/>
  </r>
  <r>
    <x v="712"/>
    <n v="1"/>
    <d v="2025-07-09T00:00:00"/>
    <d v="2025-07-09T00:00:00"/>
    <x v="0"/>
    <x v="1"/>
    <s v="10 Feb 2024"/>
    <d v="2024-02-10T00:00:00"/>
    <n v="-515"/>
    <s v="INVALID_SHIPPING"/>
    <s v="CUST-1190"/>
    <s v="Karan Malhotra"/>
    <s v="Karan Malhotra"/>
    <s v="Consumer"/>
    <x v="0"/>
    <s v="North"/>
    <x v="0"/>
    <s v="OK"/>
    <s v="Punjab"/>
    <s v="Punjab"/>
    <s v="Ludhiana"/>
    <s v="Ludhiana"/>
    <s v="Furniture"/>
    <x v="1"/>
    <s v="Chairs"/>
    <x v="10"/>
    <s v="Basic Chairs 255"/>
    <s v="Same Day"/>
    <x v="1"/>
    <s v="OK"/>
    <n v="2"/>
    <n v="447.55"/>
    <n v="0.05"/>
    <n v="0.05"/>
    <s v="OK"/>
    <n v="850.35"/>
    <n v="600.98"/>
    <n v="249.37"/>
    <n v="850.34500000000003"/>
    <n v="249.36500000000001"/>
    <x v="700"/>
    <s v="Refunded"/>
    <x v="2"/>
    <s v="REFUNDED_PAYMENT"/>
    <s v="Cancelled"/>
    <x v="2"/>
    <s v="EXCLUDE_FROM_SALES"/>
    <s v="INVALID"/>
    <s v="MATCH"/>
    <s v="MATCH"/>
  </r>
  <r>
    <x v="713"/>
    <n v="1"/>
    <d v="2025-12-02T00:00:00"/>
    <d v="2025-12-02T00:00:00"/>
    <x v="4"/>
    <x v="1"/>
    <s v="02/22/2025"/>
    <d v="2025-02-22T00:00:00"/>
    <n v="-283"/>
    <s v="INVALID_SHIPPING"/>
    <s v="CUST-9693"/>
    <s v="Arjun Bose"/>
    <s v="Arjun Bose"/>
    <s v="Corporate"/>
    <x v="2"/>
    <s v="West"/>
    <x v="3"/>
    <s v="OK"/>
    <s v="Gujarat"/>
    <s v="Gujarat"/>
    <s v="Ahmedabad"/>
    <s v="Ahmedabad"/>
    <s v="Office Supplies"/>
    <x v="0"/>
    <s v="Art"/>
    <x v="2"/>
    <s v="Elite Art 553"/>
    <s v="Standard Class"/>
    <x v="3"/>
    <s v="OK"/>
    <n v="4"/>
    <n v="4328.12"/>
    <n v="0"/>
    <n v="0"/>
    <s v="OK"/>
    <n v="17312.48"/>
    <n v="14424.22"/>
    <n v="2888.26"/>
    <n v="17312.48"/>
    <n v="2888.26"/>
    <x v="701"/>
    <s v="Paid"/>
    <x v="0"/>
    <s v="OK"/>
    <s v="Completed"/>
    <x v="0"/>
    <s v="OK"/>
    <s v="INVALID"/>
    <s v="MATCH"/>
    <s v="MATCH"/>
  </r>
  <r>
    <x v="714"/>
    <n v="1"/>
    <d v="2025-04-15T00:00:00"/>
    <d v="2025-04-15T00:00:00"/>
    <x v="6"/>
    <x v="1"/>
    <s v="12/10/2024"/>
    <d v="2024-12-10T00:00:00"/>
    <n v="-126"/>
    <s v="INVALID_SHIPPING"/>
    <s v="CUST-1826"/>
    <s v="Isha Nair"/>
    <s v="Isha Nair"/>
    <s v="Small Business"/>
    <x v="1"/>
    <s v="North"/>
    <x v="0"/>
    <s v="OK"/>
    <s v="Haryana"/>
    <s v="Haryana"/>
    <s v="Gurugram"/>
    <s v="Gurugram"/>
    <s v="Office Supplies"/>
    <x v="0"/>
    <s v="Binders"/>
    <x v="11"/>
    <s v="Classic Binders 602"/>
    <s v="Same Day"/>
    <x v="1"/>
    <s v="OK"/>
    <n v="4"/>
    <n v="2990.42"/>
    <n v="0.25"/>
    <n v="0.25"/>
    <s v="OK"/>
    <n v="8971.26"/>
    <n v="6814.35"/>
    <n v="2156.91"/>
    <n v="8971.26"/>
    <n v="2156.91"/>
    <x v="702"/>
    <s v="Paid"/>
    <x v="0"/>
    <s v="OK"/>
    <s v="Completed"/>
    <x v="0"/>
    <s v="OK"/>
    <s v="INVALID"/>
    <s v="MATCH"/>
    <s v="MATCH"/>
  </r>
  <r>
    <x v="715"/>
    <n v="1"/>
    <d v="2025-12-05T00:00:00"/>
    <d v="2025-12-05T00:00:00"/>
    <x v="4"/>
    <x v="1"/>
    <s v="04/02/2024"/>
    <d v="2024-04-02T00:00:00"/>
    <n v="-612"/>
    <s v="INVALID_SHIPPING"/>
    <s v="CUST-7901"/>
    <s v="Neha Gupta"/>
    <s v="Neha Gupta"/>
    <s v="Consumer"/>
    <x v="0"/>
    <s v="West"/>
    <x v="3"/>
    <s v="OK"/>
    <s v="Gujarat"/>
    <s v="Gujarat"/>
    <s v="Ahmedabad"/>
    <s v="Ahmedabad"/>
    <s v="Technology"/>
    <x v="2"/>
    <s v="Machines"/>
    <x v="12"/>
    <s v="Classic Machines 599"/>
    <s v="Same Day"/>
    <x v="1"/>
    <s v="OK"/>
    <n v="8"/>
    <n v="3631.44"/>
    <n v="0.2"/>
    <n v="0.2"/>
    <s v="OK"/>
    <n v="23241.22"/>
    <n v="17220.900000000001"/>
    <n v="6020.32"/>
    <n v="23241.216"/>
    <n v="6020.3159999999989"/>
    <x v="703"/>
    <s v="Paid"/>
    <x v="0"/>
    <s v="OK"/>
    <s v="Completed"/>
    <x v="0"/>
    <s v="OK"/>
    <s v="INVALID"/>
    <s v="MATCH"/>
    <s v="MATCH"/>
  </r>
  <r>
    <x v="716"/>
    <n v="1"/>
    <d v="2025-02-03T00:00:00"/>
    <d v="2025-02-03T00:00:00"/>
    <x v="11"/>
    <x v="1"/>
    <s v="2025-04-25"/>
    <d v="2025-04-25T00:00:00"/>
    <n v="81"/>
    <s v="OK"/>
    <s v="CUST-9943"/>
    <s v="Isha Nair"/>
    <s v="Isha Nair"/>
    <s v="Corporate"/>
    <x v="2"/>
    <s v="South"/>
    <x v="2"/>
    <s v="OK"/>
    <s v="Kerala"/>
    <s v="Kerala"/>
    <s v="Kochi"/>
    <s v="Kochi"/>
    <s v="Office Supplies"/>
    <x v="0"/>
    <s v="Labels"/>
    <x v="5"/>
    <s v="Pro Labels 849"/>
    <s v="Second Class"/>
    <x v="0"/>
    <s v="OK"/>
    <n v="2"/>
    <n v="4031.45"/>
    <n v="0.25"/>
    <n v="0.25"/>
    <s v="OK"/>
    <n v="6047.17"/>
    <n v="3368.79"/>
    <n v="2678.38"/>
    <n v="6047.1749999999993"/>
    <n v="2678.3849999999993"/>
    <x v="704"/>
    <s v="Paid"/>
    <x v="0"/>
    <s v="OK"/>
    <s v="Completed"/>
    <x v="0"/>
    <s v="OK"/>
    <s v="CLEAN"/>
    <s v="MISMATCH"/>
    <s v="MISMATCH"/>
  </r>
  <r>
    <x v="717"/>
    <n v="1"/>
    <d v="2025-06-27T00:00:00"/>
    <d v="2025-06-27T00:00:00"/>
    <x v="8"/>
    <x v="1"/>
    <s v="22 Oct 2024"/>
    <d v="2024-10-22T00:00:00"/>
    <n v="-248"/>
    <s v="INVALID_SHIPPING"/>
    <s v="CUST-8993"/>
    <s v="Aarav Sharma"/>
    <s v="Aarav Sharma"/>
    <s v="Corporate"/>
    <x v="2"/>
    <s v="South"/>
    <x v="2"/>
    <s v="OK"/>
    <s v="Kerala"/>
    <s v="Kerala"/>
    <s v="Kochi"/>
    <s v="Kochi"/>
    <s v="Technology"/>
    <x v="2"/>
    <s v="Accessories"/>
    <x v="4"/>
    <s v="Prime Accessories 849"/>
    <s v="First Class"/>
    <x v="2"/>
    <s v="OK"/>
    <n v="6"/>
    <n v="1099.49"/>
    <n v="0.1"/>
    <n v="0.1"/>
    <s v="OK"/>
    <n v="6212.38"/>
    <n v="4088.46"/>
    <n v="1848.79"/>
    <n v="5937.246000000001"/>
    <n v="1848.786000000001"/>
    <x v="705"/>
    <s v="Paid"/>
    <x v="0"/>
    <s v="OK"/>
    <s v="Completed"/>
    <x v="0"/>
    <s v="OK"/>
    <s v="INVALID"/>
    <s v="MISMATCH"/>
    <s v="MATCH"/>
  </r>
  <r>
    <x v="718"/>
    <n v="1"/>
    <d v="2025-11-04T00:00:00"/>
    <d v="2025-11-04T00:00:00"/>
    <x v="2"/>
    <x v="1"/>
    <s v="14 Feb 2025"/>
    <d v="2025-02-14T00:00:00"/>
    <n v="-263"/>
    <s v="INVALID_SHIPPING"/>
    <s v="CUST-9986"/>
    <s v="Rahul Verma"/>
    <s v="Rahul Verma"/>
    <s v="Corporate"/>
    <x v="2"/>
    <s v="North"/>
    <x v="0"/>
    <s v="OK"/>
    <s v="Delhi"/>
    <s v="Delhi"/>
    <s v="New Delhi"/>
    <s v="New Delhi"/>
    <s v="Office Supplies"/>
    <x v="0"/>
    <s v="Paper"/>
    <x v="0"/>
    <s v="Classic Paper 752"/>
    <s v="Standard Class"/>
    <x v="3"/>
    <s v="OK"/>
    <n v="1"/>
    <n v="4458.49"/>
    <n v="-7.0000000000000007E-2"/>
    <n v="-7.0000000000000007E-2"/>
    <s v="Invalid Negative Discount"/>
    <n v="3566.79"/>
    <n v="2083.41"/>
    <n v="1483.38"/>
    <s v="INVALID"/>
    <s v="INVALID"/>
    <x v="12"/>
    <s v="Paid"/>
    <x v="0"/>
    <s v="OK"/>
    <s v="Completed"/>
    <x v="0"/>
    <s v="OK"/>
    <s v="INVALID"/>
    <s v="INVALID"/>
    <s v="INVALID"/>
  </r>
  <r>
    <x v="719"/>
    <n v="1"/>
    <d v="2025-05-25T00:00:00"/>
    <d v="2025-05-25T00:00:00"/>
    <x v="3"/>
    <x v="1"/>
    <s v="2025-08-20"/>
    <d v="2025-08-20T00:00:00"/>
    <n v="87"/>
    <s v="OK"/>
    <s v="CUST-4235"/>
    <s v="Rahul Verma"/>
    <s v="Rahul Verma"/>
    <s v="Consumer"/>
    <x v="0"/>
    <s v="East"/>
    <x v="1"/>
    <s v="OK"/>
    <s v="Odisha"/>
    <s v="Odisha"/>
    <s v="Bhubaneswar"/>
    <s v="Bhubaneswar"/>
    <s v="Furniture"/>
    <x v="1"/>
    <s v="Furnishings"/>
    <x v="3"/>
    <s v="Basic Furnishings 386"/>
    <s v="Second Class"/>
    <x v="0"/>
    <s v="OK"/>
    <n v="7"/>
    <n v="2123.2800000000002"/>
    <n v="0.2"/>
    <n v="0.2"/>
    <s v="OK"/>
    <n v="11890.37"/>
    <n v="9234.5300000000007"/>
    <n v="2655.84"/>
    <n v="11890.368000000002"/>
    <n v="2655.8380000000016"/>
    <x v="706"/>
    <s v="Refunded"/>
    <x v="2"/>
    <s v="REFUNDED_PAYMENT"/>
    <s v="Returned"/>
    <x v="1"/>
    <s v="RETURNED_ORDER"/>
    <s v="CLEAN"/>
    <s v="MATCH"/>
    <s v="MATCH"/>
  </r>
  <r>
    <x v="720"/>
    <n v="1"/>
    <d v="2025-04-30T00:00:00"/>
    <d v="2025-04-30T00:00:00"/>
    <x v="6"/>
    <x v="1"/>
    <s v="28-10-2024"/>
    <d v="2024-10-28T00:00:00"/>
    <n v="-184"/>
    <s v="INVALID_SHIPPING"/>
    <s v="CUST-3377"/>
    <s v="Diya Patel"/>
    <s v="Diya Patel"/>
    <s v="Corporate"/>
    <x v="2"/>
    <s v="East"/>
    <x v="1"/>
    <s v="OK"/>
    <s v="Odisha"/>
    <s v="Odisha"/>
    <s v="Bhubaneswar"/>
    <s v="Bhubaneswar"/>
    <s v="Furniture"/>
    <x v="1"/>
    <s v="Tables"/>
    <x v="1"/>
    <s v="Classic Tables 592"/>
    <s v="First Class"/>
    <x v="2"/>
    <s v="OK"/>
    <n v="7"/>
    <n v="1604.13"/>
    <n v="0.25"/>
    <n v="0.25"/>
    <s v="OK"/>
    <n v="8421.68"/>
    <n v="6534.47"/>
    <n v="1887.21"/>
    <n v="8421.682499999999"/>
    <n v="1887.2124999999987"/>
    <x v="707"/>
    <s v="Paid"/>
    <x v="0"/>
    <s v="OK"/>
    <s v="Cancelled"/>
    <x v="2"/>
    <s v="EXCLUDE_FROM_SALES"/>
    <s v="INVALID"/>
    <s v="MATCH"/>
    <s v="MATCH"/>
  </r>
  <r>
    <x v="721"/>
    <n v="1"/>
    <d v="2025-07-03T00:00:00"/>
    <d v="2025-07-03T00:00:00"/>
    <x v="0"/>
    <x v="1"/>
    <s v="10-01-2025"/>
    <d v="2025-10-01T00:00:00"/>
    <n v="90"/>
    <s v="OK"/>
    <s v="CUST-3258"/>
    <s v="Priya Menon"/>
    <s v="Priya Menon"/>
    <s v="Consumer"/>
    <x v="0"/>
    <s v="North"/>
    <x v="0"/>
    <s v="OK"/>
    <s v="Uttar Pradesh"/>
    <s v="Uttar Pradesh"/>
    <s v="Noida"/>
    <s v="Noida"/>
    <s v="Furniture"/>
    <x v="1"/>
    <s v="Tables"/>
    <x v="1"/>
    <s v="Pro Tables 412"/>
    <s v="Standard Class"/>
    <x v="3"/>
    <s v="OK"/>
    <n v="4"/>
    <n v="4365.21"/>
    <n v="0.2"/>
    <n v="0.2"/>
    <s v="OK"/>
    <n v="13968.67"/>
    <n v="8857.58"/>
    <n v="5111.09"/>
    <n v="13968.672"/>
    <n v="5111.0920000000006"/>
    <x v="708"/>
    <s v="Pending"/>
    <x v="1"/>
    <s v="OK"/>
    <s v="Cancelled"/>
    <x v="2"/>
    <s v="EXCLUDE_FROM_SALES"/>
    <s v="CLEAN"/>
    <s v="MATCH"/>
    <s v="MATCH"/>
  </r>
  <r>
    <x v="722"/>
    <n v="1"/>
    <d v="2025-03-25T00:00:00"/>
    <d v="2025-03-25T00:00:00"/>
    <x v="10"/>
    <x v="1"/>
    <s v="07 May 2024"/>
    <d v="2024-05-07T00:00:00"/>
    <n v="-322"/>
    <s v="INVALID_SHIPPING"/>
    <s v="CUST-8012"/>
    <s v="Diya Patel"/>
    <s v="Diya Patel"/>
    <s v="Consumer"/>
    <x v="0"/>
    <s v="North"/>
    <x v="0"/>
    <s v="OK"/>
    <s v="Punjab"/>
    <s v="Punjab"/>
    <s v="Ludhiana"/>
    <s v="Ludhiana"/>
    <s v="Office Supplies"/>
    <x v="0"/>
    <s v="Labels"/>
    <x v="5"/>
    <s v="Classic Labels 776"/>
    <s v="Second Class"/>
    <x v="0"/>
    <s v="OK"/>
    <n v="6"/>
    <n v="2192.11"/>
    <n v="0.05"/>
    <n v="0.05"/>
    <s v="OK"/>
    <n v="12495.03"/>
    <n v="9184.52"/>
    <n v="3310.51"/>
    <n v="12495.027"/>
    <n v="3310.5069999999996"/>
    <x v="709"/>
    <s v="Paid"/>
    <x v="0"/>
    <s v="OK"/>
    <s v="Completed"/>
    <x v="0"/>
    <s v="OK"/>
    <s v="INVALID"/>
    <s v="MATCH"/>
    <s v="MATCH"/>
  </r>
  <r>
    <x v="723"/>
    <n v="1"/>
    <d v="2025-02-28T00:00:00"/>
    <d v="2025-02-28T00:00:00"/>
    <x v="11"/>
    <x v="1"/>
    <s v="05/30/2024"/>
    <d v="2024-05-30T00:00:00"/>
    <n v="-274"/>
    <s v="INVALID_SHIPPING"/>
    <s v="CUST-2917"/>
    <s v="Neha Gupta"/>
    <s v="Neha Gupta"/>
    <s v="Small Business"/>
    <x v="1"/>
    <s v="East"/>
    <x v="1"/>
    <s v="OK"/>
    <s v="Jharkhand"/>
    <s v="Jharkhand"/>
    <s v="Ranchi"/>
    <s v="Ranchi"/>
    <s v="Technology"/>
    <x v="2"/>
    <s v="Phones"/>
    <x v="8"/>
    <s v="Max Phones 612"/>
    <s v="First Class"/>
    <x v="2"/>
    <s v="OK"/>
    <n v="9"/>
    <n v="3670.54"/>
    <n v="0"/>
    <n v="0"/>
    <s v="OK"/>
    <n v="33034.86"/>
    <n v="24539.83"/>
    <n v="8495.0300000000007"/>
    <n v="33034.86"/>
    <n v="8495.0299999999988"/>
    <x v="710"/>
    <s v="Paid"/>
    <x v="0"/>
    <s v="OK"/>
    <s v="Completed"/>
    <x v="0"/>
    <s v="OK"/>
    <s v="INVALID"/>
    <s v="MATCH"/>
    <s v="MATCH"/>
  </r>
  <r>
    <x v="724"/>
    <n v="1"/>
    <d v="2025-07-18T00:00:00"/>
    <d v="2025-07-18T00:00:00"/>
    <x v="0"/>
    <x v="1"/>
    <s v="2024-03-25"/>
    <d v="2024-03-25T00:00:00"/>
    <n v="-480"/>
    <s v="INVALID_SHIPPING"/>
    <s v="CUST-7198"/>
    <s v="Priya Menon"/>
    <s v="Priya Menon"/>
    <s v="Consumer"/>
    <x v="0"/>
    <s v="East"/>
    <x v="1"/>
    <s v="OK"/>
    <s v="Odisha"/>
    <s v="Odisha"/>
    <s v="Bhubaneswar"/>
    <s v="Bhubaneswar"/>
    <s v="Furniture"/>
    <x v="1"/>
    <s v="Tables"/>
    <x v="1"/>
    <s v="Elite Tables 815"/>
    <s v="Second Class"/>
    <x v="0"/>
    <s v="OK"/>
    <n v="4"/>
    <n v="284.04000000000002"/>
    <m/>
    <n v="0"/>
    <s v="Missing Discount"/>
    <n v="908.93"/>
    <n v="572.08000000000004"/>
    <n v="336.85"/>
    <n v="1136.1600000000001"/>
    <n v="564.08000000000004"/>
    <x v="711"/>
    <s v="Paid"/>
    <x v="0"/>
    <s v="OK"/>
    <s v="Completed"/>
    <x v="0"/>
    <s v="OK"/>
    <s v="INVALID"/>
    <s v="MISMATCH"/>
    <s v="MISMATCH"/>
  </r>
  <r>
    <x v="725"/>
    <n v="1"/>
    <d v="2025-10-01T00:00:00"/>
    <d v="2025-10-01T00:00:00"/>
    <x v="7"/>
    <x v="1"/>
    <s v="2025-06-02"/>
    <d v="2025-06-02T00:00:00"/>
    <n v="-121"/>
    <s v="INVALID_SHIPPING"/>
    <s v="CUST-3419"/>
    <s v="Aditi Sen"/>
    <s v="Aditi Sen"/>
    <s v="Home Office"/>
    <x v="3"/>
    <s v="North"/>
    <x v="0"/>
    <s v="OK"/>
    <s v="Haryana"/>
    <s v="Haryana"/>
    <s v="Gurugram"/>
    <s v="Gurugram"/>
    <s v="Office Supplies"/>
    <x v="0"/>
    <s v="Paper"/>
    <x v="0"/>
    <s v="Basic Paper 388"/>
    <s v="First Class"/>
    <x v="2"/>
    <s v="OK"/>
    <n v="5"/>
    <n v="3247.56"/>
    <n v="0.15"/>
    <n v="0.15"/>
    <s v="OK"/>
    <n v="13802.13"/>
    <n v="10075.93"/>
    <n v="3726.2"/>
    <n v="13802.13"/>
    <n v="3726.1999999999989"/>
    <x v="712"/>
    <s v="Paid"/>
    <x v="0"/>
    <s v="OK"/>
    <s v="Completed"/>
    <x v="0"/>
    <s v="OK"/>
    <s v="INVALID"/>
    <s v="MATCH"/>
    <s v="MATCH"/>
  </r>
  <r>
    <x v="726"/>
    <n v="1"/>
    <d v="2025-05-30T00:00:00"/>
    <d v="2025-05-30T00:00:00"/>
    <x v="3"/>
    <x v="1"/>
    <s v="19-07-2025"/>
    <d v="2025-07-19T00:00:00"/>
    <n v="50"/>
    <s v="OK"/>
    <s v="CUST-8177"/>
    <s v="Rahul Verma"/>
    <s v="Rahul Verma"/>
    <s v="Home Office"/>
    <x v="3"/>
    <s v="South"/>
    <x v="2"/>
    <s v="OK"/>
    <s v="Tamil Nadu"/>
    <s v="Tamil Nadu"/>
    <s v="Chennai"/>
    <s v="Chennai"/>
    <s v="Office Supplies"/>
    <x v="0"/>
    <s v="Binders"/>
    <x v="11"/>
    <s v="Eco Binders 352"/>
    <s v="Standard Class"/>
    <x v="3"/>
    <s v="OK"/>
    <n v="9"/>
    <n v="1994.51"/>
    <n v="0.05"/>
    <n v="0.05"/>
    <s v="OK"/>
    <n v="17053.060000000001"/>
    <n v="10742.38"/>
    <n v="6310.68"/>
    <n v="17053.0605"/>
    <n v="6310.6805000000004"/>
    <x v="713"/>
    <s v="Paid"/>
    <x v="0"/>
    <s v="OK"/>
    <s v="Completed"/>
    <x v="0"/>
    <s v="OK"/>
    <s v="CLEAN"/>
    <s v="MATCH"/>
    <s v="MATCH"/>
  </r>
  <r>
    <x v="727"/>
    <n v="1"/>
    <d v="2025-05-10T00:00:00"/>
    <d v="2025-05-10T00:00:00"/>
    <x v="3"/>
    <x v="1"/>
    <s v="27-03-2024"/>
    <d v="2024-03-27T00:00:00"/>
    <n v="-409"/>
    <s v="INVALID_SHIPPING"/>
    <s v="CUST-7690"/>
    <s v="Priya Menon"/>
    <s v="Priya Menon"/>
    <s v="Corporate"/>
    <x v="2"/>
    <s v="East"/>
    <x v="1"/>
    <s v="OK"/>
    <s v="Assam"/>
    <s v="Assam"/>
    <s v="Guwahati"/>
    <s v="Guwahati"/>
    <s v="Furniture"/>
    <x v="1"/>
    <s v="Tables"/>
    <x v="1"/>
    <s v="Classic Tables 213"/>
    <s v="Second Class"/>
    <x v="0"/>
    <s v="OK"/>
    <n v="9"/>
    <n v="2089.14"/>
    <n v="0.05"/>
    <n v="0.05"/>
    <s v="OK"/>
    <n v="17862.150000000001"/>
    <n v="9892.2099999999991"/>
    <n v="7969.94"/>
    <n v="17862.146999999997"/>
    <n v="7969.9369999999981"/>
    <x v="714"/>
    <s v="Failed"/>
    <x v="3"/>
    <s v="EXCLUDE_FROM_SALES"/>
    <s v="Cancelled"/>
    <x v="2"/>
    <s v="EXCLUDE_FROM_SALES"/>
    <s v="INVALID"/>
    <s v="MATCH"/>
    <s v="MATCH"/>
  </r>
  <r>
    <x v="728"/>
    <n v="1"/>
    <d v="2025-04-27T00:00:00"/>
    <d v="2025-04-27T00:00:00"/>
    <x v="6"/>
    <x v="1"/>
    <s v="10-08-2024"/>
    <d v="2024-10-08T00:00:00"/>
    <n v="-201"/>
    <s v="INVALID_SHIPPING"/>
    <s v="CUST-8204"/>
    <s v="Rohan Mehta"/>
    <s v="Rohan Mehta"/>
    <s v="Home Office"/>
    <x v="3"/>
    <s v="East"/>
    <x v="1"/>
    <s v="OK"/>
    <s v="Bihar"/>
    <s v="Bihar"/>
    <s v="Patna"/>
    <s v="Patna"/>
    <s v="Technology"/>
    <x v="2"/>
    <s v="Accessories"/>
    <x v="4"/>
    <s v="Classic Accessories 325"/>
    <s v="Second Class"/>
    <x v="0"/>
    <s v="OK"/>
    <n v="4"/>
    <n v="3963.39"/>
    <n v="0.1"/>
    <n v="0.1"/>
    <s v="OK"/>
    <n v="14268.2"/>
    <n v="11705.3"/>
    <n v="2562.9"/>
    <n v="14268.204"/>
    <n v="2562.9040000000005"/>
    <x v="715"/>
    <s v="Pending"/>
    <x v="1"/>
    <s v="OK"/>
    <s v="Returned"/>
    <x v="1"/>
    <s v="RETURNED_ORDER"/>
    <s v="INVALID"/>
    <s v="MATCH"/>
    <s v="MATCH"/>
  </r>
  <r>
    <x v="729"/>
    <n v="1"/>
    <d v="2025-10-04T00:00:00"/>
    <d v="2025-10-04T00:00:00"/>
    <x v="7"/>
    <x v="1"/>
    <s v="06/04/2025"/>
    <d v="2025-06-04T00:00:00"/>
    <n v="-122"/>
    <s v="INVALID_SHIPPING"/>
    <s v="CUST-4269"/>
    <s v="Ananya Rao"/>
    <s v="Ananya Rao"/>
    <s v="Small Business"/>
    <x v="1"/>
    <s v="West"/>
    <x v="3"/>
    <s v="OK"/>
    <s v="Rajasthan"/>
    <s v="Rajasthan"/>
    <s v="Udaipur"/>
    <s v="Udaipur"/>
    <s v="Furniture"/>
    <x v="1"/>
    <s v="Chairs"/>
    <x v="10"/>
    <s v="Elite Chairs 777"/>
    <s v="First Class"/>
    <x v="2"/>
    <s v="OK"/>
    <n v="7"/>
    <n v="3788.9"/>
    <n v="0.25"/>
    <n v="0.25"/>
    <s v="OK"/>
    <n v="19891.72"/>
    <n v="12295.76"/>
    <n v="7595.96"/>
    <n v="19891.724999999999"/>
    <n v="7595.9649999999983"/>
    <x v="716"/>
    <s v="Failed"/>
    <x v="3"/>
    <s v="EXCLUDE_FROM_SALES"/>
    <s v="Cancelled"/>
    <x v="2"/>
    <s v="EXCLUDE_FROM_SALES"/>
    <s v="INVALID"/>
    <s v="MISMATCH"/>
    <s v="MISMATCH"/>
  </r>
  <r>
    <x v="730"/>
    <n v="1"/>
    <d v="2025-04-07T00:00:00"/>
    <d v="2025-04-07T00:00:00"/>
    <x v="6"/>
    <x v="1"/>
    <s v="24-07-2025"/>
    <d v="2025-07-24T00:00:00"/>
    <n v="108"/>
    <s v="OK"/>
    <s v="CUST-3694"/>
    <s v="Mira Das"/>
    <s v="Mira Das"/>
    <s v="Small Business"/>
    <x v="1"/>
    <s v="South"/>
    <x v="2"/>
    <s v="OK"/>
    <s v="Tamil Nadu"/>
    <s v="Tamil Nadu"/>
    <s v="Chennai"/>
    <s v="Chennai"/>
    <s v="Furniture"/>
    <x v="1"/>
    <s v="Chairs"/>
    <x v="10"/>
    <s v="Classic Chairs 666"/>
    <s v="Standard Class"/>
    <x v="3"/>
    <s v="OK"/>
    <n v="3"/>
    <n v="705.35"/>
    <n v="0.1"/>
    <n v="0.1"/>
    <s v="OK"/>
    <n v="1904.45"/>
    <n v="1316.54"/>
    <n v="587.91"/>
    <n v="1904.4450000000002"/>
    <n v="587.9050000000002"/>
    <x v="717"/>
    <s v="Paid"/>
    <x v="0"/>
    <s v="OK"/>
    <s v="Cancelled"/>
    <x v="2"/>
    <s v="EXCLUDE_FROM_SALES"/>
    <s v="CLEAN"/>
    <s v="MATCH"/>
    <s v="MATCH"/>
  </r>
  <r>
    <x v="731"/>
    <n v="1"/>
    <d v="2025-07-08T00:00:00"/>
    <d v="2025-07-08T00:00:00"/>
    <x v="0"/>
    <x v="1"/>
    <s v="11/01/2024"/>
    <d v="2024-11-01T00:00:00"/>
    <n v="-249"/>
    <s v="INVALID_SHIPPING"/>
    <s v="CUST-4188"/>
    <s v="Sneha Kapoor"/>
    <s v="Sneha Kapoor"/>
    <s v="Consumer"/>
    <x v="0"/>
    <s v="West"/>
    <x v="3"/>
    <s v="OK"/>
    <s v="Maharashtra"/>
    <s v="Maharashtra"/>
    <s v="Mumbai"/>
    <s v="Mumbai"/>
    <s v="Technology"/>
    <x v="2"/>
    <s v="Copiers"/>
    <x v="6"/>
    <s v="Elite Copiers 831"/>
    <s v="Same Day"/>
    <x v="1"/>
    <s v="OK"/>
    <n v="3"/>
    <n v="2880.56"/>
    <n v="0"/>
    <n v="0"/>
    <s v="OK"/>
    <n v="8641.68"/>
    <n v="5747.09"/>
    <n v="2894.59"/>
    <n v="8641.68"/>
    <n v="2894.59"/>
    <x v="718"/>
    <s v="Paid"/>
    <x v="0"/>
    <s v="OK"/>
    <s v="Returned"/>
    <x v="1"/>
    <s v="RETURNED_ORDER"/>
    <s v="INVALID"/>
    <s v="MATCH"/>
    <s v="MATCH"/>
  </r>
  <r>
    <x v="732"/>
    <n v="1"/>
    <d v="2025-01-29T00:00:00"/>
    <d v="2025-01-29T00:00:00"/>
    <x v="9"/>
    <x v="1"/>
    <s v="2025-08-03"/>
    <d v="2025-08-03T00:00:00"/>
    <n v="186"/>
    <s v="OK"/>
    <s v="CUST-2366"/>
    <s v="Ananya Rao"/>
    <s v="Ananya Rao"/>
    <s v="Consumer"/>
    <x v="0"/>
    <s v="South"/>
    <x v="2"/>
    <s v="OK"/>
    <s v="Kerala"/>
    <s v="Kerala"/>
    <s v="Kochi"/>
    <s v="Kochi"/>
    <s v="Office Supplies"/>
    <x v="0"/>
    <s v="Art"/>
    <x v="2"/>
    <s v="Smart Art 201"/>
    <s v="Same Day"/>
    <x v="1"/>
    <s v="OK"/>
    <n v="8"/>
    <n v="3643.62"/>
    <n v="0.25"/>
    <n v="0.25"/>
    <s v="OK"/>
    <n v="21861.72"/>
    <n v="18464.34"/>
    <n v="3397.38"/>
    <n v="21861.72"/>
    <n v="3397.380000000001"/>
    <x v="719"/>
    <s v="Paid"/>
    <x v="0"/>
    <s v="OK"/>
    <s v="Cancelled"/>
    <x v="2"/>
    <s v="EXCLUDE_FROM_SALES"/>
    <s v="CLEAN"/>
    <s v="MATCH"/>
    <s v="MATCH"/>
  </r>
  <r>
    <x v="733"/>
    <n v="1"/>
    <d v="2025-08-14T00:00:00"/>
    <d v="2025-08-14T00:00:00"/>
    <x v="1"/>
    <x v="1"/>
    <s v="10 May 2024"/>
    <d v="2024-05-10T00:00:00"/>
    <n v="-461"/>
    <s v="INVALID_SHIPPING"/>
    <s v="CUST-8157"/>
    <s v="Arjun Bose"/>
    <s v="Arjun Bose"/>
    <s v="Corporate"/>
    <x v="2"/>
    <s v="West"/>
    <x v="3"/>
    <s v="OK"/>
    <s v="Gujarat"/>
    <s v="Gujarat"/>
    <s v="Ahmedabad"/>
    <s v="Ahmedabad"/>
    <s v="Office Supplies"/>
    <x v="0"/>
    <s v="Paper"/>
    <x v="0"/>
    <s v="Prime Paper 143"/>
    <s v="First Class"/>
    <x v="2"/>
    <s v="OK"/>
    <n v="5"/>
    <n v="2567.37"/>
    <n v="0.15"/>
    <n v="0.15"/>
    <s v="OK"/>
    <n v="10911.32"/>
    <n v="6966.44"/>
    <n v="4395.17"/>
    <n v="10911.322499999998"/>
    <n v="3944.8824999999988"/>
    <x v="720"/>
    <s v="Paid"/>
    <x v="0"/>
    <s v="OK"/>
    <s v="Completed"/>
    <x v="0"/>
    <s v="OK"/>
    <s v="INVALID"/>
    <s v="MATCH"/>
    <s v="MISMATCH"/>
  </r>
  <r>
    <x v="734"/>
    <n v="2"/>
    <d v="2025-11-10T00:00:00"/>
    <d v="2025-11-10T00:00:00"/>
    <x v="2"/>
    <x v="1"/>
    <s v="26-07-2024"/>
    <d v="2024-07-26T00:00:00"/>
    <n v="-472"/>
    <s v="INVALID_SHIPPING"/>
    <s v="CUST-6028"/>
    <s v="Mira Das"/>
    <s v="Mira Das"/>
    <s v="Corporate"/>
    <x v="2"/>
    <s v="South"/>
    <x v="2"/>
    <s v="OK"/>
    <s v="Telangana"/>
    <s v="Telangana"/>
    <s v="Hyderabad"/>
    <s v="Hyderabad"/>
    <s v="Office Supplies"/>
    <x v="0"/>
    <s v="Art"/>
    <x v="2"/>
    <s v="Pro Art 287"/>
    <s v="Second Class"/>
    <x v="0"/>
    <s v="OK"/>
    <n v="3"/>
    <n v="3804.27"/>
    <n v="0.1"/>
    <n v="0.1"/>
    <s v="OK"/>
    <n v="10271.530000000001"/>
    <n v="8272.24"/>
    <n v="1999.29"/>
    <n v="10271.529"/>
    <n v="1999.2890000000007"/>
    <x v="721"/>
    <s v="Paid"/>
    <x v="0"/>
    <s v="OK"/>
    <s v="Completed"/>
    <x v="0"/>
    <s v="OK"/>
    <s v="INVALID"/>
    <s v="MATCH"/>
    <s v="MATCH"/>
  </r>
  <r>
    <x v="734"/>
    <n v="2"/>
    <d v="2025-11-10T00:00:00"/>
    <d v="2025-11-10T00:00:00"/>
    <x v="2"/>
    <x v="1"/>
    <s v="02 Sep 2024"/>
    <d v="2024-09-02T00:00:00"/>
    <n v="-434"/>
    <s v="INVALID_SHIPPING"/>
    <s v="CUST-6028"/>
    <s v="Mira Das"/>
    <s v="Mira Das"/>
    <s v="Corporate"/>
    <x v="2"/>
    <s v="South"/>
    <x v="2"/>
    <s v="OK"/>
    <s v="Telangana"/>
    <s v="Telangana"/>
    <s v="Hyderabad"/>
    <s v="Hyderabad"/>
    <s v="Office Supplies"/>
    <x v="0"/>
    <s v="Art"/>
    <x v="2"/>
    <s v="Pro Art 287"/>
    <s v="Second Class"/>
    <x v="0"/>
    <s v="OK"/>
    <n v="3"/>
    <n v="3804.27"/>
    <n v="0.1"/>
    <n v="0.1"/>
    <s v="OK"/>
    <n v="10271.530000000001"/>
    <n v="8272.24"/>
    <n v="1999.29"/>
    <n v="10271.529"/>
    <n v="1999.2890000000007"/>
    <x v="721"/>
    <s v="Paid"/>
    <x v="0"/>
    <s v="OK"/>
    <s v="Completed"/>
    <x v="0"/>
    <s v="OK"/>
    <s v="INVALID"/>
    <s v="MATCH"/>
    <s v="MATCH"/>
  </r>
  <r>
    <x v="735"/>
    <n v="1"/>
    <d v="2025-01-24T00:00:00"/>
    <d v="2025-01-24T00:00:00"/>
    <x v="9"/>
    <x v="1"/>
    <s v="08/31/2025"/>
    <d v="2025-08-31T00:00:00"/>
    <n v="219"/>
    <s v="OK"/>
    <s v="CUST-8861"/>
    <s v="Ananya Rao"/>
    <s v="Ananya Rao"/>
    <s v="Corporate"/>
    <x v="2"/>
    <s v="East"/>
    <x v="1"/>
    <s v="OK"/>
    <s v="West Bengal"/>
    <s v="West Bengal"/>
    <s v="Kolkata"/>
    <s v="Kolkata"/>
    <s v="Technology"/>
    <x v="2"/>
    <s v="Copiers"/>
    <x v="6"/>
    <s v="Pro Copiers 246"/>
    <s v="Standard Class"/>
    <x v="3"/>
    <s v="OK"/>
    <n v="8"/>
    <n v="312.52999999999997"/>
    <s v="70%"/>
    <n v="0.7"/>
    <s v="OK"/>
    <n v="1875.18"/>
    <n v="1579.17"/>
    <n v="296.01"/>
    <n v="750.072"/>
    <n v="-829.09800000000007"/>
    <x v="722"/>
    <s v="Paid"/>
    <x v="0"/>
    <s v="OK"/>
    <s v="Completed"/>
    <x v="0"/>
    <s v="OK"/>
    <s v="CLEAN"/>
    <s v="MISMATCH"/>
    <s v="MISMATCH"/>
  </r>
  <r>
    <x v="736"/>
    <n v="1"/>
    <d v="2025-04-25T00:00:00"/>
    <d v="2025-04-25T00:00:00"/>
    <x v="6"/>
    <x v="1"/>
    <s v="05 Jan 2024"/>
    <d v="2024-01-05T00:00:00"/>
    <n v="-476"/>
    <s v="INVALID_SHIPPING"/>
    <s v="CUST-9241"/>
    <s v="Aarav Sharma"/>
    <s v="Aarav Sharma"/>
    <s v="Small Business"/>
    <x v="1"/>
    <s v="West"/>
    <x v="3"/>
    <s v="OK"/>
    <s v="Gujarat"/>
    <s v="Gujarat"/>
    <s v="Ahmedabad"/>
    <s v="Ahmedabad"/>
    <s v="Office Supplies"/>
    <x v="0"/>
    <s v="Storage"/>
    <x v="7"/>
    <s v="Pro Storage 128"/>
    <s v="First Class"/>
    <x v="2"/>
    <s v="OK"/>
    <n v="9"/>
    <n v="1294.1099999999999"/>
    <n v="0.25"/>
    <n v="0.25"/>
    <s v="OK"/>
    <n v="8735.24"/>
    <n v="6620.07"/>
    <n v="2115.17"/>
    <n v="8735.2425000000003"/>
    <n v="2115.1725000000006"/>
    <x v="723"/>
    <s v="Paid"/>
    <x v="0"/>
    <s v="OK"/>
    <s v="Completed"/>
    <x v="0"/>
    <s v="OK"/>
    <s v="INVALID"/>
    <s v="MATCH"/>
    <s v="MATCH"/>
  </r>
  <r>
    <x v="737"/>
    <n v="1"/>
    <d v="2025-02-04T00:00:00"/>
    <d v="2025-02-04T00:00:00"/>
    <x v="11"/>
    <x v="1"/>
    <s v="2025-08-25"/>
    <d v="2025-08-25T00:00:00"/>
    <n v="202"/>
    <s v="OK"/>
    <s v="CUST-7513"/>
    <s v="Ananya Rao"/>
    <s v="Ananya Rao"/>
    <s v="Small Business"/>
    <x v="1"/>
    <s v="South"/>
    <x v="2"/>
    <s v="OK"/>
    <s v="Telangana"/>
    <s v="Telangana"/>
    <s v="Hyderabad"/>
    <s v="Hyderabad"/>
    <s v="Office Supplies"/>
    <x v="0"/>
    <s v="Storage"/>
    <x v="7"/>
    <s v="Prime Storage 689"/>
    <s v="Standard Class"/>
    <x v="3"/>
    <s v="OK"/>
    <n v="6"/>
    <n v="1042.8"/>
    <n v="0.05"/>
    <n v="0.05"/>
    <s v="OK"/>
    <n v="5943.96"/>
    <n v="3604.14"/>
    <n v="2339.8200000000002"/>
    <n v="5943.9599999999991"/>
    <n v="2339.8199999999993"/>
    <x v="724"/>
    <s v="Paid"/>
    <x v="0"/>
    <s v="OK"/>
    <s v="Completed"/>
    <x v="0"/>
    <s v="OK"/>
    <s v="CLEAN"/>
    <s v="MATCH"/>
    <s v="MATCH"/>
  </r>
  <r>
    <x v="738"/>
    <n v="1"/>
    <d v="2025-04-09T00:00:00"/>
    <d v="2025-04-09T00:00:00"/>
    <x v="6"/>
    <x v="1"/>
    <s v="13-04-2025"/>
    <d v="2025-04-13T00:00:00"/>
    <n v="4"/>
    <s v="OK"/>
    <s v="CUST-9368"/>
    <s v="Aditi Sen"/>
    <s v="Aditi Sen"/>
    <s v="Corporate"/>
    <x v="2"/>
    <s v="North"/>
    <x v="0"/>
    <s v="OK"/>
    <s v="Punjab"/>
    <s v="Punjab"/>
    <s v="Ludhiana"/>
    <s v="Ludhiana"/>
    <s v="Technology"/>
    <x v="2"/>
    <s v="Machines"/>
    <x v="12"/>
    <s v="Basic Machines 136"/>
    <s v="First Class"/>
    <x v="2"/>
    <s v="OK"/>
    <n v="8"/>
    <n v="3079.95"/>
    <n v="0.2"/>
    <n v="0.2"/>
    <s v="OK"/>
    <n v="19711.68"/>
    <n v="14461.8"/>
    <n v="5249.88"/>
    <n v="19711.68"/>
    <n v="5249.880000000001"/>
    <x v="725"/>
    <s v="Paid"/>
    <x v="0"/>
    <s v="OK"/>
    <s v="Completed"/>
    <x v="0"/>
    <s v="OK"/>
    <s v="CLEAN"/>
    <s v="MATCH"/>
    <s v="MATCH"/>
  </r>
  <r>
    <x v="739"/>
    <n v="1"/>
    <d v="2025-09-30T00:00:00"/>
    <d v="2025-09-30T00:00:00"/>
    <x v="5"/>
    <x v="1"/>
    <s v="2025-07-03"/>
    <d v="2025-07-03T00:00:00"/>
    <n v="-89"/>
    <s v="INVALID_SHIPPING"/>
    <s v="CUST-6797"/>
    <s v="Diya Patel"/>
    <s v="Diya Patel"/>
    <s v="Corporate"/>
    <x v="2"/>
    <s v="East"/>
    <x v="1"/>
    <s v="OK"/>
    <s v="Bihar"/>
    <s v="Bihar"/>
    <s v="Patna"/>
    <s v="Patna"/>
    <s v="Technology"/>
    <x v="2"/>
    <s v="Copiers"/>
    <x v="6"/>
    <s v="Basic Copiers 512"/>
    <s v="Second Class"/>
    <x v="0"/>
    <s v="OK"/>
    <n v="5"/>
    <n v="3277.82"/>
    <n v="0.1"/>
    <n v="0.1"/>
    <s v="OK"/>
    <n v="14750.19"/>
    <n v="9482.58"/>
    <n v="5267.61"/>
    <n v="14750.190000000002"/>
    <n v="5267.6100000000024"/>
    <x v="726"/>
    <s v="Paid"/>
    <x v="0"/>
    <s v="OK"/>
    <s v="Returned"/>
    <x v="1"/>
    <s v="RETURNED_ORDER"/>
    <s v="INVALID"/>
    <s v="MATCH"/>
    <s v="MATCH"/>
  </r>
  <r>
    <x v="740"/>
    <n v="1"/>
    <d v="2025-07-14T00:00:00"/>
    <d v="2025-07-14T00:00:00"/>
    <x v="0"/>
    <x v="1"/>
    <s v="24 Sep 2024"/>
    <d v="2024-09-24T00:00:00"/>
    <n v="-293"/>
    <s v="INVALID_SHIPPING"/>
    <s v="CUST-6654"/>
    <s v="Aditi Sen"/>
    <s v="Aditi Sen"/>
    <s v="Consumer"/>
    <x v="0"/>
    <s v="North"/>
    <x v="0"/>
    <s v="OK"/>
    <s v="Punjab"/>
    <s v="Punjab"/>
    <s v="Ludhiana"/>
    <s v="Ludhiana"/>
    <s v="Technology"/>
    <x v="2"/>
    <s v="Copiers"/>
    <x v="6"/>
    <s v="Eco Copiers 954"/>
    <s v="First Class"/>
    <x v="2"/>
    <s v="OK"/>
    <n v="4"/>
    <n v="725.22"/>
    <n v="0"/>
    <n v="0"/>
    <s v="OK"/>
    <n v="2900.88"/>
    <n v="2391.85"/>
    <n v="509.03"/>
    <n v="2900.88"/>
    <n v="509.0300000000002"/>
    <x v="727"/>
    <s v="Pending"/>
    <x v="1"/>
    <s v="OK"/>
    <s v="Returned"/>
    <x v="1"/>
    <s v="RETURNED_ORDER"/>
    <s v="INVALID"/>
    <s v="MATCH"/>
    <s v="MATCH"/>
  </r>
  <r>
    <x v="741"/>
    <n v="1"/>
    <d v="2025-07-08T00:00:00"/>
    <d v="2025-07-08T00:00:00"/>
    <x v="0"/>
    <x v="1"/>
    <s v="05/06/2024"/>
    <d v="2024-05-06T00:00:00"/>
    <n v="-428"/>
    <s v="INVALID_SHIPPING"/>
    <s v="CUST-5601"/>
    <s v="Mira Das"/>
    <s v="Mira Das"/>
    <s v="Corporate"/>
    <x v="2"/>
    <s v="North"/>
    <x v="0"/>
    <s v="OK"/>
    <s v="Delhi"/>
    <s v="Delhi"/>
    <s v="New Delhi"/>
    <s v="New Delhi"/>
    <s v="Technology"/>
    <x v="2"/>
    <s v="Phones"/>
    <x v="8"/>
    <s v="Prime Phones 564"/>
    <s v="Standard Class"/>
    <x v="3"/>
    <s v="OK"/>
    <n v="6"/>
    <n v="1921.86"/>
    <n v="0.2"/>
    <n v="0.2"/>
    <s v="OK"/>
    <n v="9224.93"/>
    <n v="7005.2"/>
    <n v="2219.73"/>
    <n v="9224.9279999999999"/>
    <n v="2219.7280000000001"/>
    <x v="728"/>
    <s v="Refunded"/>
    <x v="2"/>
    <s v="REFUNDED_PAYMENT"/>
    <s v="Cancelled"/>
    <x v="2"/>
    <s v="EXCLUDE_FROM_SALES"/>
    <s v="INVALID"/>
    <s v="MATCH"/>
    <s v="MATCH"/>
  </r>
  <r>
    <x v="742"/>
    <n v="1"/>
    <d v="2025-08-09T00:00:00"/>
    <d v="2025-08-09T00:00:00"/>
    <x v="1"/>
    <x v="1"/>
    <s v="2025-04-04"/>
    <d v="2025-04-04T00:00:00"/>
    <n v="-127"/>
    <s v="INVALID_SHIPPING"/>
    <s v="CUST-2586"/>
    <s v="Rahul Verma"/>
    <s v="Rahul Verma"/>
    <s v="Home Office"/>
    <x v="3"/>
    <s v="West"/>
    <x v="3"/>
    <s v="OK"/>
    <s v="Maharashtra"/>
    <s v="Maharashtra"/>
    <s v="Mumbai"/>
    <s v="Mumbai"/>
    <s v="Furniture"/>
    <x v="1"/>
    <s v="Furnishings"/>
    <x v="3"/>
    <s v="Elite Furnishings 822"/>
    <s v="Standard Class"/>
    <x v="3"/>
    <s v="OK"/>
    <n v="6"/>
    <n v="3251.17"/>
    <n v="0.25"/>
    <n v="0.25"/>
    <s v="OK"/>
    <n v="14630.26"/>
    <n v="11906.36"/>
    <n v="2723.9"/>
    <n v="14630.264999999999"/>
    <n v="2723.9049999999988"/>
    <x v="729"/>
    <s v="Refunded"/>
    <x v="2"/>
    <s v="REFUNDED_PAYMENT"/>
    <s v="Returned"/>
    <x v="1"/>
    <s v="RETURNED_ORDER"/>
    <s v="INVALID"/>
    <s v="MISMATCH"/>
    <s v="MISMATCH"/>
  </r>
  <r>
    <x v="743"/>
    <n v="1"/>
    <d v="2025-08-18T00:00:00"/>
    <d v="2025-08-18T00:00:00"/>
    <x v="1"/>
    <x v="1"/>
    <s v="13 May 2024"/>
    <d v="2024-05-13T00:00:00"/>
    <n v="-462"/>
    <s v="INVALID_SHIPPING"/>
    <s v="CUST-6585"/>
    <s v="Arjun Bose"/>
    <s v="Arjun Bose"/>
    <s v="Consumer"/>
    <x v="0"/>
    <s v="East"/>
    <x v="1"/>
    <s v="OK"/>
    <s v="Jharkhand"/>
    <s v="Jharkhand"/>
    <s v="Ranchi"/>
    <s v="Ranchi"/>
    <s v="Furniture"/>
    <x v="1"/>
    <s v="Furnishings"/>
    <x v="3"/>
    <s v="Max Furnishings 647"/>
    <s v="Second Class"/>
    <x v="0"/>
    <s v="OK"/>
    <n v="3"/>
    <n v="3946.44"/>
    <n v="0.25"/>
    <n v="0.25"/>
    <s v="OK"/>
    <n v="8879.49"/>
    <n v="6344.57"/>
    <n v="2534.92"/>
    <n v="8879.49"/>
    <n v="2534.92"/>
    <x v="730"/>
    <s v="Failed"/>
    <x v="3"/>
    <s v="EXCLUDE_FROM_SALES"/>
    <s v="Returned"/>
    <x v="1"/>
    <s v="RETURNED_ORDER"/>
    <s v="INVALID"/>
    <s v="MATCH"/>
    <s v="MATCH"/>
  </r>
  <r>
    <x v="744"/>
    <n v="2"/>
    <d v="2025-10-02T00:00:00"/>
    <d v="2025-10-02T00:00:00"/>
    <x v="7"/>
    <x v="1"/>
    <s v="17-02-2024"/>
    <d v="2024-02-17T00:00:00"/>
    <n v="-593"/>
    <s v="INVALID_SHIPPING"/>
    <s v="CUST-3425"/>
    <s v="Priya Menon"/>
    <s v="Priya Menon"/>
    <s v="Small Business"/>
    <x v="1"/>
    <s v="North"/>
    <x v="0"/>
    <s v="OK"/>
    <s v="Uttar Pradesh"/>
    <s v="Uttar Pradesh"/>
    <s v="Noida"/>
    <s v="Noida"/>
    <s v="Technology"/>
    <x v="2"/>
    <s v="Phones"/>
    <x v="8"/>
    <s v="Prime Phones 895"/>
    <m/>
    <x v="4"/>
    <s v="MISSING_SHIP_MODE"/>
    <n v="5"/>
    <n v="4276.29"/>
    <n v="0"/>
    <n v="0"/>
    <s v="OK"/>
    <n v="21381.45"/>
    <n v="13240.21"/>
    <n v="8141.24"/>
    <n v="21381.45"/>
    <n v="8141.2400000000016"/>
    <x v="731"/>
    <s v="Failed"/>
    <x v="3"/>
    <s v="EXCLUDE_FROM_SALES"/>
    <s v="Returned"/>
    <x v="1"/>
    <s v="RETURNED_ORDER"/>
    <s v="INVALID"/>
    <s v="MATCH"/>
    <s v="MATCH"/>
  </r>
  <r>
    <x v="744"/>
    <n v="2"/>
    <d v="2025-10-02T00:00:00"/>
    <d v="2025-10-02T00:00:00"/>
    <x v="7"/>
    <x v="1"/>
    <s v="2024-07-14"/>
    <d v="2024-07-14T00:00:00"/>
    <n v="-445"/>
    <s v="INVALID_SHIPPING"/>
    <s v="CUST-3425"/>
    <s v="Priya Menon"/>
    <s v="Priya Menon"/>
    <s v="Small Business"/>
    <x v="1"/>
    <s v="North"/>
    <x v="0"/>
    <s v="OK"/>
    <s v="Uttar Pradesh"/>
    <s v="Uttar Pradesh"/>
    <s v="Noida"/>
    <s v="Noida"/>
    <s v="Technology"/>
    <x v="2"/>
    <s v="Phones"/>
    <x v="8"/>
    <s v="Prime Phones 895"/>
    <m/>
    <x v="4"/>
    <s v="MISSING_SHIP_MODE"/>
    <n v="5"/>
    <n v="4276.29"/>
    <n v="0"/>
    <n v="0"/>
    <s v="OK"/>
    <n v="21443.63"/>
    <n v="13240.21"/>
    <n v="8141.24"/>
    <n v="21381.45"/>
    <n v="8141.2400000000016"/>
    <x v="731"/>
    <s v="Failed"/>
    <x v="3"/>
    <s v="EXCLUDE_FROM_SALES"/>
    <s v="Completed"/>
    <x v="0"/>
    <s v="OK"/>
    <s v="INVALID"/>
    <s v="MISMATCH"/>
    <s v="MATCH"/>
  </r>
  <r>
    <x v="745"/>
    <n v="1"/>
    <d v="2025-09-22T00:00:00"/>
    <d v="2025-09-22T00:00:00"/>
    <x v="5"/>
    <x v="1"/>
    <s v="19 Jul 2025"/>
    <d v="2025-07-19T00:00:00"/>
    <n v="-65"/>
    <s v="INVALID_SHIPPING"/>
    <s v="CUST-8243"/>
    <s v="Isha Nair"/>
    <s v="Isha Nair"/>
    <s v="Consumer"/>
    <x v="0"/>
    <s v="South"/>
    <x v="2"/>
    <s v="OK"/>
    <s v="Andhra Pradesh"/>
    <s v="Andhra Pradesh"/>
    <s v="Vijayawada"/>
    <s v="Vijayawada"/>
    <s v="Technology"/>
    <x v="2"/>
    <s v="Phones"/>
    <x v="8"/>
    <s v="Pro Phones 644"/>
    <s v="Standard Class"/>
    <x v="3"/>
    <s v="OK"/>
    <n v="1"/>
    <n v="573.65"/>
    <n v="0"/>
    <n v="0"/>
    <s v="OK"/>
    <n v="573.65"/>
    <n v="322.67"/>
    <n v="250.98"/>
    <n v="573.65"/>
    <n v="250.97999999999996"/>
    <x v="732"/>
    <s v="Paid"/>
    <x v="0"/>
    <s v="OK"/>
    <s v="Completed"/>
    <x v="0"/>
    <s v="OK"/>
    <s v="INVALID"/>
    <s v="MATCH"/>
    <s v="MATCH"/>
  </r>
  <r>
    <x v="746"/>
    <n v="1"/>
    <d v="2025-11-03T00:00:00"/>
    <d v="2025-11-03T00:00:00"/>
    <x v="2"/>
    <x v="1"/>
    <s v="21 Feb 2025"/>
    <d v="2025-02-21T00:00:00"/>
    <n v="-255"/>
    <s v="INVALID_SHIPPING"/>
    <s v="CUST-5496"/>
    <s v="Sneha Kapoor"/>
    <s v="Sneha Kapoor"/>
    <s v="Home Office"/>
    <x v="3"/>
    <s v="South"/>
    <x v="2"/>
    <s v="OK"/>
    <s v="Kerala"/>
    <s v="Kerala"/>
    <s v="Kochi"/>
    <s v="Kochi"/>
    <s v="Furniture"/>
    <x v="1"/>
    <s v="Furnishings"/>
    <x v="3"/>
    <s v="Elite Furnishings 173"/>
    <s v="Same Day"/>
    <x v="1"/>
    <s v="OK"/>
    <n v="4"/>
    <n v="1244.82"/>
    <n v="0.2"/>
    <n v="0.2"/>
    <s v="OK"/>
    <n v="3983.42"/>
    <n v="3174.91"/>
    <n v="808.51"/>
    <n v="3983.424"/>
    <n v="808.51400000000012"/>
    <x v="733"/>
    <s v="Failed"/>
    <x v="3"/>
    <s v="EXCLUDE_FROM_SALES"/>
    <s v="Returned"/>
    <x v="1"/>
    <s v="RETURNED_ORDER"/>
    <s v="INVALID"/>
    <s v="MATCH"/>
    <s v="MATCH"/>
  </r>
  <r>
    <x v="747"/>
    <n v="1"/>
    <d v="2025-08-28T00:00:00"/>
    <d v="2025-08-28T00:00:00"/>
    <x v="1"/>
    <x v="1"/>
    <s v="2025-08-07"/>
    <d v="2025-08-07T00:00:00"/>
    <n v="-21"/>
    <s v="INVALID_SHIPPING"/>
    <s v="CUST-4151"/>
    <s v="Priya Menon"/>
    <s v="Priya Menon"/>
    <s v="Corporate"/>
    <x v="2"/>
    <s v="West"/>
    <x v="3"/>
    <s v="OK"/>
    <s v="Madhya Pradesh"/>
    <s v="Madhya Pradesh"/>
    <s v="Indore"/>
    <s v="Indore"/>
    <s v="Furniture"/>
    <x v="1"/>
    <s v="Furnishings"/>
    <x v="3"/>
    <s v="Smart Furnishings 714"/>
    <s v="Standard Class"/>
    <x v="3"/>
    <s v="OK"/>
    <n v="7"/>
    <n v="268.45"/>
    <n v="0"/>
    <n v="0"/>
    <s v="OK"/>
    <n v="1879.15"/>
    <n v="1134.9000000000001"/>
    <n v="744.25"/>
    <n v="1879.1499999999999"/>
    <n v="744.24999999999977"/>
    <x v="734"/>
    <s v="Paid"/>
    <x v="0"/>
    <s v="OK"/>
    <s v="Completed"/>
    <x v="0"/>
    <s v="OK"/>
    <s v="INVALID"/>
    <s v="MATCH"/>
    <s v="MATCH"/>
  </r>
  <r>
    <x v="748"/>
    <n v="1"/>
    <d v="2025-03-06T00:00:00"/>
    <d v="2025-03-06T00:00:00"/>
    <x v="10"/>
    <x v="1"/>
    <s v="22-04-2024"/>
    <d v="2024-04-22T00:00:00"/>
    <n v="-318"/>
    <s v="INVALID_SHIPPING"/>
    <s v="CUST-7958"/>
    <s v="Kabir Singh"/>
    <s v="Kabir Singh"/>
    <s v="Consumer"/>
    <x v="0"/>
    <s v="South"/>
    <x v="2"/>
    <s v="OK"/>
    <s v="Kerala"/>
    <s v="Kerala"/>
    <s v="Kochi"/>
    <s v="Kochi"/>
    <s v="Furniture"/>
    <x v="1"/>
    <s v="Chairs"/>
    <x v="10"/>
    <s v="Pro Chairs 888"/>
    <s v="Standard Class"/>
    <x v="3"/>
    <s v="OK"/>
    <n v="3"/>
    <n v="163.72"/>
    <n v="0.15"/>
    <n v="0.15"/>
    <s v="OK"/>
    <n v="417.49"/>
    <n v="261.67"/>
    <n v="155.82"/>
    <n v="417.48599999999999"/>
    <n v="155.81599999999997"/>
    <x v="735"/>
    <s v="Failed"/>
    <x v="3"/>
    <s v="EXCLUDE_FROM_SALES"/>
    <s v="Returned"/>
    <x v="1"/>
    <s v="RETURNED_ORDER"/>
    <s v="INVALID"/>
    <s v="MATCH"/>
    <s v="MATCH"/>
  </r>
  <r>
    <x v="749"/>
    <n v="1"/>
    <d v="2025-09-08T00:00:00"/>
    <d v="2025-09-08T00:00:00"/>
    <x v="5"/>
    <x v="1"/>
    <s v="06/13/2025"/>
    <d v="2025-06-13T00:00:00"/>
    <n v="-87"/>
    <s v="INVALID_SHIPPING"/>
    <s v="CUST-9931"/>
    <s v="Neha Gupta"/>
    <s v="Neha Gupta"/>
    <s v="Consumer"/>
    <x v="0"/>
    <s v="North"/>
    <x v="0"/>
    <s v="OK"/>
    <s v="Delhi"/>
    <s v="Delhi"/>
    <s v="New Delhi"/>
    <s v="New Delhi"/>
    <s v="Office Supplies"/>
    <x v="0"/>
    <s v="Art"/>
    <x v="2"/>
    <s v="Classic Art 611"/>
    <s v="Second Class"/>
    <x v="0"/>
    <s v="OK"/>
    <n v="4"/>
    <n v="4080.95"/>
    <n v="0"/>
    <n v="0"/>
    <s v="OK"/>
    <n v="16323.8"/>
    <n v="9965.7900000000009"/>
    <n v="6358.01"/>
    <n v="16323.8"/>
    <n v="6358.0099999999984"/>
    <x v="736"/>
    <s v="Refunded"/>
    <x v="2"/>
    <s v="REFUNDED_PAYMENT"/>
    <s v="Returned"/>
    <x v="1"/>
    <s v="RETURNED_ORDER"/>
    <s v="INVALID"/>
    <s v="MATCH"/>
    <s v="MATCH"/>
  </r>
  <r>
    <x v="750"/>
    <n v="1"/>
    <d v="2025-06-22T00:00:00"/>
    <d v="2025-06-22T00:00:00"/>
    <x v="8"/>
    <x v="1"/>
    <s v="2024-02-06"/>
    <d v="2024-02-06T00:00:00"/>
    <n v="-502"/>
    <s v="INVALID_SHIPPING"/>
    <s v="CUST-5201"/>
    <s v="Diya Patel"/>
    <s v="Diya Patel"/>
    <s v="Small Business"/>
    <x v="1"/>
    <s v="West"/>
    <x v="3"/>
    <s v="OK"/>
    <s v="Maharashtra"/>
    <s v="Maharashtra"/>
    <s v="Mumbai"/>
    <s v="Mumbai"/>
    <s v="Technology"/>
    <x v="2"/>
    <s v="Phones"/>
    <x v="8"/>
    <s v="Prime Phones 744"/>
    <s v="First Class"/>
    <x v="2"/>
    <s v="OK"/>
    <n v="8"/>
    <n v="3453.66"/>
    <n v="0"/>
    <n v="0"/>
    <s v="OK"/>
    <n v="27629.279999999999"/>
    <n v="22026.48"/>
    <n v="5602.8"/>
    <n v="27629.279999999999"/>
    <n v="5602.7999999999993"/>
    <x v="737"/>
    <s v="Paid"/>
    <x v="0"/>
    <s v="OK"/>
    <s v="Completed"/>
    <x v="0"/>
    <s v="OK"/>
    <s v="INVALID"/>
    <s v="MATCH"/>
    <s v="MATCH"/>
  </r>
  <r>
    <x v="751"/>
    <n v="1"/>
    <d v="2025-04-12T00:00:00"/>
    <d v="2025-04-12T00:00:00"/>
    <x v="6"/>
    <x v="1"/>
    <s v="24-07-2024"/>
    <d v="2024-07-24T00:00:00"/>
    <n v="-262"/>
    <s v="INVALID_SHIPPING"/>
    <s v="CUST-8626"/>
    <s v="Mira Das"/>
    <s v="Mira Das"/>
    <s v="Home Office"/>
    <x v="3"/>
    <s v="North"/>
    <x v="0"/>
    <s v="OK"/>
    <s v="Punjab"/>
    <s v="Punjab"/>
    <s v="Ludhiana"/>
    <s v="Ludhiana"/>
    <s v="Office Supplies"/>
    <x v="0"/>
    <s v="Binders"/>
    <x v="11"/>
    <s v="Prime Binders 249"/>
    <s v="Second Class"/>
    <x v="0"/>
    <s v="OK"/>
    <n v="7"/>
    <n v="1334.2"/>
    <n v="0.2"/>
    <n v="0.2"/>
    <s v="OK"/>
    <n v="7471.52"/>
    <n v="6184.32"/>
    <n v="1287.2"/>
    <n v="7471.52"/>
    <n v="1287.2000000000007"/>
    <x v="738"/>
    <s v="Paid"/>
    <x v="0"/>
    <s v="OK"/>
    <s v="Completed"/>
    <x v="0"/>
    <s v="OK"/>
    <s v="INVALID"/>
    <s v="MATCH"/>
    <s v="MATCH"/>
  </r>
  <r>
    <x v="752"/>
    <n v="1"/>
    <d v="2025-07-23T00:00:00"/>
    <d v="2025-07-23T00:00:00"/>
    <x v="0"/>
    <x v="1"/>
    <s v="20-01-2024"/>
    <d v="2024-01-20T00:00:00"/>
    <n v="-550"/>
    <s v="INVALID_SHIPPING"/>
    <s v="CUST-1013"/>
    <s v="Kabir Singh"/>
    <s v="Kabir Singh"/>
    <s v="Home Office"/>
    <x v="3"/>
    <s v="West"/>
    <x v="3"/>
    <s v="OK"/>
    <s v="Madhya Pradesh"/>
    <s v="Madhya Pradesh"/>
    <s v="Indore"/>
    <s v="Indore"/>
    <s v="Technology"/>
    <x v="2"/>
    <s v="Accessories"/>
    <x v="4"/>
    <s v="Eco Accessories 948"/>
    <s v="First Class"/>
    <x v="2"/>
    <s v="OK"/>
    <n v="1"/>
    <n v="4253.84"/>
    <n v="0.15"/>
    <n v="0.15"/>
    <s v="OK"/>
    <n v="3615.76"/>
    <n v="2951.52"/>
    <n v="664.24"/>
    <n v="3615.7640000000001"/>
    <n v="664.24400000000014"/>
    <x v="739"/>
    <s v="Refunded"/>
    <x v="2"/>
    <s v="REFUNDED_PAYMENT"/>
    <s v="Cancelled"/>
    <x v="2"/>
    <s v="EXCLUDE_FROM_SALES"/>
    <s v="INVALID"/>
    <s v="MATCH"/>
    <s v="MATCH"/>
  </r>
  <r>
    <x v="753"/>
    <n v="1"/>
    <d v="2025-11-03T00:00:00"/>
    <d v="2025-11-03T00:00:00"/>
    <x v="2"/>
    <x v="1"/>
    <s v="08/10/2024"/>
    <d v="2024-08-10T00:00:00"/>
    <n v="-450"/>
    <s v="INVALID_SHIPPING"/>
    <s v="CUST-3601"/>
    <s v="Aarav Sharma"/>
    <s v="Aarav Sharma"/>
    <s v="Home Office"/>
    <x v="3"/>
    <s v="South"/>
    <x v="2"/>
    <s v="OK"/>
    <s v="Karnataka"/>
    <s v="Karnataka"/>
    <s v="Bengaluru"/>
    <s v="Bengaluru"/>
    <s v="Technology"/>
    <x v="2"/>
    <s v="Accessories"/>
    <x v="4"/>
    <s v="Classic Accessories 458"/>
    <s v="Second Class"/>
    <x v="0"/>
    <s v="OK"/>
    <n v="8"/>
    <n v="4446.3599999999997"/>
    <n v="0.1"/>
    <n v="0.1"/>
    <s v="OK"/>
    <n v="32013.79"/>
    <n v="20896.88"/>
    <n v="11116.91"/>
    <n v="32013.791999999998"/>
    <n v="11116.911999999997"/>
    <x v="740"/>
    <s v="Refunded"/>
    <x v="2"/>
    <s v="REFUNDED_PAYMENT"/>
    <s v="Cancelled"/>
    <x v="2"/>
    <s v="EXCLUDE_FROM_SALES"/>
    <s v="INVALID"/>
    <s v="MATCH"/>
    <s v="MATCH"/>
  </r>
  <r>
    <x v="754"/>
    <n v="1"/>
    <d v="2025-09-27T00:00:00"/>
    <d v="2025-09-27T00:00:00"/>
    <x v="5"/>
    <x v="1"/>
    <s v="10 Feb 2024"/>
    <d v="2024-02-10T00:00:00"/>
    <n v="-595"/>
    <s v="INVALID_SHIPPING"/>
    <s v="CUST-2917"/>
    <s v="Arjun Bose"/>
    <s v="Arjun Bose"/>
    <s v="Home Office"/>
    <x v="3"/>
    <s v="North"/>
    <x v="0"/>
    <s v="OK"/>
    <s v="Uttar Pradesh"/>
    <s v="Uttar Pradesh"/>
    <s v="Noida"/>
    <s v="Noida"/>
    <s v="Furniture"/>
    <x v="1"/>
    <s v="Tables"/>
    <x v="1"/>
    <s v="Eco Tables 550"/>
    <s v="Second Class"/>
    <x v="0"/>
    <s v="OK"/>
    <n v="9"/>
    <n v="4100.1099999999997"/>
    <n v="0.25"/>
    <n v="0.25"/>
    <s v="OK"/>
    <n v="27675.74"/>
    <n v="15571.08"/>
    <n v="12104.66"/>
    <n v="27675.7425"/>
    <n v="12104.6625"/>
    <x v="741"/>
    <s v="Paid"/>
    <x v="0"/>
    <s v="OK"/>
    <s v="Completed"/>
    <x v="0"/>
    <s v="OK"/>
    <s v="INVALID"/>
    <s v="MATCH"/>
    <s v="MATCH"/>
  </r>
  <r>
    <x v="755"/>
    <n v="1"/>
    <d v="2025-11-02T00:00:00"/>
    <d v="2025-11-02T00:00:00"/>
    <x v="2"/>
    <x v="1"/>
    <s v="03/22/2025"/>
    <d v="2025-03-22T00:00:00"/>
    <n v="-225"/>
    <s v="INVALID_SHIPPING"/>
    <s v="CUST-5566"/>
    <s v="Mira Das"/>
    <s v="Mira Das"/>
    <s v="Corporate"/>
    <x v="2"/>
    <s v="North"/>
    <x v="0"/>
    <s v="OK"/>
    <s v="Uttar Pradesh"/>
    <s v="Uttar Pradesh"/>
    <s v="Noida"/>
    <s v="Noida"/>
    <s v="Technology"/>
    <x v="2"/>
    <s v="Phones"/>
    <x v="8"/>
    <s v="Classic Phones 294"/>
    <s v="First Class"/>
    <x v="2"/>
    <s v="OK"/>
    <n v="8"/>
    <n v="1825.56"/>
    <n v="0.1"/>
    <n v="0.1"/>
    <s v="OK"/>
    <n v="13144.03"/>
    <n v="9764"/>
    <n v="3380.03"/>
    <n v="13144.031999999999"/>
    <n v="3380.0319999999992"/>
    <x v="742"/>
    <s v="Paid"/>
    <x v="0"/>
    <s v="OK"/>
    <s v="Completed"/>
    <x v="0"/>
    <s v="OK"/>
    <s v="INVALID"/>
    <s v="MATCH"/>
    <s v="MATCH"/>
  </r>
  <r>
    <x v="756"/>
    <n v="1"/>
    <d v="2025-08-07T00:00:00"/>
    <d v="2025-08-07T00:00:00"/>
    <x v="1"/>
    <x v="1"/>
    <s v="2024-06-07"/>
    <d v="2024-06-07T00:00:00"/>
    <n v="-426"/>
    <s v="INVALID_SHIPPING"/>
    <s v="CUST-6957"/>
    <s v="Aditi Sen"/>
    <s v="Aditi Sen"/>
    <s v="Consumer"/>
    <x v="0"/>
    <s v="South"/>
    <x v="2"/>
    <s v="OK"/>
    <s v="Telangana"/>
    <s v="Telangana"/>
    <s v="Hyderabad"/>
    <s v="Hyderabad"/>
    <s v="Technology"/>
    <x v="2"/>
    <s v="Copiers"/>
    <x v="6"/>
    <s v="Prime Copiers 969"/>
    <s v="Same Day"/>
    <x v="1"/>
    <s v="OK"/>
    <n v="9"/>
    <n v="274.88"/>
    <n v="0.25"/>
    <n v="0.25"/>
    <s v="OK"/>
    <n v="1855.44"/>
    <n v="1262.74"/>
    <n v="592.70000000000005"/>
    <n v="1855.44"/>
    <n v="592.70000000000005"/>
    <x v="743"/>
    <s v="Paid"/>
    <x v="0"/>
    <s v="OK"/>
    <s v="Completed"/>
    <x v="0"/>
    <s v="OK"/>
    <s v="INVALID"/>
    <s v="MATCH"/>
    <s v="MATCH"/>
  </r>
  <r>
    <x v="757"/>
    <n v="1"/>
    <d v="2025-03-05T00:00:00"/>
    <d v="2025-03-05T00:00:00"/>
    <x v="10"/>
    <x v="1"/>
    <s v="2025-10-05"/>
    <d v="2025-10-05T00:00:00"/>
    <n v="214"/>
    <s v="OK"/>
    <s v="CUST-6013"/>
    <s v="Ananya Rao"/>
    <s v="Ananya Rao"/>
    <s v="Corporate"/>
    <x v="2"/>
    <s v="West"/>
    <x v="3"/>
    <s v="OK"/>
    <s v="Madhya Pradesh"/>
    <s v="Madhya Pradesh"/>
    <s v="Indore"/>
    <s v="Indore"/>
    <s v="Office Supplies"/>
    <x v="0"/>
    <s v="Storage"/>
    <x v="7"/>
    <s v="Prime Storage 432"/>
    <s v="Same Day"/>
    <x v="1"/>
    <s v="OK"/>
    <n v="3"/>
    <n v="3682.75"/>
    <m/>
    <n v="0"/>
    <s v="Missing Discount"/>
    <n v="11048.25"/>
    <n v="9062.7199999999993"/>
    <n v="1985.53"/>
    <n v="11048.25"/>
    <n v="1985.5300000000007"/>
    <x v="744"/>
    <s v="Paid"/>
    <x v="0"/>
    <s v="OK"/>
    <s v="Completed"/>
    <x v="0"/>
    <s v="OK"/>
    <s v="INVALID"/>
    <s v="MATCH"/>
    <s v="MATCH"/>
  </r>
  <r>
    <x v="758"/>
    <n v="1"/>
    <d v="2025-03-01T00:00:00"/>
    <d v="2025-03-01T00:00:00"/>
    <x v="10"/>
    <x v="1"/>
    <s v="29-05-2024"/>
    <d v="2024-05-29T00:00:00"/>
    <n v="-276"/>
    <s v="INVALID_SHIPPING"/>
    <s v="CUST-5808"/>
    <s v="Vikram Iyer"/>
    <s v="Vikram Iyer"/>
    <s v="Corporate"/>
    <x v="2"/>
    <s v="East"/>
    <x v="1"/>
    <s v="OK"/>
    <s v="Bihar"/>
    <s v="Bihar"/>
    <s v="Patna"/>
    <s v="Patna"/>
    <s v="Technology"/>
    <x v="2"/>
    <s v="Accessories"/>
    <x v="4"/>
    <s v="Prime Accessories 300"/>
    <s v="First Class"/>
    <x v="2"/>
    <s v="OK"/>
    <n v="8"/>
    <n v="2574.29"/>
    <n v="0.05"/>
    <n v="0.05"/>
    <s v="OK"/>
    <n v="19564.599999999999"/>
    <n v="11154.59"/>
    <n v="8410.01"/>
    <n v="19564.603999999999"/>
    <n v="8410.0139999999992"/>
    <x v="745"/>
    <s v="Pending"/>
    <x v="1"/>
    <s v="OK"/>
    <s v="Cancelled"/>
    <x v="2"/>
    <s v="EXCLUDE_FROM_SALES"/>
    <s v="INVALID"/>
    <s v="MATCH"/>
    <s v="MATCH"/>
  </r>
  <r>
    <x v="759"/>
    <n v="1"/>
    <d v="2025-02-05T00:00:00"/>
    <d v="2025-02-05T00:00:00"/>
    <x v="11"/>
    <x v="1"/>
    <s v="08 Jul 2025"/>
    <d v="2025-07-08T00:00:00"/>
    <n v="153"/>
    <s v="OK"/>
    <s v="CUST-4526"/>
    <s v="Ananya Rao"/>
    <s v="Ananya Rao"/>
    <s v="Consumer"/>
    <x v="0"/>
    <s v="West"/>
    <x v="3"/>
    <s v="OK"/>
    <s v="Madhya Pradesh"/>
    <s v="Madhya Pradesh"/>
    <s v="Indore"/>
    <s v="Indore"/>
    <s v="Office Supplies"/>
    <x v="0"/>
    <s v="Binders"/>
    <x v="11"/>
    <s v="Max Binders 547"/>
    <s v="Same Day"/>
    <x v="1"/>
    <s v="OK"/>
    <n v="3"/>
    <n v="1076.3"/>
    <n v="0"/>
    <n v="0"/>
    <s v="OK"/>
    <n v="3228.9"/>
    <n v="1853.23"/>
    <n v="1375.67"/>
    <n v="3228.8999999999996"/>
    <n v="1375.6699999999996"/>
    <x v="746"/>
    <s v="Paid"/>
    <x v="0"/>
    <s v="OK"/>
    <s v="Completed"/>
    <x v="0"/>
    <s v="OK"/>
    <s v="CLEAN"/>
    <s v="MATCH"/>
    <s v="MATCH"/>
  </r>
  <r>
    <x v="760"/>
    <n v="1"/>
    <d v="2025-09-07T00:00:00"/>
    <d v="2025-09-07T00:00:00"/>
    <x v="5"/>
    <x v="1"/>
    <s v="2024-09-18"/>
    <d v="2024-09-18T00:00:00"/>
    <n v="-354"/>
    <s v="INVALID_SHIPPING"/>
    <s v="CUST-4447"/>
    <s v="Kabir Singh"/>
    <s v="Kabir Singh"/>
    <s v="Corporate"/>
    <x v="2"/>
    <s v="West"/>
    <x v="3"/>
    <s v="OK"/>
    <s v="Goa"/>
    <s v="Goa"/>
    <s v="Panaji"/>
    <s v="Panaji"/>
    <s v="Furniture"/>
    <x v="1"/>
    <s v="Furnishings"/>
    <x v="3"/>
    <s v="Pro Furnishings 267"/>
    <s v="Second Class"/>
    <x v="0"/>
    <s v="OK"/>
    <n v="5"/>
    <n v="1680.01"/>
    <s v="85%"/>
    <n v="0.85"/>
    <s v="OK"/>
    <n v="7560.04"/>
    <n v="6448.05"/>
    <n v="1111.99"/>
    <n v="1260.0075000000002"/>
    <n v="-5188.0424999999996"/>
    <x v="747"/>
    <s v="Paid"/>
    <x v="0"/>
    <s v="OK"/>
    <s v="Cancelled"/>
    <x v="2"/>
    <s v="EXCLUDE_FROM_SALES"/>
    <s v="INVALID"/>
    <s v="MISMATCH"/>
    <s v="MISMATCH"/>
  </r>
  <r>
    <x v="761"/>
    <n v="1"/>
    <d v="2025-02-22T00:00:00"/>
    <d v="2025-02-22T00:00:00"/>
    <x v="11"/>
    <x v="1"/>
    <s v="02-08-2024"/>
    <d v="2024-02-08T00:00:00"/>
    <n v="-380"/>
    <s v="INVALID_SHIPPING"/>
    <s v="CUST-2698"/>
    <s v="Rahul Verma"/>
    <s v="Rahul Verma"/>
    <s v="Home Office"/>
    <x v="3"/>
    <s v="West"/>
    <x v="3"/>
    <s v="OK"/>
    <s v="Madhya Pradesh"/>
    <s v="Madhya Pradesh"/>
    <s v="Indore"/>
    <s v="Indore"/>
    <s v="Technology"/>
    <x v="2"/>
    <s v="Copiers"/>
    <x v="6"/>
    <s v="Max Copiers 520"/>
    <s v="Same Day"/>
    <x v="1"/>
    <s v="OK"/>
    <n v="3"/>
    <n v="3890.81"/>
    <n v="0.25"/>
    <n v="0.25"/>
    <s v="OK"/>
    <n v="8754.32"/>
    <n v="6238.9"/>
    <n v="2515.42"/>
    <n v="8754.3225000000002"/>
    <n v="2515.4225000000006"/>
    <x v="748"/>
    <s v="Paid"/>
    <x v="0"/>
    <s v="OK"/>
    <s v="Completed"/>
    <x v="0"/>
    <s v="OK"/>
    <s v="INVALID"/>
    <s v="MATCH"/>
    <s v="MATCH"/>
  </r>
  <r>
    <x v="762"/>
    <n v="1"/>
    <d v="2025-02-16T00:00:00"/>
    <d v="2025-02-16T00:00:00"/>
    <x v="11"/>
    <x v="1"/>
    <s v="08 Mar 2025"/>
    <d v="2025-03-08T00:00:00"/>
    <n v="20"/>
    <s v="OK"/>
    <s v="CUST-6297"/>
    <s v="Sneha Kapoor"/>
    <s v="Sneha Kapoor"/>
    <s v="Home Office"/>
    <x v="3"/>
    <s v="East"/>
    <x v="1"/>
    <s v="OK"/>
    <s v="Bihar"/>
    <s v="Bihar"/>
    <s v="Patna"/>
    <s v="Patna"/>
    <s v="Office Supplies"/>
    <x v="0"/>
    <s v="Storage"/>
    <x v="7"/>
    <s v="Max Storage 424"/>
    <s v="Same Day"/>
    <x v="1"/>
    <s v="OK"/>
    <n v="5"/>
    <n v="954.67"/>
    <n v="0.15"/>
    <n v="0.15"/>
    <s v="OK"/>
    <n v="4057.35"/>
    <n v="2862.03"/>
    <n v="1195.32"/>
    <n v="4057.3474999999994"/>
    <n v="1195.3174999999992"/>
    <x v="749"/>
    <s v="Paid"/>
    <x v="0"/>
    <s v="OK"/>
    <s v="Completed"/>
    <x v="0"/>
    <s v="OK"/>
    <s v="CLEAN"/>
    <s v="MATCH"/>
    <s v="MATCH"/>
  </r>
  <r>
    <x v="763"/>
    <n v="1"/>
    <d v="2025-08-01T00:00:00"/>
    <d v="2025-08-01T00:00:00"/>
    <x v="1"/>
    <x v="1"/>
    <s v="2024-06-02"/>
    <d v="2024-06-02T00:00:00"/>
    <n v="-425"/>
    <s v="INVALID_SHIPPING"/>
    <s v="CUST-4380"/>
    <s v="Sneha Kapoor"/>
    <s v="Sneha Kapoor"/>
    <s v="Home Office"/>
    <x v="3"/>
    <s v="South"/>
    <x v="2"/>
    <s v="OK"/>
    <s v="Karnataka"/>
    <s v="Karnataka"/>
    <s v="Bengaluru"/>
    <s v="Bengaluru"/>
    <s v="Furniture"/>
    <x v="1"/>
    <s v="Chairs"/>
    <x v="10"/>
    <s v="Pro Chairs 908"/>
    <s v="Standard Class"/>
    <x v="3"/>
    <s v="OK"/>
    <n v="7"/>
    <n v="4337.4799999999996"/>
    <n v="0"/>
    <n v="0"/>
    <s v="OK"/>
    <n v="30362.36"/>
    <n v="25065.4"/>
    <n v="5296.96"/>
    <n v="30362.359999999997"/>
    <n v="5296.9599999999955"/>
    <x v="750"/>
    <s v="Paid"/>
    <x v="0"/>
    <s v="OK"/>
    <s v="Completed"/>
    <x v="0"/>
    <s v="OK"/>
    <s v="INVALID"/>
    <s v="MATCH"/>
    <s v="MATCH"/>
  </r>
  <r>
    <x v="764"/>
    <n v="1"/>
    <d v="2025-07-08T00:00:00"/>
    <d v="2025-07-08T00:00:00"/>
    <x v="0"/>
    <x v="1"/>
    <s v="2024-10-06"/>
    <d v="2024-10-06T00:00:00"/>
    <n v="-275"/>
    <s v="INVALID_SHIPPING"/>
    <s v="CUST-6108"/>
    <s v="Ananya Rao"/>
    <s v="Ananya Rao"/>
    <s v="Small Business"/>
    <x v="1"/>
    <s v="North"/>
    <x v="0"/>
    <s v="OK"/>
    <s v="Rajasthan"/>
    <s v="Rajasthan"/>
    <s v="Jaipur"/>
    <s v="Jaipur"/>
    <s v="Office Supplies"/>
    <x v="0"/>
    <s v="Binders"/>
    <x v="11"/>
    <s v="Max Binders 785"/>
    <s v="Same Day"/>
    <x v="1"/>
    <s v="OK"/>
    <n v="8"/>
    <n v="655.28"/>
    <n v="0.1"/>
    <n v="0.1"/>
    <s v="OK"/>
    <n v="4718.0200000000004"/>
    <n v="3908.23"/>
    <n v="809.79"/>
    <n v="4718.0159999999996"/>
    <n v="809.7859999999996"/>
    <x v="751"/>
    <s v="Paid"/>
    <x v="0"/>
    <s v="OK"/>
    <s v="Completed"/>
    <x v="0"/>
    <s v="OK"/>
    <s v="INVALID"/>
    <s v="MATCH"/>
    <s v="MATCH"/>
  </r>
  <r>
    <x v="765"/>
    <n v="1"/>
    <d v="2025-06-04T00:00:00"/>
    <d v="2025-06-04T00:00:00"/>
    <x v="8"/>
    <x v="1"/>
    <s v="08 Jun 2025"/>
    <d v="2025-06-08T00:00:00"/>
    <n v="4"/>
    <s v="OK"/>
    <s v="CUST-5663"/>
    <s v="Aditi Sen"/>
    <s v="Aditi Sen"/>
    <s v="Consumer"/>
    <x v="0"/>
    <m/>
    <x v="4"/>
    <s v="MISSING_REGION"/>
    <s v="Odisha"/>
    <s v="Odisha"/>
    <s v="Bhubaneswar"/>
    <s v="Bhubaneswar"/>
    <s v="Technology"/>
    <x v="2"/>
    <s v="Phones"/>
    <x v="8"/>
    <s v="Elite Phones 239"/>
    <s v="Standard Class"/>
    <x v="3"/>
    <s v="OK"/>
    <n v="1"/>
    <n v="3844.01"/>
    <n v="0"/>
    <n v="0"/>
    <s v="OK"/>
    <n v="3844.01"/>
    <n v="2195.79"/>
    <n v="1648.22"/>
    <n v="3844.01"/>
    <n v="1648.2200000000003"/>
    <x v="752"/>
    <s v="Paid"/>
    <x v="0"/>
    <s v="OK"/>
    <s v="Completed"/>
    <x v="0"/>
    <s v="OK"/>
    <s v="WARNING"/>
    <s v="MATCH"/>
    <s v="MATCH"/>
  </r>
  <r>
    <x v="766"/>
    <n v="1"/>
    <d v="2025-01-29T00:00:00"/>
    <d v="2025-01-29T00:00:00"/>
    <x v="9"/>
    <x v="1"/>
    <s v="03 Jun 2024"/>
    <d v="2024-06-03T00:00:00"/>
    <n v="-240"/>
    <s v="INVALID_SHIPPING"/>
    <s v="CUST-1127"/>
    <s v="Vikram Iyer"/>
    <s v="Vikram Iyer"/>
    <s v="Consumer"/>
    <x v="0"/>
    <s v="East"/>
    <x v="1"/>
    <s v="OK"/>
    <s v="Bihar"/>
    <s v="Bihar"/>
    <s v="Patna"/>
    <s v="Patna"/>
    <s v="Office Supplies"/>
    <x v="0"/>
    <s v="Storage"/>
    <x v="7"/>
    <s v="Basic Storage 934"/>
    <s v="Standard Class"/>
    <x v="3"/>
    <s v="OK"/>
    <n v="4"/>
    <n v="2759.01"/>
    <n v="0.05"/>
    <n v="0.05"/>
    <s v="OK"/>
    <n v="10484.24"/>
    <n v="6680.15"/>
    <n v="3804.09"/>
    <n v="10484.238000000001"/>
    <n v="3804.0880000000016"/>
    <x v="753"/>
    <s v="Paid"/>
    <x v="0"/>
    <s v="OK"/>
    <s v="Completed"/>
    <x v="0"/>
    <s v="OK"/>
    <s v="INVALID"/>
    <s v="MATCH"/>
    <s v="MATCH"/>
  </r>
  <r>
    <x v="767"/>
    <n v="1"/>
    <d v="2025-06-04T00:00:00"/>
    <d v="2025-06-04T00:00:00"/>
    <x v="8"/>
    <x v="1"/>
    <s v="2025-06-24"/>
    <d v="2025-06-24T00:00:00"/>
    <n v="20"/>
    <s v="OK"/>
    <s v="CUST-1793"/>
    <s v="Sneha Kapoor"/>
    <s v="Sneha Kapoor"/>
    <s v="Home Office"/>
    <x v="3"/>
    <s v="East"/>
    <x v="1"/>
    <s v="OK"/>
    <s v="Assam"/>
    <s v="Assam"/>
    <s v="Guwahati"/>
    <s v="Guwahati"/>
    <s v="Technology"/>
    <x v="2"/>
    <s v="Machines"/>
    <x v="12"/>
    <s v="Elite Machines 971"/>
    <s v="Standard Class"/>
    <x v="3"/>
    <s v="OK"/>
    <n v="8"/>
    <n v="1434.13"/>
    <n v="0"/>
    <n v="0"/>
    <s v="OK"/>
    <n v="11473.04"/>
    <n v="8931.33"/>
    <n v="2541.71"/>
    <n v="11473.04"/>
    <n v="2541.7100000000009"/>
    <x v="754"/>
    <s v="Pending"/>
    <x v="1"/>
    <s v="OK"/>
    <s v="Returned"/>
    <x v="1"/>
    <s v="RETURNED_ORDER"/>
    <s v="CLEAN"/>
    <s v="MATCH"/>
    <s v="MATCH"/>
  </r>
  <r>
    <x v="768"/>
    <n v="1"/>
    <d v="2025-02-13T00:00:00"/>
    <d v="2025-02-13T00:00:00"/>
    <x v="11"/>
    <x v="1"/>
    <s v="2024-07-30"/>
    <d v="2024-07-30T00:00:00"/>
    <n v="-198"/>
    <s v="INVALID_SHIPPING"/>
    <s v="CUST-8839"/>
    <s v="Karan Malhotra"/>
    <s v="Karan Malhotra"/>
    <s v="Small Business"/>
    <x v="1"/>
    <s v="South"/>
    <x v="2"/>
    <s v="OK"/>
    <s v="Kerala"/>
    <s v="Kerala"/>
    <s v="Kochi"/>
    <s v="Kochi"/>
    <s v="Technology"/>
    <x v="2"/>
    <s v="Phones"/>
    <x v="8"/>
    <s v="Max Phones 825"/>
    <s v="Second Class"/>
    <x v="0"/>
    <s v="OK"/>
    <n v="2"/>
    <n v="2360.02"/>
    <n v="0.15"/>
    <n v="0.15"/>
    <s v="OK"/>
    <n v="4012.03"/>
    <n v="3142.92"/>
    <n v="869.11"/>
    <n v="4012.0339999999997"/>
    <n v="869.11399999999958"/>
    <x v="755"/>
    <s v="Pending"/>
    <x v="1"/>
    <s v="OK"/>
    <s v="Cancelled"/>
    <x v="2"/>
    <s v="EXCLUDE_FROM_SALES"/>
    <s v="INVALID"/>
    <s v="MATCH"/>
    <s v="MATCH"/>
  </r>
  <r>
    <x v="769"/>
    <n v="1"/>
    <d v="2025-05-10T00:00:00"/>
    <d v="2025-05-10T00:00:00"/>
    <x v="3"/>
    <x v="1"/>
    <s v="30-03-2024"/>
    <d v="2024-03-30T00:00:00"/>
    <n v="-406"/>
    <s v="INVALID_SHIPPING"/>
    <s v="CUST-6725"/>
    <s v="Ananya Rao"/>
    <s v="Ananya Rao"/>
    <s v="Home Office"/>
    <x v="3"/>
    <s v="East"/>
    <x v="1"/>
    <s v="OK"/>
    <s v="Jharkhand"/>
    <s v="Jharkhand"/>
    <s v="Ranchi"/>
    <s v="Ranchi"/>
    <s v="Technology"/>
    <x v="2"/>
    <s v="Accessories"/>
    <x v="4"/>
    <s v="Eco Accessories 933"/>
    <s v="Same Day"/>
    <x v="1"/>
    <s v="OK"/>
    <n v="7"/>
    <n v="806.67"/>
    <n v="0.05"/>
    <n v="0.05"/>
    <s v="OK"/>
    <n v="5364.36"/>
    <n v="4391.29"/>
    <n v="973.07"/>
    <n v="5364.3554999999997"/>
    <n v="973.0654999999997"/>
    <x v="756"/>
    <s v="Paid"/>
    <x v="0"/>
    <s v="OK"/>
    <s v="Completed"/>
    <x v="0"/>
    <s v="OK"/>
    <s v="INVALID"/>
    <s v="MATCH"/>
    <s v="MATCH"/>
  </r>
  <r>
    <x v="770"/>
    <n v="1"/>
    <d v="2025-10-09T00:00:00"/>
    <d v="2025-10-09T00:00:00"/>
    <x v="7"/>
    <x v="1"/>
    <s v="22-04-2024"/>
    <d v="2024-04-22T00:00:00"/>
    <n v="-535"/>
    <s v="INVALID_SHIPPING"/>
    <s v="CUST-3793"/>
    <s v="Arjun Bose"/>
    <s v="Arjun Bose"/>
    <s v="Home Office"/>
    <x v="3"/>
    <s v="West"/>
    <x v="3"/>
    <s v="OK"/>
    <s v="Gujarat"/>
    <s v="Gujarat"/>
    <s v="Ahmedabad"/>
    <s v="Ahmedabad"/>
    <s v="Furniture"/>
    <x v="1"/>
    <s v="Tables"/>
    <x v="1"/>
    <s v="Max Tables 908"/>
    <s v="Same Day"/>
    <x v="1"/>
    <s v="OK"/>
    <n v="3"/>
    <n v="4198.46"/>
    <n v="0.15"/>
    <n v="0.15"/>
    <s v="OK"/>
    <n v="10706.07"/>
    <n v="5927.1"/>
    <n v="4778.97"/>
    <n v="10706.073"/>
    <n v="4778.973"/>
    <x v="757"/>
    <s v="Paid"/>
    <x v="0"/>
    <s v="OK"/>
    <s v="Completed"/>
    <x v="0"/>
    <s v="OK"/>
    <s v="INVALID"/>
    <s v="MATCH"/>
    <s v="MATCH"/>
  </r>
  <r>
    <x v="771"/>
    <n v="2"/>
    <d v="2025-04-15T00:00:00"/>
    <d v="2025-04-15T00:00:00"/>
    <x v="6"/>
    <x v="1"/>
    <s v="09-07-2025"/>
    <d v="2025-09-07T00:00:00"/>
    <n v="145"/>
    <s v="OK"/>
    <s v="CUST-4593"/>
    <s v="Sneha Kapoor"/>
    <s v="Sneha Kapoor"/>
    <s v="Small Business"/>
    <x v="1"/>
    <s v="South"/>
    <x v="2"/>
    <s v="OK"/>
    <s v="Karnataka"/>
    <s v="Karnataka"/>
    <s v="Bengaluru"/>
    <s v="Bengaluru"/>
    <s v="Furniture"/>
    <x v="1"/>
    <s v="Furnishings"/>
    <x v="3"/>
    <s v="Smart Furnishings 721"/>
    <s v="First Class"/>
    <x v="2"/>
    <s v="OK"/>
    <n v="5"/>
    <n v="2850.53"/>
    <n v="0"/>
    <n v="0"/>
    <s v="OK"/>
    <n v="14252.65"/>
    <n v="11558.31"/>
    <n v="2694.34"/>
    <n v="14252.650000000001"/>
    <n v="2694.340000000002"/>
    <x v="758"/>
    <s v="Paid"/>
    <x v="0"/>
    <s v="OK"/>
    <s v="Completed"/>
    <x v="0"/>
    <s v="OK"/>
    <s v="CLEAN"/>
    <s v="MATCH"/>
    <s v="MATCH"/>
  </r>
  <r>
    <x v="771"/>
    <n v="2"/>
    <d v="2025-04-15T00:00:00"/>
    <d v="2025-04-15T00:00:00"/>
    <x v="6"/>
    <x v="1"/>
    <s v="2024-10-17"/>
    <d v="2024-10-17T00:00:00"/>
    <n v="-180"/>
    <s v="INVALID_SHIPPING"/>
    <s v="CUST-4593"/>
    <s v="Sneha Kapoor"/>
    <s v="Sneha Kapoor"/>
    <s v="Small Business"/>
    <x v="1"/>
    <s v="South"/>
    <x v="2"/>
    <s v="OK"/>
    <s v="Karnataka"/>
    <s v="Karnataka"/>
    <s v="Bengaluru"/>
    <s v="Bengaluru"/>
    <s v="Furniture"/>
    <x v="1"/>
    <s v="Furnishings"/>
    <x v="3"/>
    <s v="Smart Furnishings 721"/>
    <s v="First Class"/>
    <x v="2"/>
    <s v="OK"/>
    <n v="5"/>
    <n v="2850.53"/>
    <n v="0"/>
    <n v="0"/>
    <s v="OK"/>
    <n v="14252.65"/>
    <n v="11558.31"/>
    <n v="2694.34"/>
    <n v="14252.650000000001"/>
    <n v="2694.340000000002"/>
    <x v="758"/>
    <s v="Paid"/>
    <x v="0"/>
    <s v="OK"/>
    <s v="Completed"/>
    <x v="0"/>
    <s v="OK"/>
    <s v="INVALID"/>
    <s v="MATCH"/>
    <s v="MATCH"/>
  </r>
  <r>
    <x v="772"/>
    <n v="1"/>
    <d v="2025-04-18T00:00:00"/>
    <d v="2025-04-18T00:00:00"/>
    <x v="6"/>
    <x v="1"/>
    <s v="2024-03-07"/>
    <d v="2024-03-07T00:00:00"/>
    <n v="-407"/>
    <s v="INVALID_SHIPPING"/>
    <s v="CUST-5043"/>
    <s v="Aarav Sharma"/>
    <s v="Aarav Sharma"/>
    <s v="Small Business"/>
    <x v="1"/>
    <s v="South"/>
    <x v="2"/>
    <s v="OK"/>
    <s v="Tamil Nadu"/>
    <s v="Tamil Nadu"/>
    <s v="Chennai"/>
    <s v="Chennai"/>
    <s v="Technology"/>
    <x v="2"/>
    <s v="Accessories"/>
    <x v="4"/>
    <s v="Basic Accessories 729"/>
    <s v="Second Class"/>
    <x v="0"/>
    <s v="OK"/>
    <n v="1"/>
    <n v="1626.08"/>
    <n v="0.15"/>
    <n v="0.15"/>
    <s v="OK"/>
    <n v="1382.17"/>
    <n v="810.03"/>
    <n v="572.14"/>
    <n v="1382.1679999999999"/>
    <n v="572.13799999999992"/>
    <x v="759"/>
    <s v="Paid"/>
    <x v="0"/>
    <s v="OK"/>
    <s v="Completed"/>
    <x v="0"/>
    <s v="OK"/>
    <s v="INVALID"/>
    <s v="MATCH"/>
    <s v="MATCH"/>
  </r>
  <r>
    <x v="773"/>
    <n v="1"/>
    <d v="2025-11-01T00:00:00"/>
    <d v="2025-11-01T00:00:00"/>
    <x v="2"/>
    <x v="1"/>
    <s v="15 Oct 2025"/>
    <d v="2025-10-15T00:00:00"/>
    <n v="-17"/>
    <s v="INVALID_SHIPPING"/>
    <s v="CUST-4722"/>
    <s v="Aditi Sen"/>
    <s v="Aditi Sen"/>
    <s v="Consumer"/>
    <x v="0"/>
    <s v="South"/>
    <x v="2"/>
    <s v="OK"/>
    <s v="Telangana"/>
    <s v="Telangana"/>
    <s v="Hyderabad"/>
    <s v="Hyderabad"/>
    <s v="Furniture"/>
    <x v="1"/>
    <s v="Chairs"/>
    <x v="10"/>
    <s v="Classic Chairs 220"/>
    <s v="Second Class"/>
    <x v="0"/>
    <s v="OK"/>
    <n v="4"/>
    <n v="2427.15"/>
    <n v="0.05"/>
    <n v="0.05"/>
    <s v="OK"/>
    <n v="9223.17"/>
    <n v="5103.7"/>
    <n v="4119.47"/>
    <n v="9223.17"/>
    <n v="4119.47"/>
    <x v="760"/>
    <s v="Paid"/>
    <x v="0"/>
    <s v="OK"/>
    <s v="Completed"/>
    <x v="0"/>
    <s v="OK"/>
    <s v="INVALID"/>
    <s v="MATCH"/>
    <s v="MATCH"/>
  </r>
  <r>
    <x v="774"/>
    <n v="1"/>
    <d v="2025-01-14T00:00:00"/>
    <d v="2025-01-14T00:00:00"/>
    <x v="9"/>
    <x v="1"/>
    <s v="2025-02-16"/>
    <d v="2025-02-16T00:00:00"/>
    <n v="33"/>
    <s v="OK"/>
    <s v="CUST-5061"/>
    <s v="Vikram Iyer"/>
    <s v="Vikram Iyer"/>
    <s v="Consumer"/>
    <x v="0"/>
    <s v="West"/>
    <x v="3"/>
    <s v="OK"/>
    <s v="Goa"/>
    <s v="Goa"/>
    <s v="Panaji"/>
    <s v="Panaji"/>
    <s v="Office Supplies"/>
    <x v="0"/>
    <s v="Storage"/>
    <x v="7"/>
    <s v="Basic Storage 973"/>
    <s v="First Class"/>
    <x v="2"/>
    <s v="OK"/>
    <n v="1"/>
    <n v="1584.12"/>
    <n v="0.2"/>
    <n v="0.2"/>
    <s v="OK"/>
    <n v="1267.3"/>
    <n v="923.53"/>
    <n v="343.77"/>
    <n v="1267.296"/>
    <n v="343.76600000000008"/>
    <x v="761"/>
    <s v="Paid"/>
    <x v="0"/>
    <s v="OK"/>
    <s v="Completed"/>
    <x v="0"/>
    <s v="OK"/>
    <s v="CLEAN"/>
    <s v="MATCH"/>
    <s v="MATCH"/>
  </r>
  <r>
    <x v="775"/>
    <n v="1"/>
    <d v="2025-09-04T00:00:00"/>
    <d v="2025-09-04T00:00:00"/>
    <x v="5"/>
    <x v="1"/>
    <s v="13 Dec 2024"/>
    <d v="2024-12-13T00:00:00"/>
    <n v="-265"/>
    <s v="INVALID_SHIPPING"/>
    <s v="CUST-7915"/>
    <s v="Karan Malhotra"/>
    <s v="Karan Malhotra"/>
    <s v="Consumer"/>
    <x v="0"/>
    <s v="North"/>
    <x v="0"/>
    <s v="OK"/>
    <s v="Delhi"/>
    <s v="Delhi"/>
    <s v="New Delhi"/>
    <s v="New Delhi"/>
    <s v="Furniture"/>
    <x v="1"/>
    <s v="Furnishings"/>
    <x v="3"/>
    <s v="Smart Furnishings 783"/>
    <s v="Same Day"/>
    <x v="1"/>
    <s v="OK"/>
    <n v="2"/>
    <n v="3202.87"/>
    <n v="0"/>
    <n v="0"/>
    <s v="OK"/>
    <n v="6405.74"/>
    <n v="3561.87"/>
    <n v="2843.87"/>
    <n v="6405.74"/>
    <n v="2843.87"/>
    <x v="762"/>
    <s v="Paid"/>
    <x v="0"/>
    <s v="OK"/>
    <s v="Completed"/>
    <x v="0"/>
    <s v="OK"/>
    <s v="INVALID"/>
    <s v="MATCH"/>
    <s v="MATCH"/>
  </r>
  <r>
    <x v="776"/>
    <n v="1"/>
    <d v="2025-10-04T00:00:00"/>
    <d v="2025-10-04T00:00:00"/>
    <x v="7"/>
    <x v="1"/>
    <s v="18-09-2025"/>
    <d v="2025-09-18T00:00:00"/>
    <n v="-16"/>
    <s v="INVALID_SHIPPING"/>
    <s v="CUST-5549"/>
    <s v="Vikram Iyer"/>
    <s v="Vikram Iyer"/>
    <s v="Consumer"/>
    <x v="0"/>
    <s v="East"/>
    <x v="1"/>
    <s v="OK"/>
    <s v="West Bengal"/>
    <s v="West Bengal"/>
    <s v="Kolkata"/>
    <s v="Kolkata"/>
    <s v="Furniture"/>
    <x v="1"/>
    <s v="Chairs"/>
    <x v="10"/>
    <s v="Pro Chairs 812"/>
    <s v="Standard Class"/>
    <x v="3"/>
    <s v="OK"/>
    <n v="4"/>
    <n v="3750.02"/>
    <n v="0.05"/>
    <n v="0.05"/>
    <s v="OK"/>
    <n v="14250.08"/>
    <n v="10914.92"/>
    <n v="3335.16"/>
    <n v="14250.075999999999"/>
    <n v="3335.155999999999"/>
    <x v="763"/>
    <s v="Paid"/>
    <x v="0"/>
    <s v="OK"/>
    <s v="Completed"/>
    <x v="0"/>
    <s v="OK"/>
    <s v="INVALID"/>
    <s v="MATCH"/>
    <s v="MATCH"/>
  </r>
  <r>
    <x v="777"/>
    <n v="1"/>
    <d v="2025-01-01T00:00:00"/>
    <d v="2025-01-01T00:00:00"/>
    <x v="9"/>
    <x v="1"/>
    <s v="07-04-2025"/>
    <d v="2025-07-04T00:00:00"/>
    <n v="184"/>
    <s v="OK"/>
    <s v="CUST-9942"/>
    <s v="Rohan  Mehta"/>
    <s v="Rohan Mehta"/>
    <s v="Small Business"/>
    <x v="1"/>
    <s v="North"/>
    <x v="0"/>
    <s v="OK"/>
    <s v="Punjab"/>
    <s v="Punjab"/>
    <s v="Ludhiana"/>
    <s v="Ludhiana"/>
    <s v="Office Supplies"/>
    <x v="0"/>
    <s v="Art"/>
    <x v="2"/>
    <s v="Prime Art 461"/>
    <s v="First Class"/>
    <x v="2"/>
    <s v="OK"/>
    <n v="8"/>
    <n v="2123.81"/>
    <n v="0.15"/>
    <n v="0.15"/>
    <s v="OK"/>
    <n v="14441.91"/>
    <n v="10872.89"/>
    <n v="3569.02"/>
    <n v="14441.907999999999"/>
    <n v="3569.018"/>
    <x v="764"/>
    <s v="Paid"/>
    <x v="0"/>
    <s v="OK"/>
    <s v="Completed"/>
    <x v="0"/>
    <s v="OK"/>
    <s v="CLEAN"/>
    <s v="MATCH"/>
    <s v="MATCH"/>
  </r>
  <r>
    <x v="778"/>
    <n v="1"/>
    <d v="2025-11-08T00:00:00"/>
    <d v="2025-11-08T00:00:00"/>
    <x v="2"/>
    <x v="1"/>
    <s v="15 Nov 2024"/>
    <d v="2024-11-15T00:00:00"/>
    <n v="-358"/>
    <s v="INVALID_SHIPPING"/>
    <s v="CUST-7277"/>
    <s v="Kabir Singh"/>
    <s v="Kabir Singh"/>
    <s v="Small Business"/>
    <x v="1"/>
    <s v="South"/>
    <x v="2"/>
    <s v="OK"/>
    <s v="Kerala"/>
    <s v="Kerala"/>
    <s v="Kochi"/>
    <s v="Kochi"/>
    <s v="Technology"/>
    <x v="2"/>
    <s v="Accessories"/>
    <x v="4"/>
    <s v="Classic Accessories 354"/>
    <s v="Standard Class"/>
    <x v="3"/>
    <s v="OK"/>
    <n v="4"/>
    <n v="2258.96"/>
    <n v="0.25"/>
    <n v="0.25"/>
    <s v="OK"/>
    <n v="6776.88"/>
    <n v="3836.24"/>
    <n v="2940.64"/>
    <n v="6776.88"/>
    <n v="2940.6400000000003"/>
    <x v="765"/>
    <s v="Paid"/>
    <x v="0"/>
    <s v="OK"/>
    <s v="Completed"/>
    <x v="0"/>
    <s v="OK"/>
    <s v="INVALID"/>
    <s v="MATCH"/>
    <s v="MATCH"/>
  </r>
  <r>
    <x v="779"/>
    <n v="1"/>
    <d v="2025-06-08T00:00:00"/>
    <d v="2025-06-08T00:00:00"/>
    <x v="8"/>
    <x v="1"/>
    <s v="2025-02-08"/>
    <d v="2025-02-08T00:00:00"/>
    <n v="-120"/>
    <s v="INVALID_SHIPPING"/>
    <s v="CUST-2660"/>
    <s v="Mira Das"/>
    <s v="Mira Das"/>
    <s v="Small Business"/>
    <x v="1"/>
    <s v="South"/>
    <x v="2"/>
    <s v="OK"/>
    <s v="Andhra Pradesh"/>
    <s v="Andhra Pradesh"/>
    <s v="Vijayawada"/>
    <s v="Vijayawada"/>
    <s v="Office Supplies"/>
    <x v="0"/>
    <s v="Paper"/>
    <x v="0"/>
    <s v="Smart Paper 364"/>
    <s v="Second Class"/>
    <x v="0"/>
    <s v="OK"/>
    <n v="3"/>
    <n v="598.54999999999995"/>
    <n v="0"/>
    <n v="0"/>
    <s v="OK"/>
    <n v="1795.65"/>
    <n v="996.72"/>
    <n v="798.93"/>
    <n v="1795.6499999999999"/>
    <n v="798.92999999999984"/>
    <x v="766"/>
    <s v="Paid"/>
    <x v="0"/>
    <s v="OK"/>
    <s v="Completed"/>
    <x v="0"/>
    <s v="OK"/>
    <s v="INVALID"/>
    <s v="MATCH"/>
    <s v="MATCH"/>
  </r>
  <r>
    <x v="780"/>
    <n v="1"/>
    <d v="2025-03-17T00:00:00"/>
    <d v="2025-03-17T00:00:00"/>
    <x v="10"/>
    <x v="1"/>
    <s v="2025-08-28"/>
    <d v="2025-08-28T00:00:00"/>
    <n v="164"/>
    <s v="OK"/>
    <s v="CUST-8177"/>
    <s v="Sneha Kapoor"/>
    <s v="Sneha Kapoor"/>
    <s v="Consumer"/>
    <x v="0"/>
    <s v="North"/>
    <x v="0"/>
    <s v="OK"/>
    <s v="Uttar Pradesh"/>
    <s v="Uttar Pradesh"/>
    <s v="Noida"/>
    <s v="Noida"/>
    <s v="Office Supplies"/>
    <x v="0"/>
    <s v="Binders"/>
    <x v="11"/>
    <s v="Smart Binders 999"/>
    <s v="Standard Class"/>
    <x v="3"/>
    <s v="OK"/>
    <n v="5"/>
    <n v="4320.59"/>
    <n v="0.15"/>
    <n v="0.15"/>
    <s v="OK"/>
    <n v="18362.509999999998"/>
    <n v="11133.97"/>
    <n v="7228.54"/>
    <n v="18362.5075"/>
    <n v="7228.5375000000004"/>
    <x v="767"/>
    <s v="Paid"/>
    <x v="0"/>
    <s v="OK"/>
    <s v="Completed"/>
    <x v="0"/>
    <s v="OK"/>
    <s v="CLEAN"/>
    <s v="MATCH"/>
    <s v="MATCH"/>
  </r>
  <r>
    <x v="781"/>
    <n v="1"/>
    <d v="2025-04-04T00:00:00"/>
    <d v="2025-04-04T00:00:00"/>
    <x v="6"/>
    <x v="1"/>
    <s v="25 Jun 2025"/>
    <d v="2025-06-25T00:00:00"/>
    <n v="82"/>
    <s v="OK"/>
    <s v="CUST-3970"/>
    <s v="Priya Menon"/>
    <s v="Priya Menon"/>
    <s v="Small Business"/>
    <x v="1"/>
    <s v="South"/>
    <x v="2"/>
    <s v="OK"/>
    <s v="Tamil Nadu"/>
    <s v="Tamil Nadu"/>
    <s v="Chennai"/>
    <s v="Chennai"/>
    <s v="Technology"/>
    <x v="2"/>
    <s v="Copiers"/>
    <x v="6"/>
    <s v="Max Copiers 356"/>
    <s v="Second Class"/>
    <x v="0"/>
    <s v="OK"/>
    <n v="7"/>
    <n v="4457.93"/>
    <n v="0.15"/>
    <n v="0.15"/>
    <s v="OK"/>
    <n v="26524.68"/>
    <n v="20574.3"/>
    <n v="5950.38"/>
    <n v="26524.683500000003"/>
    <n v="5950.3835000000036"/>
    <x v="768"/>
    <s v="Paid"/>
    <x v="0"/>
    <s v="OK"/>
    <s v="Completed"/>
    <x v="0"/>
    <s v="OK"/>
    <s v="CLEAN"/>
    <s v="MATCH"/>
    <s v="MATCH"/>
  </r>
  <r>
    <x v="782"/>
    <n v="1"/>
    <d v="2025-12-10T00:00:00"/>
    <d v="2025-12-10T00:00:00"/>
    <x v="4"/>
    <x v="1"/>
    <s v="08-04-2024"/>
    <d v="2024-08-04T00:00:00"/>
    <n v="-493"/>
    <s v="INVALID_SHIPPING"/>
    <s v="CUST-8249"/>
    <s v="Diya Patel"/>
    <s v="Diya Patel"/>
    <s v="Corporate"/>
    <x v="2"/>
    <s v="East"/>
    <x v="1"/>
    <s v="OK"/>
    <s v="Bihar"/>
    <s v="Bihar"/>
    <s v="Patna"/>
    <s v="Patna"/>
    <s v="Technology"/>
    <x v="2"/>
    <s v="Machines"/>
    <x v="12"/>
    <s v="Classic Machines 639"/>
    <s v="Same Day"/>
    <x v="1"/>
    <s v="OK"/>
    <n v="1"/>
    <n v="2570.06"/>
    <n v="0.2"/>
    <n v="0.2"/>
    <s v="OK"/>
    <n v="2056.0500000000002"/>
    <n v="1662.39"/>
    <n v="393.66"/>
    <n v="2056.0480000000002"/>
    <n v="393.65800000000013"/>
    <x v="769"/>
    <s v="Paid"/>
    <x v="0"/>
    <s v="OK"/>
    <s v="Completed"/>
    <x v="0"/>
    <s v="OK"/>
    <s v="INVALID"/>
    <s v="MATCH"/>
    <s v="MATCH"/>
  </r>
  <r>
    <x v="783"/>
    <n v="1"/>
    <d v="2025-08-26T00:00:00"/>
    <d v="2025-08-26T00:00:00"/>
    <x v="1"/>
    <x v="1"/>
    <s v="19 Dec 2024"/>
    <d v="2024-12-19T00:00:00"/>
    <n v="-250"/>
    <s v="INVALID_SHIPPING"/>
    <s v="CUST-8039"/>
    <s v="Neha Gupta"/>
    <s v="Neha Gupta"/>
    <s v="Home Office"/>
    <x v="3"/>
    <s v="East"/>
    <x v="1"/>
    <s v="OK"/>
    <s v="West Bengal"/>
    <s v="West Bengal"/>
    <s v="Kolkata"/>
    <s v="Kolkata"/>
    <s v="Furniture"/>
    <x v="1"/>
    <s v="Furnishings"/>
    <x v="3"/>
    <s v="Smart Furnishings 748"/>
    <s v="Standard Class"/>
    <x v="3"/>
    <s v="OK"/>
    <n v="4"/>
    <n v="2151.8200000000002"/>
    <n v="0"/>
    <n v="0"/>
    <s v="OK"/>
    <n v="8607.2800000000007"/>
    <n v="5124.01"/>
    <n v="3483.27"/>
    <n v="8607.2800000000007"/>
    <n v="3483.2700000000004"/>
    <x v="770"/>
    <s v="Paid"/>
    <x v="0"/>
    <s v="OK"/>
    <s v="Completed"/>
    <x v="0"/>
    <s v="OK"/>
    <s v="INVALID"/>
    <s v="MATCH"/>
    <s v="MATCH"/>
  </r>
  <r>
    <x v="784"/>
    <n v="1"/>
    <d v="2025-07-08T00:00:00"/>
    <d v="2025-07-08T00:00:00"/>
    <x v="0"/>
    <x v="1"/>
    <s v="20-06-2024"/>
    <d v="2024-06-20T00:00:00"/>
    <n v="-383"/>
    <s v="INVALID_SHIPPING"/>
    <s v="CUST-7787"/>
    <s v="Aditi Sen"/>
    <s v="Aditi Sen"/>
    <s v="Home Office"/>
    <x v="3"/>
    <s v="East"/>
    <x v="1"/>
    <s v="OK"/>
    <s v="Bihar"/>
    <s v="Bihar"/>
    <s v="Patna"/>
    <s v="Patna"/>
    <s v="Office Supplies"/>
    <x v="0"/>
    <s v="Storage"/>
    <x v="7"/>
    <s v="Eco Storage 316"/>
    <s v="Second Class"/>
    <x v="0"/>
    <s v="OK"/>
    <n v="1"/>
    <n v="2541.25"/>
    <n v="0.2"/>
    <n v="0.2"/>
    <s v="OK"/>
    <n v="2033"/>
    <n v="1291.4100000000001"/>
    <n v="741.59"/>
    <n v="2033"/>
    <n v="741.58999999999992"/>
    <x v="771"/>
    <s v="Paid"/>
    <x v="0"/>
    <s v="OK"/>
    <s v="Completed"/>
    <x v="0"/>
    <s v="OK"/>
    <s v="INVALID"/>
    <s v="MATCH"/>
    <s v="MATCH"/>
  </r>
  <r>
    <x v="785"/>
    <n v="1"/>
    <d v="2025-09-06T00:00:00"/>
    <d v="2025-09-06T00:00:00"/>
    <x v="5"/>
    <x v="1"/>
    <s v="10 Apr 2025"/>
    <d v="2025-04-10T00:00:00"/>
    <n v="-149"/>
    <s v="INVALID_SHIPPING"/>
    <s v="CUST-9074"/>
    <s v="Sneha Kapoor"/>
    <s v="Sneha Kapoor"/>
    <s v="Consumer"/>
    <x v="0"/>
    <m/>
    <x v="4"/>
    <s v="MISSING_REGION"/>
    <s v="Bihar"/>
    <s v="Bihar"/>
    <s v="Patna"/>
    <s v="Patna"/>
    <s v="Office Supplies"/>
    <x v="0"/>
    <s v="Art"/>
    <x v="2"/>
    <s v="Eco Art 763"/>
    <s v="First Class"/>
    <x v="2"/>
    <s v="OK"/>
    <n v="7"/>
    <n v="2852.42"/>
    <n v="0"/>
    <n v="0"/>
    <s v="OK"/>
    <n v="19966.939999999999"/>
    <n v="12690.83"/>
    <n v="7276.11"/>
    <n v="19966.940000000002"/>
    <n v="7276.1100000000024"/>
    <x v="772"/>
    <s v="Refunded"/>
    <x v="2"/>
    <s v="REFUNDED_PAYMENT"/>
    <s v="Cancelled"/>
    <x v="2"/>
    <s v="EXCLUDE_FROM_SALES"/>
    <s v="INVALID"/>
    <s v="MATCH"/>
    <s v="MATCH"/>
  </r>
  <r>
    <x v="786"/>
    <n v="1"/>
    <d v="2025-01-21T00:00:00"/>
    <d v="2025-01-21T00:00:00"/>
    <x v="9"/>
    <x v="1"/>
    <s v="2025-08-11"/>
    <d v="2025-08-11T00:00:00"/>
    <n v="202"/>
    <s v="OK"/>
    <s v="CUST-8330"/>
    <s v="Diya Patel"/>
    <s v="Diya Patel"/>
    <s v="Corporate"/>
    <x v="2"/>
    <s v="South"/>
    <x v="2"/>
    <s v="OK"/>
    <s v="Karnataka"/>
    <s v="Karnataka"/>
    <s v="Bengaluru"/>
    <s v="Bengaluru"/>
    <s v="Technology"/>
    <x v="2"/>
    <s v="Phones"/>
    <x v="8"/>
    <s v="Pro Phones 356"/>
    <s v="Second Class"/>
    <x v="0"/>
    <s v="OK"/>
    <n v="2"/>
    <n v="444.31"/>
    <n v="0.2"/>
    <n v="0.2"/>
    <s v="OK"/>
    <n v="710.9"/>
    <n v="513.88"/>
    <n v="197.02"/>
    <n v="710.89600000000007"/>
    <n v="197.01600000000008"/>
    <x v="773"/>
    <s v="Refunded"/>
    <x v="2"/>
    <s v="REFUNDED_PAYMENT"/>
    <s v="Cancelled"/>
    <x v="2"/>
    <s v="EXCLUDE_FROM_SALES"/>
    <s v="CLEAN"/>
    <s v="MATCH"/>
    <s v="MATCH"/>
  </r>
  <r>
    <x v="787"/>
    <n v="1"/>
    <d v="2025-07-15T00:00:00"/>
    <d v="2025-07-15T00:00:00"/>
    <x v="0"/>
    <x v="1"/>
    <s v="2024-04-08"/>
    <d v="2024-04-08T00:00:00"/>
    <n v="-463"/>
    <s v="INVALID_SHIPPING"/>
    <s v="CUST-5638"/>
    <s v="Arjun Bose"/>
    <s v="Arjun Bose"/>
    <s v="Small Business"/>
    <x v="1"/>
    <s v="East"/>
    <x v="1"/>
    <s v="OK"/>
    <s v="Jharkhand"/>
    <s v="Jharkhand"/>
    <s v="Ranchi"/>
    <s v="Ranchi"/>
    <s v="Technology"/>
    <x v="2"/>
    <s v="Phones"/>
    <x v="8"/>
    <s v="Basic Phones 865"/>
    <s v="Same Day"/>
    <x v="1"/>
    <s v="OK"/>
    <n v="4"/>
    <n v="4442.91"/>
    <n v="0.1"/>
    <n v="0.1"/>
    <s v="OK"/>
    <n v="15994.48"/>
    <n v="9224.2800000000007"/>
    <n v="6770.2"/>
    <n v="15994.476000000001"/>
    <n v="6770.1959999999999"/>
    <x v="774"/>
    <s v="Paid"/>
    <x v="0"/>
    <s v="OK"/>
    <s v="Completed"/>
    <x v="0"/>
    <s v="OK"/>
    <s v="INVALID"/>
    <s v="MATCH"/>
    <s v="MATCH"/>
  </r>
  <r>
    <x v="788"/>
    <n v="1"/>
    <d v="2025-01-13T00:00:00"/>
    <d v="2025-01-13T00:00:00"/>
    <x v="9"/>
    <x v="1"/>
    <s v="2024-11-30"/>
    <d v="2024-11-30T00:00:00"/>
    <n v="-44"/>
    <s v="INVALID_SHIPPING"/>
    <s v="CUST-1197"/>
    <s v="Rahul Verma"/>
    <s v="Rahul Verma"/>
    <s v="Home Office"/>
    <x v="3"/>
    <s v="West"/>
    <x v="3"/>
    <s v="OK"/>
    <s v="Gujarat"/>
    <s v="Gujarat"/>
    <s v="Ahmedabad"/>
    <s v="Ahmedabad"/>
    <s v="Office Supplies"/>
    <x v="0"/>
    <s v="Art"/>
    <x v="2"/>
    <s v="Max Art 660"/>
    <s v="Standard Class"/>
    <x v="3"/>
    <s v="OK"/>
    <n v="3"/>
    <n v="2110.52"/>
    <n v="0.1"/>
    <n v="0.1"/>
    <s v="OK"/>
    <n v="5698.4"/>
    <n v="3640.89"/>
    <n v="2057.5100000000002"/>
    <n v="5698.4039999999995"/>
    <n v="2057.5139999999997"/>
    <x v="775"/>
    <s v="Failed"/>
    <x v="3"/>
    <s v="EXCLUDE_FROM_SALES"/>
    <s v="Cancelled"/>
    <x v="2"/>
    <s v="EXCLUDE_FROM_SALES"/>
    <s v="INVALID"/>
    <s v="MATCH"/>
    <s v="MATCH"/>
  </r>
  <r>
    <x v="789"/>
    <n v="1"/>
    <d v="2025-05-20T00:00:00"/>
    <d v="2025-05-20T00:00:00"/>
    <x v="3"/>
    <x v="1"/>
    <s v="04/05/2025"/>
    <d v="2025-04-05T00:00:00"/>
    <n v="-45"/>
    <s v="INVALID_SHIPPING"/>
    <s v="CUST-3912"/>
    <s v="Diya Patel"/>
    <s v="Diya Patel"/>
    <s v="Small Business"/>
    <x v="1"/>
    <s v="East"/>
    <x v="1"/>
    <s v="OK"/>
    <s v="Bihar"/>
    <s v="Bihar"/>
    <s v="Patna"/>
    <s v="Patna"/>
    <s v="Technology"/>
    <x v="2"/>
    <s v="Machines"/>
    <x v="12"/>
    <s v="Pro Machines 706"/>
    <s v="Standard Class"/>
    <x v="3"/>
    <s v="OK"/>
    <n v="1"/>
    <n v="3959.14"/>
    <n v="0"/>
    <n v="0"/>
    <s v="OK"/>
    <n v="3959.14"/>
    <n v="3239.53"/>
    <n v="719.61"/>
    <n v="3959.14"/>
    <n v="719.60999999999967"/>
    <x v="776"/>
    <s v="Pending"/>
    <x v="1"/>
    <s v="OK"/>
    <s v="Returned"/>
    <x v="1"/>
    <s v="RETURNED_ORDER"/>
    <s v="INVALID"/>
    <s v="MATCH"/>
    <s v="MATCH"/>
  </r>
  <r>
    <x v="790"/>
    <n v="1"/>
    <d v="2025-02-02T00:00:00"/>
    <d v="2025-02-02T00:00:00"/>
    <x v="11"/>
    <x v="1"/>
    <s v="05-10-2024"/>
    <d v="2024-05-10T00:00:00"/>
    <n v="-268"/>
    <s v="INVALID_SHIPPING"/>
    <s v="CUST-5604"/>
    <s v="Sneha Kapoor"/>
    <s v="Sneha Kapoor"/>
    <s v="Corporate"/>
    <x v="2"/>
    <s v="North"/>
    <x v="0"/>
    <s v="OK"/>
    <s v="Uttar Pradesh"/>
    <s v="Uttar Pradesh"/>
    <s v="Noida"/>
    <s v="Noida"/>
    <s v="Furniture"/>
    <x v="1"/>
    <s v="Tables"/>
    <x v="1"/>
    <s v="Smart Tables 835"/>
    <s v="Standard Class"/>
    <x v="3"/>
    <s v="OK"/>
    <n v="8"/>
    <n v="857.86"/>
    <n v="0.1"/>
    <n v="0.1"/>
    <s v="OK"/>
    <n v="6176.59"/>
    <n v="3560.96"/>
    <n v="2615.63"/>
    <n v="6176.5920000000006"/>
    <n v="2615.6320000000005"/>
    <x v="777"/>
    <s v="Paid"/>
    <x v="0"/>
    <s v="OK"/>
    <s v="Completed"/>
    <x v="0"/>
    <s v="OK"/>
    <s v="INVALID"/>
    <s v="MATCH"/>
    <s v="MATCH"/>
  </r>
  <r>
    <x v="791"/>
    <n v="1"/>
    <d v="2025-02-13T00:00:00"/>
    <d v="2025-02-13T00:00:00"/>
    <x v="11"/>
    <x v="1"/>
    <s v="31-07-2024"/>
    <d v="2024-07-31T00:00:00"/>
    <n v="-197"/>
    <s v="INVALID_SHIPPING"/>
    <s v="CUST-2807"/>
    <s v="Arjun Bose"/>
    <s v="Arjun Bose"/>
    <s v="Small Business"/>
    <x v="1"/>
    <s v="West"/>
    <x v="3"/>
    <s v="OK"/>
    <s v="Rajasthan"/>
    <s v="Rajasthan"/>
    <s v="Udaipur"/>
    <s v="Udaipur"/>
    <s v="Furniture"/>
    <x v="1"/>
    <s v="Bookcases"/>
    <x v="9"/>
    <s v="Classic Bookcases 488"/>
    <s v="Second Class"/>
    <x v="0"/>
    <s v="OK"/>
    <n v="4"/>
    <n v="4072.9"/>
    <n v="0.15"/>
    <n v="0.15"/>
    <s v="OK"/>
    <n v="13847.86"/>
    <n v="8471.7800000000007"/>
    <n v="5376.08"/>
    <n v="13847.86"/>
    <n v="5376.08"/>
    <x v="778"/>
    <s v="Paid"/>
    <x v="0"/>
    <s v="OK"/>
    <s v="Completed"/>
    <x v="0"/>
    <s v="OK"/>
    <s v="INVALID"/>
    <s v="MATCH"/>
    <s v="MATCH"/>
  </r>
  <r>
    <x v="792"/>
    <n v="1"/>
    <d v="2025-06-07T00:00:00"/>
    <d v="2025-06-07T00:00:00"/>
    <x v="8"/>
    <x v="1"/>
    <s v="10-02-2025"/>
    <d v="2025-10-02T00:00:00"/>
    <n v="117"/>
    <s v="OK"/>
    <s v="CUST-5061"/>
    <s v="Aarav Sharma"/>
    <s v="Aarav Sharma"/>
    <s v="Consumer"/>
    <x v="0"/>
    <s v="North"/>
    <x v="0"/>
    <s v="OK"/>
    <s v="Rajasthan"/>
    <s v="Rajasthan"/>
    <s v="Jaipur"/>
    <s v="Jaipur"/>
    <s v="Furniture"/>
    <x v="1"/>
    <s v="Furnishings"/>
    <x v="3"/>
    <s v="Eco Furnishings 217"/>
    <s v="Same Day"/>
    <x v="1"/>
    <s v="OK"/>
    <n v="3"/>
    <n v="963.26"/>
    <n v="0"/>
    <n v="0"/>
    <s v="OK"/>
    <n v="2889.78"/>
    <n v="1811.23"/>
    <n v="1078.55"/>
    <n v="2889.7799999999997"/>
    <n v="1078.5499999999997"/>
    <x v="779"/>
    <s v="Paid"/>
    <x v="0"/>
    <s v="OK"/>
    <s v="Completed"/>
    <x v="0"/>
    <s v="OK"/>
    <s v="CLEAN"/>
    <s v="MATCH"/>
    <s v="MATCH"/>
  </r>
  <r>
    <x v="793"/>
    <n v="2"/>
    <d v="2025-11-09T00:00:00"/>
    <d v="2025-11-09T00:00:00"/>
    <x v="2"/>
    <x v="1"/>
    <s v="06-07-2024"/>
    <d v="2024-06-07T00:00:00"/>
    <n v="-520"/>
    <s v="INVALID_SHIPPING"/>
    <s v="CUST-9212"/>
    <s v="Rahul Verma"/>
    <s v="Rahul Verma"/>
    <s v="Small Business"/>
    <x v="1"/>
    <s v="North"/>
    <x v="0"/>
    <s v="OK"/>
    <s v="Delhi"/>
    <s v="Delhi"/>
    <s v="New Delhi"/>
    <s v="New Delhi"/>
    <s v="Technology"/>
    <x v="2"/>
    <s v="Phones"/>
    <x v="8"/>
    <s v="Smart Phones 967"/>
    <s v="Same Day"/>
    <x v="1"/>
    <s v="OK"/>
    <n v="7"/>
    <n v="3411.21"/>
    <n v="0.15"/>
    <n v="0.15"/>
    <s v="OK"/>
    <n v="20296.7"/>
    <n v="14920.87"/>
    <n v="5375.83"/>
    <n v="20296.699499999999"/>
    <n v="5375.829499999998"/>
    <x v="780"/>
    <s v="Paid"/>
    <x v="0"/>
    <s v="OK"/>
    <s v="Completed"/>
    <x v="0"/>
    <s v="OK"/>
    <s v="INVALID"/>
    <s v="MATCH"/>
    <s v="MATCH"/>
  </r>
  <r>
    <x v="793"/>
    <n v="2"/>
    <d v="2025-11-09T00:00:00"/>
    <d v="2025-11-09T00:00:00"/>
    <x v="2"/>
    <x v="1"/>
    <s v="08 Oct 2024"/>
    <d v="2024-10-08T00:00:00"/>
    <n v="-397"/>
    <s v="INVALID_SHIPPING"/>
    <s v="CUST-9212"/>
    <s v="Rahul Verma"/>
    <s v="Rahul Verma"/>
    <s v="Small Business"/>
    <x v="1"/>
    <s v="North"/>
    <x v="0"/>
    <s v="OK"/>
    <s v="Delhi"/>
    <s v="Delhi"/>
    <s v="New Delhi"/>
    <s v="New Delhi"/>
    <s v="Technology"/>
    <x v="2"/>
    <s v="Phones"/>
    <x v="8"/>
    <s v="Smart Phones 967"/>
    <s v="Same Day"/>
    <x v="1"/>
    <s v="OK"/>
    <n v="7"/>
    <n v="3411.21"/>
    <n v="0.15"/>
    <n v="0.15"/>
    <s v="OK"/>
    <n v="20296.7"/>
    <n v="14920.87"/>
    <n v="5375.83"/>
    <n v="20296.699499999999"/>
    <n v="5375.829499999998"/>
    <x v="780"/>
    <s v="Paid"/>
    <x v="0"/>
    <s v="OK"/>
    <s v="Completed"/>
    <x v="0"/>
    <s v="OK"/>
    <s v="INVALID"/>
    <s v="MATCH"/>
    <s v="MATCH"/>
  </r>
  <r>
    <x v="794"/>
    <n v="1"/>
    <d v="2025-08-16T00:00:00"/>
    <d v="2025-08-16T00:00:00"/>
    <x v="1"/>
    <x v="1"/>
    <s v="12 Jan 2025"/>
    <d v="2025-01-12T00:00:00"/>
    <n v="-216"/>
    <s v="INVALID_SHIPPING"/>
    <s v="CUST-2897"/>
    <s v="Rohan Mehta"/>
    <s v="Rohan Mehta"/>
    <s v="Corporate"/>
    <x v="2"/>
    <s v="North"/>
    <x v="0"/>
    <s v="OK"/>
    <s v="Punjab"/>
    <s v="Punjab"/>
    <s v="Ludhiana"/>
    <s v="Ludhiana"/>
    <s v="Technology"/>
    <x v="2"/>
    <s v="Copiers"/>
    <x v="6"/>
    <s v="Smart Copiers 579"/>
    <s v="Same Day"/>
    <x v="1"/>
    <s v="OK"/>
    <n v="4"/>
    <n v="1410.57"/>
    <n v="0.7"/>
    <n v="0.7"/>
    <s v="OK"/>
    <n v="5360.17"/>
    <n v="3881.51"/>
    <n v="1478.66"/>
    <n v="1692.6840000000002"/>
    <n v="-2188.826"/>
    <x v="781"/>
    <s v="Refunded"/>
    <x v="2"/>
    <s v="REFUNDED_PAYMENT"/>
    <s v="Cancelled"/>
    <x v="2"/>
    <s v="EXCLUDE_FROM_SALES"/>
    <s v="INVALID"/>
    <s v="MISMATCH"/>
    <s v="MISMATCH"/>
  </r>
  <r>
    <x v="795"/>
    <n v="1"/>
    <d v="2025-05-02T00:00:00"/>
    <d v="2025-05-02T00:00:00"/>
    <x v="3"/>
    <x v="1"/>
    <s v="22 Mar 2025"/>
    <d v="2025-03-22T00:00:00"/>
    <n v="-41"/>
    <s v="INVALID_SHIPPING"/>
    <s v="CUST-1553"/>
    <s v="Ananya Rao"/>
    <s v="Ananya Rao"/>
    <s v="Corporate"/>
    <x v="2"/>
    <s v="North"/>
    <x v="0"/>
    <s v="OK"/>
    <s v="Haryana"/>
    <s v="Haryana"/>
    <s v="Gurugram"/>
    <s v="Gurugram"/>
    <s v="Office Supplies"/>
    <x v="0"/>
    <s v="Storage"/>
    <x v="7"/>
    <s v="Eco Storage 861"/>
    <s v="Same Day"/>
    <x v="1"/>
    <s v="OK"/>
    <n v="3"/>
    <n v="2590.7800000000002"/>
    <m/>
    <n v="0"/>
    <s v="Missing Discount"/>
    <n v="7383.72"/>
    <n v="4113.66"/>
    <n v="3270.06"/>
    <n v="7772.34"/>
    <n v="3658.6800000000003"/>
    <x v="782"/>
    <s v="Paid"/>
    <x v="0"/>
    <s v="OK"/>
    <s v="Completed"/>
    <x v="0"/>
    <s v="OK"/>
    <s v="INVALID"/>
    <s v="MISMATCH"/>
    <s v="MISMATCH"/>
  </r>
  <r>
    <x v="796"/>
    <n v="1"/>
    <d v="2025-07-20T00:00:00"/>
    <d v="2025-07-20T00:00:00"/>
    <x v="0"/>
    <x v="1"/>
    <s v="17-04-2025"/>
    <d v="2025-04-17T00:00:00"/>
    <n v="-94"/>
    <s v="INVALID_SHIPPING"/>
    <s v="CUST-5704"/>
    <s v="Arjun Bose"/>
    <s v="Arjun Bose"/>
    <s v="Small Business"/>
    <x v="1"/>
    <s v="South"/>
    <x v="2"/>
    <s v="OK"/>
    <s v="Telangana"/>
    <s v="Telangana"/>
    <s v="Hyderabad"/>
    <s v="Hyderabad"/>
    <s v="Furniture"/>
    <x v="1"/>
    <s v="Furnishings"/>
    <x v="3"/>
    <s v="Eco Furnishings 875"/>
    <s v="Second Class"/>
    <x v="0"/>
    <s v="OK"/>
    <n v="6"/>
    <n v="1646.45"/>
    <n v="0.2"/>
    <n v="0.2"/>
    <s v="OK"/>
    <n v="7902.96"/>
    <n v="5512.03"/>
    <n v="2390.9299999999998"/>
    <n v="7902.9600000000009"/>
    <n v="2390.9300000000012"/>
    <x v="783"/>
    <s v="Refunded"/>
    <x v="2"/>
    <s v="REFUNDED_PAYMENT"/>
    <s v="Cancelled"/>
    <x v="2"/>
    <s v="EXCLUDE_FROM_SALES"/>
    <s v="INVALID"/>
    <s v="MATCH"/>
    <s v="MATCH"/>
  </r>
  <r>
    <x v="797"/>
    <n v="1"/>
    <d v="2025-07-21T00:00:00"/>
    <d v="2025-07-21T00:00:00"/>
    <x v="0"/>
    <x v="1"/>
    <s v="14 Aug 2025"/>
    <d v="2025-08-14T00:00:00"/>
    <n v="24"/>
    <s v="OK"/>
    <s v="CUST-6738"/>
    <s v="Isha Nair"/>
    <s v="Isha Nair"/>
    <s v="Home Office"/>
    <x v="3"/>
    <s v="South"/>
    <x v="2"/>
    <s v="OK"/>
    <s v="Tamil Nadu"/>
    <s v="Tamil Nadu"/>
    <s v="Chennai"/>
    <s v="Chennai"/>
    <s v="Furniture"/>
    <x v="1"/>
    <s v="Bookcases"/>
    <x v="9"/>
    <s v="Prime Bookcases 784"/>
    <s v="First Class"/>
    <x v="2"/>
    <s v="OK"/>
    <n v="7"/>
    <n v="4396.6499999999996"/>
    <n v="0.2"/>
    <n v="0.2"/>
    <s v="OK"/>
    <n v="24621.24"/>
    <n v="17155.48"/>
    <n v="7465.76"/>
    <n v="24621.239999999998"/>
    <n v="7465.7599999999984"/>
    <x v="784"/>
    <s v="Refunded"/>
    <x v="2"/>
    <s v="REFUNDED_PAYMENT"/>
    <s v="Cancelled"/>
    <x v="2"/>
    <s v="EXCLUDE_FROM_SALES"/>
    <s v="CLEAN"/>
    <s v="MATCH"/>
    <s v="MATCH"/>
  </r>
  <r>
    <x v="798"/>
    <n v="1"/>
    <d v="2025-01-10T00:00:00"/>
    <d v="2025-01-10T00:00:00"/>
    <x v="9"/>
    <x v="1"/>
    <s v="01-12-2024"/>
    <d v="2024-01-12T00:00:00"/>
    <n v="-364"/>
    <s v="INVALID_SHIPPING"/>
    <s v="CUST-2586"/>
    <s v="Neha Gupta"/>
    <s v="Neha Gupta"/>
    <s v="Corporate"/>
    <x v="2"/>
    <s v="West"/>
    <x v="3"/>
    <s v="OK"/>
    <s v="Goa"/>
    <s v="Goa"/>
    <s v="Panaji"/>
    <s v="Panaji"/>
    <s v="Office Supplies"/>
    <x v="0"/>
    <s v="Art"/>
    <x v="2"/>
    <s v="Classic Art 380"/>
    <s v="Standard Class"/>
    <x v="3"/>
    <s v="OK"/>
    <n v="9"/>
    <n v="818.15"/>
    <n v="0.55000000000000004"/>
    <n v="0.55000000000000004"/>
    <s v="OK"/>
    <n v="6627.01"/>
    <n v="5606.79"/>
    <n v="1020.22"/>
    <n v="3313.5074999999993"/>
    <n v="-2293.2825000000007"/>
    <x v="785"/>
    <s v="Failed"/>
    <x v="3"/>
    <s v="EXCLUDE_FROM_SALES"/>
    <s v="Cancelled"/>
    <x v="2"/>
    <s v="EXCLUDE_FROM_SALES"/>
    <s v="INVALID"/>
    <s v="MISMATCH"/>
    <s v="MISMATCH"/>
  </r>
  <r>
    <x v="799"/>
    <n v="1"/>
    <d v="2025-08-10T00:00:00"/>
    <d v="2025-08-10T00:00:00"/>
    <x v="1"/>
    <x v="1"/>
    <s v="11-10-2025"/>
    <d v="2025-11-10T00:00:00"/>
    <n v="92"/>
    <s v="OK"/>
    <s v="CUST-9347"/>
    <s v="Mira Das"/>
    <s v="Mira Das"/>
    <s v="Home Office"/>
    <x v="3"/>
    <s v="North"/>
    <x v="0"/>
    <s v="OK"/>
    <s v="Punjab"/>
    <s v="Punjab"/>
    <s v="Ludhiana"/>
    <s v="Ludhiana"/>
    <s v="Furniture"/>
    <x v="1"/>
    <s v="Tables"/>
    <x v="1"/>
    <s v="Prime Tables 604"/>
    <s v="First Class"/>
    <x v="2"/>
    <s v="OK"/>
    <n v="4"/>
    <n v="172.05"/>
    <n v="0"/>
    <n v="0"/>
    <s v="OK"/>
    <n v="688.2"/>
    <n v="497.68"/>
    <n v="190.52"/>
    <n v="688.2"/>
    <n v="190.52000000000004"/>
    <x v="786"/>
    <s v="Failed"/>
    <x v="3"/>
    <s v="EXCLUDE_FROM_SALES"/>
    <s v="Cancelled"/>
    <x v="2"/>
    <s v="EXCLUDE_FROM_SALES"/>
    <s v="CLEAN"/>
    <s v="MATCH"/>
    <s v="MATCH"/>
  </r>
  <r>
    <x v="800"/>
    <n v="1"/>
    <d v="2025-02-26T00:00:00"/>
    <d v="2025-02-26T00:00:00"/>
    <x v="11"/>
    <x v="1"/>
    <s v="28-02-2024"/>
    <d v="2024-02-28T00:00:00"/>
    <n v="-364"/>
    <s v="INVALID_SHIPPING"/>
    <s v="CUST-8575"/>
    <s v="Neha Gupta"/>
    <s v="Neha Gupta"/>
    <s v="Home Office"/>
    <x v="3"/>
    <s v="North"/>
    <x v="0"/>
    <s v="OK"/>
    <s v="Haryana"/>
    <s v="Haryana"/>
    <s v="Gurugram"/>
    <s v="Gurugram"/>
    <s v="Office Supplies"/>
    <x v="0"/>
    <s v="Art"/>
    <x v="2"/>
    <s v="Basic Art 798"/>
    <s v="Second Class"/>
    <x v="0"/>
    <s v="OK"/>
    <n v="6"/>
    <n v="3037.66"/>
    <n v="0.15"/>
    <n v="0.15"/>
    <s v="OK"/>
    <n v="15492.07"/>
    <n v="12581.23"/>
    <n v="2910.84"/>
    <n v="15492.065999999999"/>
    <n v="2910.8359999999993"/>
    <x v="787"/>
    <s v="Paid"/>
    <x v="0"/>
    <s v="OK"/>
    <s v="Completed"/>
    <x v="0"/>
    <s v="OK"/>
    <s v="INVALID"/>
    <s v="MATCH"/>
    <s v="MATCH"/>
  </r>
  <r>
    <x v="801"/>
    <n v="1"/>
    <d v="2025-10-05T00:00:00"/>
    <d v="2025-10-05T00:00:00"/>
    <x v="7"/>
    <x v="1"/>
    <s v="18-07-2025"/>
    <d v="2025-07-18T00:00:00"/>
    <n v="-79"/>
    <s v="INVALID_SHIPPING"/>
    <s v="CUST-9531"/>
    <s v="Isha Nair"/>
    <s v="Isha Nair"/>
    <s v="Corporate"/>
    <x v="2"/>
    <s v="South"/>
    <x v="2"/>
    <s v="OK"/>
    <s v="Karnataka"/>
    <s v="Karnataka"/>
    <s v="Bengaluru"/>
    <s v="Bengaluru"/>
    <s v="Furniture"/>
    <x v="1"/>
    <s v="Furnishings"/>
    <x v="3"/>
    <s v="Prime Furnishings 883"/>
    <s v="Second Class"/>
    <x v="0"/>
    <s v="OK"/>
    <n v="4"/>
    <n v="2365.6799999999998"/>
    <n v="0.1"/>
    <n v="0.1"/>
    <s v="OK"/>
    <n v="8516.4500000000007"/>
    <n v="5903.81"/>
    <n v="2612.64"/>
    <n v="8516.4480000000003"/>
    <n v="2612.6379999999999"/>
    <x v="788"/>
    <s v="Paid"/>
    <x v="0"/>
    <s v="OK"/>
    <s v="Completed"/>
    <x v="0"/>
    <s v="OK"/>
    <s v="INVALID"/>
    <s v="MATCH"/>
    <s v="MATCH"/>
  </r>
  <r>
    <x v="802"/>
    <n v="1"/>
    <d v="2025-04-03T00:00:00"/>
    <d v="2025-04-03T00:00:00"/>
    <x v="6"/>
    <x v="1"/>
    <s v="03-04-2025"/>
    <d v="2025-03-04T00:00:00"/>
    <n v="-30"/>
    <s v="INVALID_SHIPPING"/>
    <s v="CUST-6032"/>
    <s v="Arjun Bose"/>
    <s v="Arjun Bose"/>
    <s v="Consumer"/>
    <x v="0"/>
    <s v="South"/>
    <x v="2"/>
    <s v="OK"/>
    <s v="Tamil Nadu"/>
    <s v="Tamil Nadu"/>
    <s v="Chennai"/>
    <s v="Chennai"/>
    <s v="Furniture"/>
    <x v="1"/>
    <s v="Bookcases"/>
    <x v="9"/>
    <s v="Smart Bookcases 828"/>
    <s v="Second Class"/>
    <x v="0"/>
    <s v="OK"/>
    <n v="3"/>
    <n v="4149.7700000000004"/>
    <n v="0.05"/>
    <n v="0.05"/>
    <s v="OK"/>
    <n v="11826.84"/>
    <n v="8035.96"/>
    <n v="3790.88"/>
    <n v="11826.844500000001"/>
    <n v="3790.884500000001"/>
    <x v="789"/>
    <s v="Paid"/>
    <x v="0"/>
    <s v="OK"/>
    <s v="Completed"/>
    <x v="0"/>
    <s v="OK"/>
    <s v="INVALID"/>
    <s v="MATCH"/>
    <s v="MATCH"/>
  </r>
  <r>
    <x v="803"/>
    <n v="2"/>
    <d v="2025-08-01T00:00:00"/>
    <d v="2025-08-01T00:00:00"/>
    <x v="1"/>
    <x v="1"/>
    <s v="28-05-2025"/>
    <d v="2025-05-28T00:00:00"/>
    <n v="-65"/>
    <s v="INVALID_SHIPPING"/>
    <s v="CUST-8025"/>
    <s v="Isha Nair"/>
    <s v="Isha Nair"/>
    <s v="Consumer"/>
    <x v="0"/>
    <s v="South"/>
    <x v="2"/>
    <s v="OK"/>
    <s v="Andhra Pradesh"/>
    <s v="Andhra Pradesh"/>
    <s v="Vijayawada"/>
    <s v="Vijayawada"/>
    <s v="Office Supplies"/>
    <x v="0"/>
    <s v="Storage"/>
    <x v="7"/>
    <s v="Classic Storage 291"/>
    <s v="First Class"/>
    <x v="2"/>
    <s v="OK"/>
    <n v="5"/>
    <n v="2736.24"/>
    <n v="0.15"/>
    <n v="0.15"/>
    <s v="OK"/>
    <n v="11629.02"/>
    <n v="9627.2099999999991"/>
    <n v="2001.81"/>
    <n v="11629.019999999999"/>
    <n v="2001.8099999999995"/>
    <x v="790"/>
    <s v="Paid"/>
    <x v="0"/>
    <s v="OK"/>
    <s v="Completed"/>
    <x v="0"/>
    <s v="OK"/>
    <s v="INVALID"/>
    <s v="MATCH"/>
    <s v="MATCH"/>
  </r>
  <r>
    <x v="803"/>
    <n v="2"/>
    <d v="2025-08-01T00:00:00"/>
    <d v="2025-08-01T00:00:00"/>
    <x v="1"/>
    <x v="1"/>
    <s v="06/04/2024"/>
    <d v="2024-06-04T00:00:00"/>
    <n v="-423"/>
    <s v="INVALID_SHIPPING"/>
    <s v="CUST-8025"/>
    <s v="Isha Nair"/>
    <s v="Isha Nair"/>
    <s v="Consumer"/>
    <x v="0"/>
    <s v="South"/>
    <x v="2"/>
    <s v="OK"/>
    <s v="Andhra Pradesh"/>
    <s v="Andhra Pradesh"/>
    <s v="Vijayawada"/>
    <s v="Vijayawada"/>
    <s v="Office Supplies"/>
    <x v="0"/>
    <s v="Storage"/>
    <x v="7"/>
    <s v="Classic Storage 291"/>
    <s v="First Class"/>
    <x v="2"/>
    <s v="OK"/>
    <n v="5"/>
    <n v="2736.24"/>
    <n v="0.15"/>
    <n v="0.15"/>
    <s v="OK"/>
    <n v="11629.02"/>
    <n v="9627.2099999999991"/>
    <n v="2001.81"/>
    <n v="11629.019999999999"/>
    <n v="2001.8099999999995"/>
    <x v="790"/>
    <s v="Paid"/>
    <x v="0"/>
    <s v="OK"/>
    <s v="Completed"/>
    <x v="0"/>
    <s v="OK"/>
    <s v="INVALID"/>
    <s v="MATCH"/>
    <s v="MATCH"/>
  </r>
  <r>
    <x v="804"/>
    <n v="1"/>
    <d v="2025-09-22T00:00:00"/>
    <d v="2025-09-22T00:00:00"/>
    <x v="5"/>
    <x v="1"/>
    <s v="2024-10-22"/>
    <d v="2024-10-22T00:00:00"/>
    <n v="-335"/>
    <s v="INVALID_SHIPPING"/>
    <s v="CUST-7812"/>
    <s v="Isha Nair"/>
    <s v="Isha Nair"/>
    <s v="Small Business"/>
    <x v="1"/>
    <s v="South"/>
    <x v="2"/>
    <s v="OK"/>
    <s v="Kerala"/>
    <s v="Kerala"/>
    <s v="Kochi"/>
    <s v="Kochi"/>
    <s v="Technology"/>
    <x v="2"/>
    <s v="Phones"/>
    <x v="8"/>
    <s v="Classic Phones 842"/>
    <m/>
    <x v="4"/>
    <s v="MISSING_SHIP_MODE"/>
    <n v="4"/>
    <n v="1178.8399999999999"/>
    <n v="0.25"/>
    <n v="0.25"/>
    <s v="OK"/>
    <n v="3536.52"/>
    <n v="2102.41"/>
    <n v="1363.28"/>
    <n v="3536.5199999999995"/>
    <n v="1434.1099999999997"/>
    <x v="791"/>
    <s v="Paid"/>
    <x v="0"/>
    <s v="OK"/>
    <s v="Completed"/>
    <x v="0"/>
    <s v="OK"/>
    <s v="INVALID"/>
    <s v="MATCH"/>
    <s v="MISMATCH"/>
  </r>
  <r>
    <x v="805"/>
    <n v="1"/>
    <d v="2025-01-03T00:00:00"/>
    <d v="2025-01-03T00:00:00"/>
    <x v="9"/>
    <x v="1"/>
    <s v="04-10-2025"/>
    <d v="2025-04-10T00:00:00"/>
    <n v="97"/>
    <s v="OK"/>
    <s v="CUST-6205"/>
    <s v="Arjun Bose"/>
    <s v="Arjun Bose"/>
    <s v="Corporate"/>
    <x v="2"/>
    <s v="South"/>
    <x v="2"/>
    <s v="OK"/>
    <s v="Andhra Pradesh"/>
    <s v="Andhra Pradesh"/>
    <s v="Vijayawada"/>
    <s v="Vijayawada"/>
    <s v="Office Supplies"/>
    <x v="0"/>
    <s v="Labels"/>
    <x v="5"/>
    <s v="Max Labels 970"/>
    <s v="First Class"/>
    <x v="2"/>
    <s v="OK"/>
    <n v="7"/>
    <n v="567.15"/>
    <m/>
    <n v="0"/>
    <s v="Missing Discount"/>
    <n v="2977.54"/>
    <n v="1849.3"/>
    <n v="1128.24"/>
    <n v="3970.0499999999997"/>
    <n v="2120.75"/>
    <x v="792"/>
    <s v="Refunded"/>
    <x v="2"/>
    <s v="REFUNDED_PAYMENT"/>
    <s v="Returned"/>
    <x v="1"/>
    <s v="RETURNED_ORDER"/>
    <s v="INVALID"/>
    <s v="MISMATCH"/>
    <s v="MISMATCH"/>
  </r>
  <r>
    <x v="806"/>
    <n v="1"/>
    <d v="2025-02-02T00:00:00"/>
    <d v="2025-02-02T00:00:00"/>
    <x v="11"/>
    <x v="1"/>
    <s v="2024-12-18"/>
    <d v="2024-12-18T00:00:00"/>
    <n v="-46"/>
    <s v="INVALID_SHIPPING"/>
    <s v="CUST-5231"/>
    <s v="Karan Malhotra"/>
    <s v="Karan Malhotra"/>
    <s v="Small Business"/>
    <x v="1"/>
    <s v="West"/>
    <x v="3"/>
    <s v="OK"/>
    <s v="Rajasthan"/>
    <s v="Rajasthan"/>
    <s v="Udaipur"/>
    <s v="Udaipur"/>
    <s v="Furniture"/>
    <x v="1"/>
    <s v="Tables"/>
    <x v="1"/>
    <s v="Pro Tables 980"/>
    <s v="Second Class"/>
    <x v="0"/>
    <s v="OK"/>
    <n v="3"/>
    <n v="997.34"/>
    <n v="0.1"/>
    <n v="0.1"/>
    <s v="OK"/>
    <n v="2692.82"/>
    <n v="1820.08"/>
    <n v="872.74"/>
    <n v="2692.8180000000002"/>
    <n v="872.73800000000028"/>
    <x v="793"/>
    <s v="Paid"/>
    <x v="0"/>
    <s v="OK"/>
    <s v="Completed"/>
    <x v="0"/>
    <s v="OK"/>
    <s v="INVALID"/>
    <s v="MATCH"/>
    <s v="MATCH"/>
  </r>
  <r>
    <x v="807"/>
    <n v="1"/>
    <d v="2025-06-24T00:00:00"/>
    <d v="2025-06-24T00:00:00"/>
    <x v="8"/>
    <x v="1"/>
    <s v="09/28/2025"/>
    <d v="2025-09-28T00:00:00"/>
    <n v="96"/>
    <s v="OK"/>
    <s v="CUST-4902"/>
    <s v="Vikram Iyer"/>
    <s v="Vikram Iyer"/>
    <s v="Consumer"/>
    <x v="0"/>
    <s v="North"/>
    <x v="0"/>
    <s v="OK"/>
    <s v="Rajasthan"/>
    <s v="Rajasthan"/>
    <s v="Jaipur"/>
    <s v="Jaipur"/>
    <s v="Technology"/>
    <x v="2"/>
    <s v="Accessories"/>
    <x v="4"/>
    <s v="Pro Accessories 485"/>
    <s v="Same Day"/>
    <x v="1"/>
    <s v="OK"/>
    <n v="5"/>
    <n v="3722.66"/>
    <n v="0.55000000000000004"/>
    <n v="0.55000000000000004"/>
    <s v="OK"/>
    <n v="16751.97"/>
    <n v="11678.32"/>
    <n v="5073.6499999999996"/>
    <n v="8375.9849999999988"/>
    <n v="-3302.3350000000009"/>
    <x v="794"/>
    <s v="Paid"/>
    <x v="0"/>
    <s v="OK"/>
    <s v="Completed"/>
    <x v="0"/>
    <s v="OK"/>
    <s v="CLEAN"/>
    <s v="MISMATCH"/>
    <s v="MISMATCH"/>
  </r>
  <r>
    <x v="808"/>
    <n v="1"/>
    <d v="2025-03-20T00:00:00"/>
    <d v="2025-03-20T00:00:00"/>
    <x v="10"/>
    <x v="1"/>
    <s v="07 Apr 2025"/>
    <d v="2025-04-07T00:00:00"/>
    <n v="18"/>
    <s v="OK"/>
    <s v="CUST-6504"/>
    <s v="Sneha Kapoor"/>
    <s v="Sneha Kapoor"/>
    <s v="Consumer"/>
    <x v="0"/>
    <s v="East"/>
    <x v="1"/>
    <s v="OK"/>
    <s v="Assam"/>
    <s v="Assam"/>
    <s v="Guwahati"/>
    <s v="Guwahati"/>
    <s v="Furniture"/>
    <x v="1"/>
    <s v="Bookcases"/>
    <x v="9"/>
    <s v="Elite Bookcases 113"/>
    <s v="First Class"/>
    <x v="2"/>
    <s v="OK"/>
    <n v="4"/>
    <n v="4357.66"/>
    <n v="0.05"/>
    <n v="0.05"/>
    <s v="OK"/>
    <n v="16559.11"/>
    <n v="13233.79"/>
    <n v="3325.32"/>
    <n v="16559.108"/>
    <n v="3325.3179999999993"/>
    <x v="795"/>
    <s v="Paid"/>
    <x v="0"/>
    <s v="OK"/>
    <s v="Completed"/>
    <x v="0"/>
    <s v="OK"/>
    <s v="CLEAN"/>
    <s v="MATCH"/>
    <s v="MATCH"/>
  </r>
  <r>
    <x v="809"/>
    <n v="1"/>
    <d v="2025-01-19T00:00:00"/>
    <d v="2025-01-19T00:00:00"/>
    <x v="9"/>
    <x v="1"/>
    <s v="22-09-2024"/>
    <d v="2024-09-22T00:00:00"/>
    <n v="-119"/>
    <s v="INVALID_SHIPPING"/>
    <s v="CUST-8036"/>
    <s v="Kabir Singh"/>
    <s v="Kabir Singh"/>
    <s v="Home Office"/>
    <x v="3"/>
    <s v="North"/>
    <x v="0"/>
    <s v="OK"/>
    <s v="Punjab"/>
    <s v="Punjab"/>
    <s v="Ludhiana"/>
    <s v="Ludhiana"/>
    <s v="Technology"/>
    <x v="2"/>
    <s v="Phones"/>
    <x v="8"/>
    <s v="Eco Phones 787"/>
    <s v="Same Day"/>
    <x v="1"/>
    <s v="OK"/>
    <n v="7"/>
    <n v="1363.04"/>
    <n v="0.15"/>
    <n v="0.15"/>
    <s v="OK"/>
    <n v="8110.09"/>
    <n v="6417.32"/>
    <n v="1692.77"/>
    <n v="8110.0879999999988"/>
    <n v="1692.7679999999991"/>
    <x v="796"/>
    <s v="Paid"/>
    <x v="0"/>
    <s v="OK"/>
    <s v="Cancelled"/>
    <x v="2"/>
    <s v="EXCLUDE_FROM_SALES"/>
    <s v="INVALID"/>
    <s v="MATCH"/>
    <s v="MATCH"/>
  </r>
  <r>
    <x v="810"/>
    <n v="1"/>
    <d v="2025-02-02T00:00:00"/>
    <d v="2025-02-02T00:00:00"/>
    <x v="11"/>
    <x v="1"/>
    <s v="19-09-2025"/>
    <d v="2025-09-19T00:00:00"/>
    <n v="229"/>
    <s v="OK"/>
    <s v="CUST-6176"/>
    <s v="Kabir Singh"/>
    <s v="Kabir Singh"/>
    <s v="Corporate"/>
    <x v="2"/>
    <s v="East"/>
    <x v="1"/>
    <s v="OK"/>
    <s v="West Bengal"/>
    <s v="West Bengal"/>
    <s v="Kolkata"/>
    <s v="Kolkata"/>
    <s v="Technology"/>
    <x v="2"/>
    <s v="Machines"/>
    <x v="12"/>
    <s v="Basic Machines 172"/>
    <s v="First Class"/>
    <x v="2"/>
    <s v="OK"/>
    <n v="1"/>
    <n v="4326.75"/>
    <n v="0.05"/>
    <n v="0.05"/>
    <s v="OK"/>
    <n v="4110.41"/>
    <n v="2394.14"/>
    <n v="1716.27"/>
    <n v="4110.4124999999995"/>
    <n v="1716.2724999999996"/>
    <x v="797"/>
    <s v="Pending"/>
    <x v="1"/>
    <s v="OK"/>
    <s v="Returned"/>
    <x v="1"/>
    <s v="RETURNED_ORDER"/>
    <s v="CLEAN"/>
    <s v="MATCH"/>
    <s v="MATCH"/>
  </r>
  <r>
    <x v="811"/>
    <n v="1"/>
    <d v="2025-06-06T00:00:00"/>
    <d v="2025-06-06T00:00:00"/>
    <x v="8"/>
    <x v="1"/>
    <s v="12 Feb 2025"/>
    <d v="2025-02-12T00:00:00"/>
    <n v="-114"/>
    <s v="INVALID_SHIPPING"/>
    <s v="CUST-2548"/>
    <s v="Mira Das"/>
    <s v="Mira Das"/>
    <s v="Consumer"/>
    <x v="0"/>
    <s v="West"/>
    <x v="3"/>
    <s v="OK"/>
    <s v="Rajasthan"/>
    <s v="Rajasthan"/>
    <s v="Udaipur"/>
    <s v="Udaipur"/>
    <s v="Technology"/>
    <x v="2"/>
    <s v="Machines"/>
    <x v="12"/>
    <s v="Pro Machines 987"/>
    <s v="Second Class"/>
    <x v="0"/>
    <s v="OK"/>
    <n v="1"/>
    <n v="289.97000000000003"/>
    <n v="0.25"/>
    <n v="0.25"/>
    <s v="OK"/>
    <n v="217.48"/>
    <n v="132.13"/>
    <n v="85.35"/>
    <n v="217.47750000000002"/>
    <n v="85.347500000000025"/>
    <x v="798"/>
    <s v="Paid"/>
    <x v="0"/>
    <s v="OK"/>
    <s v="Completed"/>
    <x v="0"/>
    <s v="OK"/>
    <s v="INVALID"/>
    <s v="MATCH"/>
    <s v="MATCH"/>
  </r>
  <r>
    <x v="812"/>
    <n v="1"/>
    <d v="2025-03-22T00:00:00"/>
    <d v="2025-03-22T00:00:00"/>
    <x v="10"/>
    <x v="1"/>
    <s v="03/30/2024"/>
    <d v="2024-03-30T00:00:00"/>
    <n v="-357"/>
    <s v="INVALID_SHIPPING"/>
    <s v="CUST-9902"/>
    <s v="Karan Malhotra"/>
    <s v="Karan Malhotra"/>
    <s v="Home Office"/>
    <x v="3"/>
    <s v="North"/>
    <x v="0"/>
    <s v="OK"/>
    <s v="Delhi"/>
    <s v="Delhi"/>
    <s v="New Delhi"/>
    <s v="New Delhi"/>
    <s v="Technology"/>
    <x v="2"/>
    <s v="Copiers"/>
    <x v="6"/>
    <s v="Pro Copiers 206"/>
    <s v="Standard Class"/>
    <x v="3"/>
    <s v="OK"/>
    <n v="9"/>
    <n v="2075.02"/>
    <n v="0"/>
    <n v="0"/>
    <s v="OK"/>
    <n v="18675.18"/>
    <n v="13974.7"/>
    <n v="4700.4799999999996"/>
    <n v="18675.18"/>
    <n v="4700.4799999999996"/>
    <x v="799"/>
    <s v="Paid"/>
    <x v="0"/>
    <s v="OK"/>
    <s v="Completed"/>
    <x v="0"/>
    <s v="OK"/>
    <s v="INVALID"/>
    <s v="MATCH"/>
    <s v="MATCH"/>
  </r>
  <r>
    <x v="813"/>
    <n v="1"/>
    <d v="2025-08-22T00:00:00"/>
    <d v="2025-08-22T00:00:00"/>
    <x v="1"/>
    <x v="1"/>
    <s v="25 Jul 2025"/>
    <d v="2025-07-25T00:00:00"/>
    <n v="-28"/>
    <s v="INVALID_SHIPPING"/>
    <s v="CUST-7446"/>
    <s v="Priya Menon"/>
    <s v="Priya Menon"/>
    <s v="Consumer"/>
    <x v="0"/>
    <s v="North"/>
    <x v="0"/>
    <s v="OK"/>
    <s v="Haryana"/>
    <s v="Haryana"/>
    <s v="Gurugram"/>
    <s v="Gurugram"/>
    <s v="Furniture"/>
    <x v="1"/>
    <s v="Chairs"/>
    <x v="10"/>
    <s v="Max Chairs 372"/>
    <s v="Second Class"/>
    <x v="0"/>
    <s v="OK"/>
    <n v="7"/>
    <n v="2843.09"/>
    <n v="0"/>
    <n v="0"/>
    <s v="OK"/>
    <n v="19901.63"/>
    <n v="15492.03"/>
    <n v="4409.6000000000004"/>
    <n v="19901.63"/>
    <n v="4409.6000000000004"/>
    <x v="800"/>
    <s v="Refunded"/>
    <x v="2"/>
    <s v="REFUNDED_PAYMENT"/>
    <s v="Cancelled"/>
    <x v="2"/>
    <s v="EXCLUDE_FROM_SALES"/>
    <s v="INVALID"/>
    <s v="MATCH"/>
    <s v="MATCH"/>
  </r>
  <r>
    <x v="814"/>
    <n v="1"/>
    <d v="2025-08-26T00:00:00"/>
    <d v="2025-08-26T00:00:00"/>
    <x v="1"/>
    <x v="1"/>
    <s v="25-01-2025"/>
    <d v="2025-01-25T00:00:00"/>
    <n v="-213"/>
    <s v="INVALID_SHIPPING"/>
    <s v="CUST-7540"/>
    <s v="Diya Patel"/>
    <s v="Diya Patel"/>
    <s v="Small Business"/>
    <x v="1"/>
    <s v="North"/>
    <x v="0"/>
    <s v="OK"/>
    <s v="Haryana"/>
    <s v="Haryana"/>
    <s v="Gurugram"/>
    <s v="Gurugram"/>
    <s v="Technology"/>
    <x v="2"/>
    <s v="Phones"/>
    <x v="8"/>
    <s v="Basic Phones 496"/>
    <s v="First Class"/>
    <x v="2"/>
    <s v="OK"/>
    <n v="1"/>
    <n v="3388.02"/>
    <n v="0.15"/>
    <n v="0.15"/>
    <s v="OK"/>
    <n v="2879.82"/>
    <n v="1824.88"/>
    <n v="1054.94"/>
    <n v="2879.817"/>
    <n v="1054.9369999999999"/>
    <x v="801"/>
    <s v="Paid"/>
    <x v="0"/>
    <s v="OK"/>
    <s v="Completed"/>
    <x v="0"/>
    <s v="OK"/>
    <s v="INVALID"/>
    <s v="MATCH"/>
    <s v="MATCH"/>
  </r>
  <r>
    <x v="815"/>
    <n v="1"/>
    <d v="2025-10-12T00:00:00"/>
    <d v="2025-10-12T00:00:00"/>
    <x v="7"/>
    <x v="1"/>
    <s v="27 Feb 2024"/>
    <d v="2024-02-27T00:00:00"/>
    <n v="-593"/>
    <s v="INVALID_SHIPPING"/>
    <s v="CUST-8351"/>
    <s v="Kabir Singh"/>
    <s v="Kabir Singh"/>
    <s v="Small Business"/>
    <x v="1"/>
    <s v="North"/>
    <x v="0"/>
    <s v="OK"/>
    <s v="Haryana"/>
    <s v="Haryana"/>
    <s v="Gurugram"/>
    <s v="Gurugram"/>
    <s v="Technology"/>
    <x v="2"/>
    <s v="Machines"/>
    <x v="12"/>
    <s v="Prime Machines 612"/>
    <s v="Standard Class"/>
    <x v="3"/>
    <s v="OK"/>
    <n v="9"/>
    <n v="2598.92"/>
    <n v="0.2"/>
    <n v="0.2"/>
    <s v="OK"/>
    <n v="18712.22"/>
    <n v="11852.22"/>
    <n v="6860"/>
    <n v="18712.223999999998"/>
    <n v="6860.003999999999"/>
    <x v="802"/>
    <s v="Pending"/>
    <x v="1"/>
    <s v="OK"/>
    <s v="Cancelled"/>
    <x v="2"/>
    <s v="EXCLUDE_FROM_SALES"/>
    <s v="INVALID"/>
    <s v="MATCH"/>
    <s v="MATCH"/>
  </r>
  <r>
    <x v="816"/>
    <n v="2"/>
    <d v="2025-08-09T00:00:00"/>
    <d v="2025-08-09T00:00:00"/>
    <x v="1"/>
    <x v="1"/>
    <s v="2024-04-22"/>
    <d v="2024-04-22T00:00:00"/>
    <n v="-474"/>
    <s v="INVALID_SHIPPING"/>
    <s v="CUST-3190"/>
    <s v="Kabir Singh"/>
    <s v="Kabir Singh"/>
    <s v="Corporate"/>
    <x v="2"/>
    <s v="West"/>
    <x v="3"/>
    <s v="OK"/>
    <s v="Gujarat"/>
    <s v="Gujarat"/>
    <s v="Ahmedabad"/>
    <s v="Ahmedabad"/>
    <s v="Office Supplies"/>
    <x v="0"/>
    <s v="Art"/>
    <x v="2"/>
    <s v="Pro Art 447"/>
    <s v="Same Day"/>
    <x v="1"/>
    <s v="OK"/>
    <n v="2"/>
    <n v="2372.41"/>
    <n v="0.2"/>
    <n v="0.2"/>
    <s v="OK"/>
    <n v="3795.86"/>
    <n v="2264.92"/>
    <n v="1530.94"/>
    <n v="3795.8559999999998"/>
    <n v="1530.9359999999997"/>
    <x v="803"/>
    <s v="Paid"/>
    <x v="0"/>
    <s v="OK"/>
    <s v="Completed"/>
    <x v="0"/>
    <s v="OK"/>
    <s v="INVALID"/>
    <s v="MATCH"/>
    <s v="MATCH"/>
  </r>
  <r>
    <x v="816"/>
    <n v="2"/>
    <d v="2025-08-09T00:00:00"/>
    <d v="2025-08-09T00:00:00"/>
    <x v="1"/>
    <x v="1"/>
    <s v="05/22/2025"/>
    <d v="2025-05-22T00:00:00"/>
    <n v="-79"/>
    <s v="INVALID_SHIPPING"/>
    <s v="CUST-3190"/>
    <s v="Kabir Singh"/>
    <s v="Kabir Singh"/>
    <s v="Corporate"/>
    <x v="2"/>
    <s v="West"/>
    <x v="3"/>
    <s v="OK"/>
    <s v="Gujarat"/>
    <s v="Gujarat"/>
    <s v="Ahmedabad"/>
    <s v="Ahmedabad"/>
    <s v="Office Supplies"/>
    <x v="0"/>
    <s v="Art"/>
    <x v="2"/>
    <s v="Pro Art 447"/>
    <s v="Same Day"/>
    <x v="1"/>
    <s v="OK"/>
    <n v="2"/>
    <n v="2372.41"/>
    <n v="0.2"/>
    <n v="0.2"/>
    <s v="OK"/>
    <n v="3795.86"/>
    <n v="2264.92"/>
    <n v="1530.94"/>
    <n v="3795.8559999999998"/>
    <n v="1530.9359999999997"/>
    <x v="803"/>
    <s v="Paid"/>
    <x v="0"/>
    <s v="OK"/>
    <s v="Completed"/>
    <x v="0"/>
    <s v="OK"/>
    <s v="INVALID"/>
    <s v="MATCH"/>
    <s v="MATCH"/>
  </r>
  <r>
    <x v="817"/>
    <n v="1"/>
    <d v="2025-06-19T00:00:00"/>
    <d v="2025-06-19T00:00:00"/>
    <x v="8"/>
    <x v="1"/>
    <s v="29 May 2025"/>
    <d v="2025-05-29T00:00:00"/>
    <n v="-21"/>
    <s v="INVALID_SHIPPING"/>
    <s v="CUST-7606"/>
    <s v="Sneha Kapoor"/>
    <s v="Sneha Kapoor"/>
    <s v="Consumer"/>
    <x v="0"/>
    <s v="South"/>
    <x v="2"/>
    <s v="OK"/>
    <s v="Karnataka"/>
    <s v="Karnataka"/>
    <s v="Bengaluru"/>
    <s v="Bengaluru"/>
    <s v="Technology"/>
    <x v="2"/>
    <s v="Copiers"/>
    <x v="6"/>
    <s v="Pro Copiers 532"/>
    <s v="First Class"/>
    <x v="2"/>
    <s v="OK"/>
    <n v="5"/>
    <n v="2729.95"/>
    <n v="0"/>
    <n v="0"/>
    <s v="OK"/>
    <n v="13649.75"/>
    <n v="10288.030000000001"/>
    <n v="3361.72"/>
    <n v="13649.75"/>
    <n v="3361.7199999999993"/>
    <x v="804"/>
    <s v="Paid"/>
    <x v="0"/>
    <s v="OK"/>
    <s v="Completed"/>
    <x v="0"/>
    <s v="OK"/>
    <s v="INVALID"/>
    <s v="MATCH"/>
    <s v="MATCH"/>
  </r>
  <r>
    <x v="818"/>
    <n v="1"/>
    <d v="2025-06-10T00:00:00"/>
    <d v="2025-06-10T00:00:00"/>
    <x v="8"/>
    <x v="1"/>
    <s v="12-03-2024"/>
    <d v="2024-12-03T00:00:00"/>
    <n v="-189"/>
    <s v="INVALID_SHIPPING"/>
    <s v="CUST-4335"/>
    <s v="Kabir Singh"/>
    <s v="Kabir Singh"/>
    <s v="Home Office"/>
    <x v="3"/>
    <s v="East"/>
    <x v="1"/>
    <s v="OK"/>
    <s v="Jharkhand"/>
    <s v="Jharkhand"/>
    <s v="Ranchi"/>
    <s v="Ranchi"/>
    <s v="Technology"/>
    <x v="2"/>
    <s v="Accessories"/>
    <x v="4"/>
    <s v="Eco Accessories 364"/>
    <s v="Standard Class"/>
    <x v="3"/>
    <s v="OK"/>
    <n v="6"/>
    <n v="2391.9299999999998"/>
    <n v="0.05"/>
    <n v="0.05"/>
    <s v="OK"/>
    <n v="13634"/>
    <n v="9589.81"/>
    <n v="4044.19"/>
    <n v="13634.000999999998"/>
    <n v="4044.1909999999989"/>
    <x v="805"/>
    <s v="Failed"/>
    <x v="3"/>
    <s v="EXCLUDE_FROM_SALES"/>
    <s v="Returned"/>
    <x v="1"/>
    <s v="RETURNED_ORDER"/>
    <s v="INVALID"/>
    <s v="MATCH"/>
    <s v="MATCH"/>
  </r>
  <r>
    <x v="819"/>
    <n v="1"/>
    <d v="2025-05-10T00:00:00"/>
    <d v="2025-05-10T00:00:00"/>
    <x v="3"/>
    <x v="1"/>
    <s v="2024-07-03"/>
    <d v="2024-07-03T00:00:00"/>
    <n v="-311"/>
    <s v="INVALID_SHIPPING"/>
    <s v="CUST-6371"/>
    <s v="Priya Menon"/>
    <s v="Priya Menon"/>
    <s v="Corporate"/>
    <x v="2"/>
    <s v="South"/>
    <x v="2"/>
    <s v="OK"/>
    <s v="Karnataka"/>
    <s v="Karnataka"/>
    <s v="Bengaluru"/>
    <s v="Bengaluru"/>
    <s v="Furniture"/>
    <x v="1"/>
    <s v="Tables"/>
    <x v="1"/>
    <s v="Max Tables 309"/>
    <s v="Second Class"/>
    <x v="0"/>
    <s v="OK"/>
    <n v="7"/>
    <n v="2134.73"/>
    <n v="0"/>
    <n v="0"/>
    <s v="OK"/>
    <n v="14943.11"/>
    <n v="8521.5"/>
    <n v="6421.61"/>
    <n v="14943.11"/>
    <n v="6421.6100000000006"/>
    <x v="806"/>
    <s v="Paid"/>
    <x v="0"/>
    <s v="OK"/>
    <s v="Completed"/>
    <x v="0"/>
    <s v="OK"/>
    <s v="INVALID"/>
    <s v="MATCH"/>
    <s v="MATCH"/>
  </r>
  <r>
    <x v="820"/>
    <n v="2"/>
    <d v="2025-05-17T00:00:00"/>
    <d v="2025-05-17T00:00:00"/>
    <x v="3"/>
    <x v="1"/>
    <s v="01 Apr 2024"/>
    <d v="2024-04-01T00:00:00"/>
    <n v="-411"/>
    <s v="INVALID_SHIPPING"/>
    <s v="CUST-8713"/>
    <s v="Ananya Rao"/>
    <s v="Ananya Rao"/>
    <s v="Corporate"/>
    <x v="2"/>
    <s v="South"/>
    <x v="2"/>
    <s v="OK"/>
    <s v="Tamil Nadu"/>
    <s v="Tamil Nadu"/>
    <s v="Chennai"/>
    <s v="Chennai"/>
    <s v="Technology"/>
    <x v="2"/>
    <s v="Machines"/>
    <x v="12"/>
    <s v="Pro Machines 563"/>
    <s v="Same Day"/>
    <x v="1"/>
    <s v="OK"/>
    <n v="6"/>
    <n v="1810.63"/>
    <n v="0.15"/>
    <n v="0.15"/>
    <s v="OK"/>
    <n v="9234.2099999999991"/>
    <n v="5516.52"/>
    <n v="3717.69"/>
    <n v="9234.2129999999997"/>
    <n v="3717.6929999999993"/>
    <x v="807"/>
    <s v="Paid"/>
    <x v="0"/>
    <s v="OK"/>
    <s v="Completed"/>
    <x v="0"/>
    <s v="OK"/>
    <s v="INVALID"/>
    <s v="MATCH"/>
    <s v="MATCH"/>
  </r>
  <r>
    <x v="820"/>
    <n v="2"/>
    <d v="2025-05-17T00:00:00"/>
    <d v="2025-05-17T00:00:00"/>
    <x v="3"/>
    <x v="1"/>
    <s v="08-04-2024"/>
    <d v="2024-08-04T00:00:00"/>
    <n v="-286"/>
    <s v="INVALID_SHIPPING"/>
    <s v="CUST-8713"/>
    <s v="Ananya Rao"/>
    <s v="Ananya Rao"/>
    <s v="Corporate"/>
    <x v="2"/>
    <s v="South"/>
    <x v="2"/>
    <s v="OK"/>
    <s v="Tamil Nadu"/>
    <s v="Tamil Nadu"/>
    <s v="Chennai"/>
    <s v="Chennai"/>
    <s v="Technology"/>
    <x v="2"/>
    <s v="Machines"/>
    <x v="12"/>
    <s v="Pro Machines 563"/>
    <s v="Same Day"/>
    <x v="1"/>
    <s v="OK"/>
    <n v="6"/>
    <n v="1810.63"/>
    <n v="0.15"/>
    <n v="0.15"/>
    <s v="OK"/>
    <n v="9234.2099999999991"/>
    <n v="5516.52"/>
    <n v="3717.69"/>
    <n v="9234.2129999999997"/>
    <n v="3717.6929999999993"/>
    <x v="807"/>
    <s v="Paid"/>
    <x v="0"/>
    <s v="OK"/>
    <s v="Completed"/>
    <x v="0"/>
    <s v="OK"/>
    <s v="INVALID"/>
    <s v="MATCH"/>
    <s v="MATCH"/>
  </r>
  <r>
    <x v="821"/>
    <n v="1"/>
    <d v="2025-06-19T00:00:00"/>
    <d v="2025-06-19T00:00:00"/>
    <x v="8"/>
    <x v="1"/>
    <s v="05/22/2025"/>
    <d v="2025-05-22T00:00:00"/>
    <n v="-28"/>
    <s v="INVALID_SHIPPING"/>
    <s v="CUST-6765"/>
    <s v="Arjun Bose"/>
    <s v="Arjun Bose"/>
    <s v="Consumer"/>
    <x v="0"/>
    <s v="East"/>
    <x v="1"/>
    <s v="OK"/>
    <s v="West Bengal"/>
    <s v="West Bengal"/>
    <s v="Kolkata"/>
    <s v="Kolkata"/>
    <s v="Office Supplies"/>
    <x v="0"/>
    <s v="Art"/>
    <x v="2"/>
    <s v="Elite Art 696"/>
    <s v="Second Class"/>
    <x v="0"/>
    <s v="OK"/>
    <n v="4"/>
    <n v="782.01"/>
    <n v="0.15"/>
    <n v="0.15"/>
    <s v="OK"/>
    <n v="2658.83"/>
    <n v="2226.9699999999998"/>
    <n v="431.86"/>
    <n v="2658.8339999999998"/>
    <n v="431.86400000000003"/>
    <x v="808"/>
    <s v="Refunded"/>
    <x v="2"/>
    <s v="REFUNDED_PAYMENT"/>
    <s v="Returned"/>
    <x v="1"/>
    <s v="RETURNED_ORDER"/>
    <s v="INVALID"/>
    <s v="MATCH"/>
    <s v="MATCH"/>
  </r>
  <r>
    <x v="822"/>
    <n v="1"/>
    <d v="2025-02-20T00:00:00"/>
    <d v="2025-02-20T00:00:00"/>
    <x v="11"/>
    <x v="1"/>
    <s v="04/02/2025"/>
    <d v="2025-04-02T00:00:00"/>
    <n v="41"/>
    <s v="OK"/>
    <s v="CUST-5334"/>
    <s v="Priya Menon"/>
    <s v="Priya Menon"/>
    <s v="Corporate"/>
    <x v="2"/>
    <s v="South"/>
    <x v="2"/>
    <s v="OK"/>
    <s v="Kerala"/>
    <s v="Kerala"/>
    <s v="Kochi"/>
    <s v="Kochi"/>
    <s v="Office Supplies"/>
    <x v="0"/>
    <s v="Paper"/>
    <x v="0"/>
    <s v="Prime Paper 307"/>
    <s v="First Class"/>
    <x v="2"/>
    <s v="OK"/>
    <n v="1"/>
    <n v="2188.19"/>
    <n v="0"/>
    <n v="0"/>
    <s v="OK"/>
    <n v="2188.19"/>
    <n v="1298.8399999999999"/>
    <n v="889.35"/>
    <n v="2188.19"/>
    <n v="889.35000000000014"/>
    <x v="809"/>
    <s v="Paid"/>
    <x v="0"/>
    <s v="OK"/>
    <s v="Completed"/>
    <x v="0"/>
    <s v="OK"/>
    <s v="CLEAN"/>
    <s v="MATCH"/>
    <s v="MATCH"/>
  </r>
  <r>
    <x v="823"/>
    <n v="1"/>
    <d v="2025-04-23T00:00:00"/>
    <d v="2025-04-23T00:00:00"/>
    <x v="6"/>
    <x v="1"/>
    <s v="02 Aug 2024"/>
    <d v="2024-08-02T00:00:00"/>
    <n v="-264"/>
    <s v="INVALID_SHIPPING"/>
    <s v="CUST-3285"/>
    <s v="Isha Nair"/>
    <s v="Isha Nair"/>
    <s v="Home Office"/>
    <x v="3"/>
    <s v="South"/>
    <x v="2"/>
    <s v="OK"/>
    <s v="Tamil Nadu"/>
    <s v="Tamil Nadu"/>
    <s v="Chennai"/>
    <s v="Chennai"/>
    <s v="Furniture"/>
    <x v="1"/>
    <s v="Chairs"/>
    <x v="10"/>
    <s v="Max Chairs 706"/>
    <s v="Second Class"/>
    <x v="0"/>
    <s v="OK"/>
    <n v="3"/>
    <n v="2951.12"/>
    <m/>
    <n v="0"/>
    <s v="Missing Discount"/>
    <n v="7082.69"/>
    <n v="5596.34"/>
    <n v="1486.35"/>
    <n v="8853.36"/>
    <n v="3257.0200000000004"/>
    <x v="810"/>
    <s v="Paid"/>
    <x v="0"/>
    <s v="OK"/>
    <s v="Cancelled"/>
    <x v="2"/>
    <s v="EXCLUDE_FROM_SALES"/>
    <s v="INVALID"/>
    <s v="MISMATCH"/>
    <s v="MISMATCH"/>
  </r>
  <r>
    <x v="824"/>
    <n v="1"/>
    <d v="2025-12-02T00:00:00"/>
    <d v="2025-12-02T00:00:00"/>
    <x v="4"/>
    <x v="1"/>
    <s v="19 Jun 2024"/>
    <d v="2024-06-19T00:00:00"/>
    <n v="-531"/>
    <s v="INVALID_SHIPPING"/>
    <s v="CUST-6231"/>
    <s v="Sneha Kapoor"/>
    <s v="Sneha Kapoor"/>
    <s v="Consumer"/>
    <x v="0"/>
    <s v="North"/>
    <x v="0"/>
    <s v="OK"/>
    <s v="Uttar Pradesh"/>
    <s v="Uttar Pradesh"/>
    <s v="Noida"/>
    <s v="Noida"/>
    <s v="Office Supplies"/>
    <x v="0"/>
    <s v="Art"/>
    <x v="2"/>
    <s v="Basic Art 764"/>
    <s v="Standard Class"/>
    <x v="3"/>
    <s v="OK"/>
    <n v="6"/>
    <n v="491.4"/>
    <n v="0.25"/>
    <n v="0.25"/>
    <s v="OK"/>
    <n v="2211.3000000000002"/>
    <n v="1735.64"/>
    <n v="475.66"/>
    <n v="2211.2999999999997"/>
    <n v="475.65999999999963"/>
    <x v="811"/>
    <s v="Paid"/>
    <x v="0"/>
    <s v="OK"/>
    <s v="Completed"/>
    <x v="0"/>
    <s v="OK"/>
    <s v="INVALID"/>
    <s v="MATCH"/>
    <s v="MATCH"/>
  </r>
  <r>
    <x v="825"/>
    <n v="1"/>
    <d v="2025-08-17T00:00:00"/>
    <d v="2025-08-17T00:00:00"/>
    <x v="1"/>
    <x v="1"/>
    <s v="04-06-2024"/>
    <d v="2024-04-06T00:00:00"/>
    <n v="-498"/>
    <s v="INVALID_SHIPPING"/>
    <s v="CUST-2021"/>
    <s v="Mira Das"/>
    <s v="Mira Das"/>
    <s v="Home Office"/>
    <x v="3"/>
    <s v="North"/>
    <x v="0"/>
    <s v="OK"/>
    <s v="Punjab"/>
    <s v="Punjab"/>
    <s v="Ludhiana"/>
    <s v="Ludhiana"/>
    <s v="Office Supplies"/>
    <x v="0"/>
    <s v="Binders"/>
    <x v="11"/>
    <s v="Prime Binders 181"/>
    <s v="First Class"/>
    <x v="2"/>
    <s v="OK"/>
    <n v="5"/>
    <n v="2701.89"/>
    <n v="0.1"/>
    <n v="0.1"/>
    <s v="OK"/>
    <n v="12158.5"/>
    <n v="10260.07"/>
    <n v="1898.43"/>
    <n v="12158.504999999999"/>
    <n v="1898.4349999999995"/>
    <x v="812"/>
    <s v="Paid"/>
    <x v="0"/>
    <s v="OK"/>
    <s v="Cancelled"/>
    <x v="2"/>
    <s v="EXCLUDE_FROM_SALES"/>
    <s v="INVALID"/>
    <s v="MISMATCH"/>
    <s v="MISMATCH"/>
  </r>
  <r>
    <x v="826"/>
    <n v="1"/>
    <d v="2025-04-01T00:00:00"/>
    <d v="2025-04-01T00:00:00"/>
    <x v="6"/>
    <x v="1"/>
    <s v="09 May 2024"/>
    <d v="2024-05-09T00:00:00"/>
    <n v="-327"/>
    <s v="INVALID_SHIPPING"/>
    <s v="CUST-2314"/>
    <s v="Aarav Sharma"/>
    <s v="Aarav Sharma"/>
    <s v="Home Office"/>
    <x v="3"/>
    <s v="East"/>
    <x v="1"/>
    <s v="OK"/>
    <s v="West Bengal"/>
    <s v="West Bengal"/>
    <s v="Kolkata"/>
    <s v="Kolkata"/>
    <s v="Office Supplies"/>
    <x v="0"/>
    <s v="Paper"/>
    <x v="0"/>
    <s v="Pro Paper 662"/>
    <s v="Standard Class"/>
    <x v="3"/>
    <s v="OK"/>
    <n v="4"/>
    <n v="2583.19"/>
    <n v="0.2"/>
    <n v="0.2"/>
    <s v="OK"/>
    <n v="8266.2099999999991"/>
    <n v="6236.32"/>
    <n v="2029.89"/>
    <n v="8266.2080000000005"/>
    <n v="2029.8880000000008"/>
    <x v="813"/>
    <s v="Paid"/>
    <x v="0"/>
    <s v="OK"/>
    <s v="Completed"/>
    <x v="0"/>
    <s v="OK"/>
    <s v="INVALID"/>
    <s v="MATCH"/>
    <s v="MATCH"/>
  </r>
  <r>
    <x v="827"/>
    <n v="1"/>
    <d v="2025-02-06T00:00:00"/>
    <d v="2025-02-06T00:00:00"/>
    <x v="11"/>
    <x v="1"/>
    <s v="2024-11-01"/>
    <d v="2024-11-01T00:00:00"/>
    <n v="-97"/>
    <s v="INVALID_SHIPPING"/>
    <s v="CUST-7036"/>
    <s v="Aarav Sharma"/>
    <s v="Aarav Sharma"/>
    <s v="Home Office"/>
    <x v="3"/>
    <s v="South"/>
    <x v="2"/>
    <s v="OK"/>
    <s v="Telangana"/>
    <s v="Telangana"/>
    <s v="Hyderabad"/>
    <s v="Hyderabad"/>
    <s v="Technology"/>
    <x v="2"/>
    <s v="Accessories"/>
    <x v="4"/>
    <s v="Max Accessories 291"/>
    <s v="First Class"/>
    <x v="2"/>
    <s v="OK"/>
    <n v="8"/>
    <n v="3925.93"/>
    <n v="0.15"/>
    <n v="0.15"/>
    <s v="OK"/>
    <n v="26696.32"/>
    <n v="22724.52"/>
    <n v="3971.8"/>
    <n v="26696.323999999997"/>
    <n v="3971.8039999999964"/>
    <x v="814"/>
    <s v="Paid"/>
    <x v="0"/>
    <s v="OK"/>
    <s v="Completed"/>
    <x v="0"/>
    <s v="OK"/>
    <s v="INVALID"/>
    <s v="MATCH"/>
    <s v="MATCH"/>
  </r>
  <r>
    <x v="828"/>
    <n v="1"/>
    <d v="2025-07-18T00:00:00"/>
    <d v="2025-07-18T00:00:00"/>
    <x v="0"/>
    <x v="1"/>
    <s v="04 Feb 2024"/>
    <d v="2024-02-04T00:00:00"/>
    <n v="-530"/>
    <s v="INVALID_SHIPPING"/>
    <s v="CUST-8512"/>
    <s v="Priya Menon"/>
    <s v="Priya Menon"/>
    <s v="Home Office"/>
    <x v="3"/>
    <m/>
    <x v="4"/>
    <s v="MISSING_REGION"/>
    <s v="Uttar Pradesh"/>
    <s v="Uttar Pradesh"/>
    <s v="Noida"/>
    <s v="Noida"/>
    <s v="Technology"/>
    <x v="2"/>
    <s v="Machines"/>
    <x v="12"/>
    <s v="Eco Machines 414"/>
    <m/>
    <x v="4"/>
    <s v="MISSING_SHIP_MODE"/>
    <n v="3"/>
    <n v="2963.25"/>
    <n v="0.05"/>
    <n v="0.05"/>
    <s v="OK"/>
    <n v="8445.26"/>
    <n v="6937.6"/>
    <n v="1507.66"/>
    <n v="8445.2624999999989"/>
    <n v="1507.6624999999985"/>
    <x v="815"/>
    <s v="Paid"/>
    <x v="0"/>
    <s v="OK"/>
    <s v="Completed"/>
    <x v="0"/>
    <s v="OK"/>
    <s v="INVALID"/>
    <s v="MATCH"/>
    <s v="MATCH"/>
  </r>
  <r>
    <x v="829"/>
    <n v="1"/>
    <d v="2025-04-06T00:00:00"/>
    <d v="2025-04-06T00:00:00"/>
    <x v="6"/>
    <x v="1"/>
    <s v="2025-03-09"/>
    <d v="2025-03-09T00:00:00"/>
    <n v="-28"/>
    <s v="INVALID_SHIPPING"/>
    <s v="CUST-7960"/>
    <s v="Neha Gupta"/>
    <s v="Neha Gupta"/>
    <s v="Corporate"/>
    <x v="2"/>
    <s v="South"/>
    <x v="2"/>
    <s v="OK"/>
    <s v="Kerala"/>
    <s v="Kerala"/>
    <s v="Kochi"/>
    <s v="Kochi"/>
    <s v="Office Supplies"/>
    <x v="0"/>
    <s v="Storage"/>
    <x v="7"/>
    <s v="Elite Storage 857"/>
    <s v="Standard Class"/>
    <x v="3"/>
    <s v="OK"/>
    <n v="4"/>
    <n v="891.34"/>
    <n v="0.25"/>
    <n v="0.25"/>
    <s v="OK"/>
    <n v="2674.02"/>
    <n v="2207.5700000000002"/>
    <n v="466.45"/>
    <n v="2674.02"/>
    <n v="466.44999999999982"/>
    <x v="816"/>
    <s v="Paid"/>
    <x v="0"/>
    <s v="OK"/>
    <s v="Completed"/>
    <x v="0"/>
    <s v="OK"/>
    <s v="INVALID"/>
    <s v="MATCH"/>
    <s v="MATCH"/>
  </r>
  <r>
    <x v="830"/>
    <n v="1"/>
    <d v="2025-07-20T00:00:00"/>
    <d v="2025-07-20T00:00:00"/>
    <x v="0"/>
    <x v="1"/>
    <s v="31-03-2025"/>
    <d v="2025-03-31T00:00:00"/>
    <n v="-111"/>
    <s v="INVALID_SHIPPING"/>
    <s v="CUST-3365"/>
    <s v="Priya Menon"/>
    <s v="Priya Menon"/>
    <s v="Home Office"/>
    <x v="3"/>
    <s v="West"/>
    <x v="3"/>
    <s v="OK"/>
    <s v="Madhya Pradesh"/>
    <s v="Madhya Pradesh"/>
    <s v="Indore"/>
    <s v="Indore"/>
    <s v="Office Supplies"/>
    <x v="0"/>
    <s v="Storage"/>
    <x v="7"/>
    <s v="Prime Storage 183"/>
    <s v="Second Class"/>
    <x v="0"/>
    <s v="OK"/>
    <n v="5"/>
    <n v="2481.7399999999998"/>
    <n v="0.2"/>
    <n v="0.2"/>
    <s v="OK"/>
    <n v="9926.9599999999991"/>
    <n v="7994.98"/>
    <n v="1931.98"/>
    <n v="9926.9599999999991"/>
    <n v="1931.9799999999996"/>
    <x v="817"/>
    <s v="Paid"/>
    <x v="0"/>
    <s v="OK"/>
    <s v="Completed"/>
    <x v="0"/>
    <s v="OK"/>
    <s v="INVALID"/>
    <s v="MATCH"/>
    <s v="MATCH"/>
  </r>
  <r>
    <x v="831"/>
    <n v="1"/>
    <d v="2025-01-08T00:00:00"/>
    <d v="2025-01-08T00:00:00"/>
    <x v="9"/>
    <x v="1"/>
    <s v="09/08/2025"/>
    <d v="2025-09-08T00:00:00"/>
    <n v="243"/>
    <s v="OK"/>
    <s v="CUST-3058"/>
    <s v="Aditi Sen"/>
    <s v="Aditi Sen"/>
    <s v="Small Business"/>
    <x v="1"/>
    <s v="South"/>
    <x v="2"/>
    <s v="OK"/>
    <s v="Kerala"/>
    <s v="Kerala"/>
    <s v="Kochi"/>
    <s v="Kochi"/>
    <s v="Furniture"/>
    <x v="1"/>
    <s v="Bookcases"/>
    <x v="9"/>
    <s v="Classic Bookcases 310"/>
    <s v="Standard Class"/>
    <x v="3"/>
    <s v="OK"/>
    <n v="3"/>
    <n v="1904.78"/>
    <n v="0.25"/>
    <n v="0.25"/>
    <s v="OK"/>
    <n v="4285.76"/>
    <n v="2386.33"/>
    <n v="1899.43"/>
    <n v="4285.7550000000001"/>
    <n v="1899.4250000000002"/>
    <x v="818"/>
    <s v="Failed"/>
    <x v="3"/>
    <s v="EXCLUDE_FROM_SALES"/>
    <s v="Cancelled"/>
    <x v="2"/>
    <s v="EXCLUDE_FROM_SALES"/>
    <s v="CLEAN"/>
    <s v="MATCH"/>
    <s v="MATCH"/>
  </r>
  <r>
    <x v="832"/>
    <n v="1"/>
    <d v="2025-08-27T00:00:00"/>
    <d v="2025-08-27T00:00:00"/>
    <x v="1"/>
    <x v="1"/>
    <s v="05-09-2025"/>
    <d v="2025-05-09T00:00:00"/>
    <n v="-110"/>
    <s v="INVALID_SHIPPING"/>
    <s v="CUST-8948"/>
    <s v="Isha Nair"/>
    <s v="Isha Nair"/>
    <s v="Consumer"/>
    <x v="0"/>
    <s v="South"/>
    <x v="2"/>
    <s v="OK"/>
    <s v="Karnataka"/>
    <s v="Karnataka"/>
    <s v="Bengaluru"/>
    <s v="Bengaluru"/>
    <s v="Technology"/>
    <x v="2"/>
    <s v="Machines"/>
    <x v="12"/>
    <s v="Max Machines 364"/>
    <s v="First Class"/>
    <x v="2"/>
    <s v="OK"/>
    <n v="3"/>
    <n v="2489.12"/>
    <n v="0"/>
    <n v="0"/>
    <s v="OK"/>
    <n v="7467.36"/>
    <n v="5010.6099999999997"/>
    <n v="2456.75"/>
    <n v="7467.36"/>
    <n v="2456.75"/>
    <x v="819"/>
    <s v="Paid"/>
    <x v="0"/>
    <s v="OK"/>
    <s v="Completed"/>
    <x v="0"/>
    <s v="OK"/>
    <s v="INVALID"/>
    <s v="MATCH"/>
    <s v="MATCH"/>
  </r>
  <r>
    <x v="833"/>
    <n v="1"/>
    <d v="2025-08-23T00:00:00"/>
    <d v="2025-08-23T00:00:00"/>
    <x v="1"/>
    <x v="1"/>
    <s v="14-02-2025"/>
    <d v="2025-02-14T00:00:00"/>
    <n v="-190"/>
    <s v="INVALID_SHIPPING"/>
    <s v="CUST-4086"/>
    <s v="Diya Patel"/>
    <s v="Diya Patel"/>
    <s v="Consumer"/>
    <x v="0"/>
    <s v="North"/>
    <x v="0"/>
    <s v="OK"/>
    <s v="Rajasthan"/>
    <s v="Rajasthan"/>
    <s v="Jaipur"/>
    <s v="Jaipur"/>
    <s v="Furniture"/>
    <x v="1"/>
    <s v="Furnishings"/>
    <x v="3"/>
    <s v="Elite Furnishings 169"/>
    <s v="Same Day"/>
    <x v="1"/>
    <s v="OK"/>
    <n v="6"/>
    <n v="2742.48"/>
    <n v="0"/>
    <n v="0"/>
    <s v="OK"/>
    <n v="16454.88"/>
    <n v="12081.54"/>
    <n v="4373.34"/>
    <n v="16454.88"/>
    <n v="4373.34"/>
    <x v="820"/>
    <s v="Paid"/>
    <x v="0"/>
    <s v="OK"/>
    <s v="Completed"/>
    <x v="0"/>
    <s v="OK"/>
    <s v="INVALID"/>
    <s v="MATCH"/>
    <s v="MATCH"/>
  </r>
  <r>
    <x v="834"/>
    <n v="1"/>
    <d v="2025-04-13T00:00:00"/>
    <d v="2025-04-13T00:00:00"/>
    <x v="6"/>
    <x v="1"/>
    <s v="2025-03-06"/>
    <d v="2025-03-06T00:00:00"/>
    <n v="-38"/>
    <s v="INVALID_SHIPPING"/>
    <s v="CUST-5174"/>
    <s v="Priya Menon"/>
    <s v="Priya Menon"/>
    <s v="Corporate"/>
    <x v="2"/>
    <s v="South"/>
    <x v="2"/>
    <s v="OK"/>
    <s v="Kerala"/>
    <s v="Kerala"/>
    <s v="Kochi"/>
    <s v="Kochi"/>
    <s v="Furniture"/>
    <x v="1"/>
    <s v="Bookcases"/>
    <x v="9"/>
    <s v="Pro Bookcases 615"/>
    <s v="First Class"/>
    <x v="2"/>
    <s v="OK"/>
    <n v="6"/>
    <n v="4414"/>
    <n v="0.05"/>
    <n v="0.05"/>
    <s v="OK"/>
    <n v="25159.8"/>
    <n v="21606.83"/>
    <n v="3552.97"/>
    <n v="25159.8"/>
    <n v="3552.9699999999975"/>
    <x v="821"/>
    <s v="Paid"/>
    <x v="0"/>
    <s v="OK"/>
    <s v="Completed"/>
    <x v="0"/>
    <s v="OK"/>
    <s v="INVALID"/>
    <s v="MATCH"/>
    <s v="MATCH"/>
  </r>
  <r>
    <x v="835"/>
    <n v="1"/>
    <d v="2025-06-29T00:00:00"/>
    <d v="2025-06-29T00:00:00"/>
    <x v="8"/>
    <x v="1"/>
    <s v="22 Nov 2024"/>
    <d v="2024-11-22T00:00:00"/>
    <n v="-219"/>
    <s v="INVALID_SHIPPING"/>
    <s v="CUST-8747"/>
    <s v="Vikram Iyer"/>
    <s v="Vikram Iyer"/>
    <s v="Corporate"/>
    <x v="2"/>
    <s v="East"/>
    <x v="1"/>
    <s v="OK"/>
    <s v="Jharkhand"/>
    <s v="Jharkhand"/>
    <s v="Ranchi"/>
    <s v="Ranchi"/>
    <s v="Office Supplies"/>
    <x v="0"/>
    <s v="Labels"/>
    <x v="5"/>
    <s v="Max Labels 136"/>
    <s v="First Class"/>
    <x v="2"/>
    <s v="OK"/>
    <n v="3"/>
    <n v="608.14"/>
    <n v="0"/>
    <n v="0"/>
    <s v="OK"/>
    <n v="1824.42"/>
    <n v="1214.8699999999999"/>
    <n v="609.54999999999995"/>
    <n v="1824.42"/>
    <n v="609.55000000000018"/>
    <x v="822"/>
    <s v="Paid"/>
    <x v="0"/>
    <s v="OK"/>
    <s v="Completed"/>
    <x v="0"/>
    <s v="OK"/>
    <s v="INVALID"/>
    <s v="MATCH"/>
    <s v="MATCH"/>
  </r>
  <r>
    <x v="836"/>
    <n v="1"/>
    <d v="2025-02-04T00:00:00"/>
    <d v="2025-02-04T00:00:00"/>
    <x v="11"/>
    <x v="1"/>
    <s v="2025-04-15"/>
    <d v="2025-04-15T00:00:00"/>
    <n v="70"/>
    <s v="OK"/>
    <s v="CUST-8808"/>
    <s v="Sneha Kapoor"/>
    <s v="Sneha Kapoor"/>
    <s v="Home Office"/>
    <x v="3"/>
    <s v="East"/>
    <x v="1"/>
    <s v="OK"/>
    <s v="Jharkhand"/>
    <s v="Jharkhand"/>
    <s v="Ranchi"/>
    <s v="Ranchi"/>
    <s v="Office Supplies"/>
    <x v="0"/>
    <s v="Paper"/>
    <x v="0"/>
    <s v="Classic Paper 280"/>
    <s v="Same Day"/>
    <x v="1"/>
    <s v="OK"/>
    <n v="5"/>
    <n v="3234.24"/>
    <n v="0.1"/>
    <n v="0.1"/>
    <s v="OK"/>
    <n v="14554.08"/>
    <n v="11166.84"/>
    <n v="3387.24"/>
    <n v="14554.08"/>
    <n v="3387.24"/>
    <x v="823"/>
    <s v="Paid"/>
    <x v="0"/>
    <s v="OK"/>
    <s v="Completed"/>
    <x v="0"/>
    <s v="OK"/>
    <s v="CLEAN"/>
    <s v="MATCH"/>
    <s v="MATCH"/>
  </r>
  <r>
    <x v="837"/>
    <n v="1"/>
    <d v="2025-07-15T00:00:00"/>
    <d v="2025-07-15T00:00:00"/>
    <x v="0"/>
    <x v="1"/>
    <s v="07-03-2025"/>
    <d v="2025-07-03T00:00:00"/>
    <n v="-12"/>
    <s v="INVALID_SHIPPING"/>
    <s v="CUST-8422"/>
    <s v="Diya Patel"/>
    <s v="Diya Patel"/>
    <s v="Consumer"/>
    <x v="0"/>
    <s v="South"/>
    <x v="2"/>
    <s v="OK"/>
    <s v="Tamil Nadu"/>
    <s v="Tamil Nadu"/>
    <s v="Chennai"/>
    <s v="Chennai"/>
    <s v="Furniture"/>
    <x v="1"/>
    <s v="Chairs"/>
    <x v="10"/>
    <s v="Basic Chairs 279"/>
    <s v="Same Day"/>
    <x v="1"/>
    <s v="OK"/>
    <n v="1"/>
    <n v="3903.22"/>
    <n v="0.05"/>
    <n v="0.05"/>
    <s v="OK"/>
    <n v="3708.06"/>
    <n v="2760.29"/>
    <n v="947.77"/>
    <n v="3708.0589999999997"/>
    <n v="947.76899999999978"/>
    <x v="824"/>
    <s v="Pending"/>
    <x v="1"/>
    <s v="OK"/>
    <s v="Cancelled"/>
    <x v="2"/>
    <s v="EXCLUDE_FROM_SALES"/>
    <s v="INVALID"/>
    <s v="MATCH"/>
    <s v="MATCH"/>
  </r>
  <r>
    <x v="838"/>
    <n v="1"/>
    <d v="2025-02-21T00:00:00"/>
    <d v="2025-02-21T00:00:00"/>
    <x v="11"/>
    <x v="1"/>
    <s v="07 Jun 2025"/>
    <d v="2025-06-07T00:00:00"/>
    <n v="106"/>
    <s v="OK"/>
    <s v="CUST-4766"/>
    <s v="Karan Malhotra"/>
    <s v="Karan Malhotra"/>
    <s v="Home Office"/>
    <x v="3"/>
    <s v="West"/>
    <x v="3"/>
    <s v="OK"/>
    <s v="Gujarat"/>
    <s v="Gujarat"/>
    <s v="Ahmedabad"/>
    <s v="Ahmedabad"/>
    <s v="Technology"/>
    <x v="2"/>
    <s v="Phones"/>
    <x v="8"/>
    <s v="Basic Phones 753"/>
    <m/>
    <x v="4"/>
    <s v="MISSING_SHIP_MODE"/>
    <n v="4"/>
    <n v="2945.07"/>
    <n v="0.2"/>
    <n v="0.2"/>
    <s v="OK"/>
    <n v="9424.2199999999993"/>
    <n v="6178.92"/>
    <n v="3245.3"/>
    <n v="9424.2240000000002"/>
    <n v="3245.3040000000001"/>
    <x v="825"/>
    <s v="Paid"/>
    <x v="0"/>
    <s v="OK"/>
    <s v="Completed"/>
    <x v="0"/>
    <s v="OK"/>
    <s v="WARNING"/>
    <s v="MATCH"/>
    <s v="MATCH"/>
  </r>
  <r>
    <x v="839"/>
    <n v="1"/>
    <d v="2025-08-07T00:00:00"/>
    <d v="2025-08-07T00:00:00"/>
    <x v="1"/>
    <x v="1"/>
    <s v="2024-02-22"/>
    <d v="2024-02-22T00:00:00"/>
    <n v="-532"/>
    <s v="INVALID_SHIPPING"/>
    <s v="CUST-1182"/>
    <s v="Kabir Singh"/>
    <s v="Kabir Singh"/>
    <s v="Consumer"/>
    <x v="0"/>
    <s v="West"/>
    <x v="3"/>
    <s v="OK"/>
    <s v="Rajasthan"/>
    <s v="Rajasthan"/>
    <s v="Udaipur"/>
    <s v="Udaipur"/>
    <s v="Technology"/>
    <x v="2"/>
    <s v="Machines"/>
    <x v="12"/>
    <s v="Smart Machines 789"/>
    <m/>
    <x v="4"/>
    <s v="MISSING_SHIP_MODE"/>
    <n v="9"/>
    <n v="1076.75"/>
    <n v="0.2"/>
    <n v="0.2"/>
    <s v="OK"/>
    <n v="7752.6"/>
    <n v="4689.3"/>
    <n v="3063.3"/>
    <n v="7752.6"/>
    <n v="3063.3"/>
    <x v="826"/>
    <s v="Paid"/>
    <x v="0"/>
    <s v="OK"/>
    <s v="Completed"/>
    <x v="0"/>
    <s v="OK"/>
    <s v="INVALID"/>
    <s v="MATCH"/>
    <s v="MATCH"/>
  </r>
  <r>
    <x v="840"/>
    <n v="1"/>
    <d v="2025-06-08T00:00:00"/>
    <d v="2025-06-08T00:00:00"/>
    <x v="8"/>
    <x v="1"/>
    <s v="02 Nov 2024"/>
    <d v="2024-11-02T00:00:00"/>
    <n v="-218"/>
    <s v="INVALID_SHIPPING"/>
    <s v="CUST-9690"/>
    <s v="Aditi Sen"/>
    <s v="Aditi Sen"/>
    <s v="Small Business"/>
    <x v="1"/>
    <s v="North"/>
    <x v="0"/>
    <s v="OK"/>
    <s v="Rajasthan"/>
    <s v="Rajasthan"/>
    <s v="Jaipur"/>
    <s v="Jaipur"/>
    <s v="Technology"/>
    <x v="2"/>
    <s v="Copiers"/>
    <x v="6"/>
    <s v="Eco Copiers 528"/>
    <s v="Second Class"/>
    <x v="0"/>
    <s v="OK"/>
    <n v="7"/>
    <n v="3857.13"/>
    <n v="0"/>
    <n v="0"/>
    <s v="OK"/>
    <n v="26999.91"/>
    <n v="17815.98"/>
    <n v="9183.93"/>
    <n v="26999.91"/>
    <n v="9183.93"/>
    <x v="827"/>
    <s v="Paid"/>
    <x v="0"/>
    <s v="OK"/>
    <s v="Completed"/>
    <x v="0"/>
    <s v="OK"/>
    <s v="INVALID"/>
    <s v="MATCH"/>
    <s v="MATCH"/>
  </r>
  <r>
    <x v="841"/>
    <n v="1"/>
    <d v="2025-03-14T00:00:00"/>
    <d v="2025-03-14T00:00:00"/>
    <x v="10"/>
    <x v="1"/>
    <s v="08-02-2025"/>
    <d v="2025-08-02T00:00:00"/>
    <n v="141"/>
    <s v="OK"/>
    <s v="CUST-9085"/>
    <s v="Mira Das"/>
    <s v="Mira Das"/>
    <s v="Corporate"/>
    <x v="2"/>
    <s v="East"/>
    <x v="1"/>
    <s v="OK"/>
    <s v="West Bengal"/>
    <s v="West Bengal"/>
    <s v="Kolkata"/>
    <s v="Kolkata"/>
    <s v="Technology"/>
    <x v="2"/>
    <s v="Copiers"/>
    <x v="6"/>
    <s v="Basic Copiers 254"/>
    <s v="Standard Class"/>
    <x v="3"/>
    <s v="OK"/>
    <n v="2"/>
    <n v="669.63"/>
    <n v="0.15"/>
    <n v="0.15"/>
    <s v="OK"/>
    <n v="1138.3699999999999"/>
    <n v="797.34"/>
    <n v="341.03"/>
    <n v="1138.3709999999999"/>
    <n v="341.03099999999984"/>
    <x v="828"/>
    <s v="Paid"/>
    <x v="0"/>
    <s v="OK"/>
    <s v="Completed"/>
    <x v="0"/>
    <s v="OK"/>
    <s v="CLEAN"/>
    <s v="MATCH"/>
    <s v="MATCH"/>
  </r>
  <r>
    <x v="842"/>
    <n v="1"/>
    <d v="2025-04-10T00:00:00"/>
    <d v="2025-04-10T00:00:00"/>
    <x v="6"/>
    <x v="1"/>
    <s v="16 Jul 2025"/>
    <d v="2025-07-16T00:00:00"/>
    <n v="97"/>
    <s v="OK"/>
    <s v="CUST-3119"/>
    <s v="Priya Menon"/>
    <s v="Priya Menon"/>
    <s v="Corporate"/>
    <x v="2"/>
    <s v="North"/>
    <x v="0"/>
    <s v="OK"/>
    <s v="Punjab"/>
    <s v="Punjab"/>
    <s v="Ludhiana"/>
    <s v="Ludhiana"/>
    <s v="Technology"/>
    <x v="2"/>
    <s v="Copiers"/>
    <x v="6"/>
    <s v="Max Copiers 551"/>
    <s v="First Class"/>
    <x v="2"/>
    <s v="OK"/>
    <n v="4"/>
    <n v="418.18"/>
    <n v="0.05"/>
    <n v="0.05"/>
    <s v="OK"/>
    <n v="1589.08"/>
    <n v="1084.6600000000001"/>
    <n v="504.42"/>
    <n v="1589.0840000000001"/>
    <n v="504.42399999999998"/>
    <x v="829"/>
    <s v="Paid"/>
    <x v="0"/>
    <s v="OK"/>
    <s v="Completed"/>
    <x v="0"/>
    <s v="OK"/>
    <s v="CLEAN"/>
    <s v="MATCH"/>
    <s v="MATCH"/>
  </r>
  <r>
    <x v="843"/>
    <n v="1"/>
    <d v="2025-06-07T00:00:00"/>
    <d v="2025-06-07T00:00:00"/>
    <x v="8"/>
    <x v="1"/>
    <s v="08/11/2024"/>
    <d v="2024-08-11T00:00:00"/>
    <n v="-300"/>
    <s v="INVALID_SHIPPING"/>
    <s v="CUST-1343"/>
    <s v="Ananya Rao"/>
    <s v="Ananya Rao"/>
    <s v="Corporate"/>
    <x v="2"/>
    <s v="North"/>
    <x v="0"/>
    <s v="OK"/>
    <s v="Rajasthan"/>
    <s v="Rajasthan"/>
    <s v="Jaipur"/>
    <s v="Jaipur"/>
    <s v="Furniture"/>
    <x v="1"/>
    <s v="Furnishings"/>
    <x v="3"/>
    <s v="Pro Furnishings 233"/>
    <m/>
    <x v="4"/>
    <s v="MISSING_SHIP_MODE"/>
    <n v="4"/>
    <n v="715.45"/>
    <n v="0.05"/>
    <n v="0.05"/>
    <s v="OK"/>
    <n v="2718.71"/>
    <n v="2065.0500000000002"/>
    <n v="653.66"/>
    <n v="2718.71"/>
    <n v="653.65999999999985"/>
    <x v="830"/>
    <s v="Refunded"/>
    <x v="2"/>
    <s v="REFUNDED_PAYMENT"/>
    <s v="Returned"/>
    <x v="1"/>
    <s v="RETURNED_ORDER"/>
    <s v="INVALID"/>
    <s v="MATCH"/>
    <s v="MATCH"/>
  </r>
  <r>
    <x v="844"/>
    <n v="1"/>
    <d v="2025-07-03T00:00:00"/>
    <d v="2025-07-03T00:00:00"/>
    <x v="0"/>
    <x v="1"/>
    <s v="20-11-2024"/>
    <d v="2024-11-20T00:00:00"/>
    <n v="-225"/>
    <s v="INVALID_SHIPPING"/>
    <s v="CUST-1453"/>
    <s v="Priya Menon"/>
    <s v="Priya Menon"/>
    <s v="Home Office"/>
    <x v="3"/>
    <m/>
    <x v="4"/>
    <s v="MISSING_REGION"/>
    <s v="Rajasthan"/>
    <s v="Rajasthan"/>
    <s v="Udaipur"/>
    <s v="Udaipur"/>
    <s v="Technology"/>
    <x v="2"/>
    <s v="Copiers"/>
    <x v="6"/>
    <s v="Smart Copiers 408"/>
    <s v="Same Day"/>
    <x v="1"/>
    <s v="OK"/>
    <n v="4"/>
    <n v="3537.48"/>
    <n v="0"/>
    <n v="0"/>
    <s v="OK"/>
    <n v="14149.92"/>
    <n v="9466.51"/>
    <n v="4683.41"/>
    <n v="14149.92"/>
    <n v="4683.41"/>
    <x v="831"/>
    <s v="Paid"/>
    <x v="0"/>
    <s v="OK"/>
    <s v="Completed"/>
    <x v="0"/>
    <s v="OK"/>
    <s v="INVALID"/>
    <s v="MATCH"/>
    <s v="MATCH"/>
  </r>
  <r>
    <x v="845"/>
    <n v="1"/>
    <d v="2025-04-06T00:00:00"/>
    <d v="2025-04-06T00:00:00"/>
    <x v="6"/>
    <x v="1"/>
    <s v="2025-09-03"/>
    <d v="2025-09-03T00:00:00"/>
    <n v="150"/>
    <s v="OK"/>
    <s v="CUST-1417"/>
    <s v="Arjun Bose"/>
    <s v="Arjun Bose"/>
    <s v="Small Business"/>
    <x v="1"/>
    <s v="East"/>
    <x v="1"/>
    <s v="OK"/>
    <s v="Assam"/>
    <s v="Assam"/>
    <s v="Guwahati"/>
    <s v="Guwahati"/>
    <s v="Furniture"/>
    <x v="1"/>
    <s v="Furnishings"/>
    <x v="3"/>
    <s v="Elite Furnishings 852"/>
    <s v="Second Class"/>
    <x v="0"/>
    <s v="OK"/>
    <n v="1"/>
    <n v="3501.12"/>
    <n v="0.2"/>
    <n v="0.2"/>
    <s v="OK"/>
    <n v="2800.9"/>
    <n v="1735.98"/>
    <n v="1064.92"/>
    <n v="2800.8960000000002"/>
    <n v="1064.9160000000002"/>
    <x v="832"/>
    <s v="Paid"/>
    <x v="0"/>
    <s v="OK"/>
    <s v="Returned"/>
    <x v="1"/>
    <s v="RETURNED_ORDER"/>
    <s v="CLEAN"/>
    <s v="MATCH"/>
    <s v="MATCH"/>
  </r>
  <r>
    <x v="846"/>
    <n v="1"/>
    <d v="2025-06-22T00:00:00"/>
    <d v="2025-06-22T00:00:00"/>
    <x v="8"/>
    <x v="1"/>
    <s v="2024-01-22"/>
    <d v="2024-01-22T00:00:00"/>
    <n v="-517"/>
    <s v="INVALID_SHIPPING"/>
    <s v="CUST-2829"/>
    <s v="Sneha Kapoor"/>
    <s v="Sneha Kapoor"/>
    <s v="Corporate"/>
    <x v="2"/>
    <s v="East"/>
    <x v="1"/>
    <s v="OK"/>
    <s v="Assam"/>
    <s v="Assam"/>
    <s v="Guwahati"/>
    <s v="Guwahati"/>
    <s v="Office Supplies"/>
    <x v="0"/>
    <s v="Paper"/>
    <x v="0"/>
    <s v="Elite Paper 847"/>
    <s v="Standard Class"/>
    <x v="3"/>
    <s v="OK"/>
    <n v="9"/>
    <n v="951.55"/>
    <n v="0.15"/>
    <n v="0.15"/>
    <s v="OK"/>
    <n v="7279.36"/>
    <n v="4870.3900000000003"/>
    <n v="2408.9699999999998"/>
    <n v="7279.3574999999992"/>
    <n v="2408.9674999999988"/>
    <x v="833"/>
    <s v="Paid"/>
    <x v="0"/>
    <s v="OK"/>
    <s v="Completed"/>
    <x v="0"/>
    <s v="OK"/>
    <s v="INVALID"/>
    <s v="MATCH"/>
    <s v="MATCH"/>
  </r>
  <r>
    <x v="847"/>
    <n v="1"/>
    <d v="2025-11-07T00:00:00"/>
    <d v="2025-11-07T00:00:00"/>
    <x v="2"/>
    <x v="1"/>
    <s v="08/28/2025"/>
    <d v="2025-08-28T00:00:00"/>
    <n v="-71"/>
    <s v="INVALID_SHIPPING"/>
    <s v="CUST-7553"/>
    <s v="Aditi Sen"/>
    <s v="Aditi Sen"/>
    <s v="Corporate"/>
    <x v="2"/>
    <s v="North"/>
    <x v="0"/>
    <s v="OK"/>
    <s v="Delhi"/>
    <s v="Delhi"/>
    <s v="New Delhi"/>
    <s v="New Delhi"/>
    <s v="Furniture"/>
    <x v="1"/>
    <s v="Furnishings"/>
    <x v="3"/>
    <s v="Classic Furnishings 348"/>
    <s v="Standard Class"/>
    <x v="3"/>
    <s v="OK"/>
    <n v="9"/>
    <n v="1706.05"/>
    <n v="0"/>
    <n v="0"/>
    <s v="OK"/>
    <n v="15354.45"/>
    <n v="9656.5"/>
    <n v="5697.95"/>
    <n v="15354.449999999999"/>
    <n v="5697.9499999999989"/>
    <x v="834"/>
    <s v="Paid"/>
    <x v="0"/>
    <s v="OK"/>
    <s v="Completed"/>
    <x v="0"/>
    <s v="OK"/>
    <s v="INVALID"/>
    <s v="MATCH"/>
    <s v="MATCH"/>
  </r>
  <r>
    <x v="848"/>
    <n v="1"/>
    <d v="2025-08-10T00:00:00"/>
    <d v="2025-08-10T00:00:00"/>
    <x v="1"/>
    <x v="1"/>
    <s v="03/15/2024"/>
    <d v="2024-03-15T00:00:00"/>
    <n v="-513"/>
    <s v="INVALID_SHIPPING"/>
    <s v="CUST-3344"/>
    <s v="Aarav Sharma"/>
    <s v="Aarav Sharma"/>
    <s v="Home Office"/>
    <x v="3"/>
    <s v="East"/>
    <x v="1"/>
    <s v="OK"/>
    <s v="Odisha"/>
    <s v="Odisha"/>
    <s v="Bhubaneswar"/>
    <s v="Bhubaneswar"/>
    <s v="Technology"/>
    <x v="2"/>
    <s v="Accessories"/>
    <x v="4"/>
    <s v="Pro Accessories 500"/>
    <s v="Second Class"/>
    <x v="0"/>
    <s v="OK"/>
    <n v="3"/>
    <n v="3372.21"/>
    <n v="0.2"/>
    <n v="0.2"/>
    <s v="OK"/>
    <n v="8093.3"/>
    <n v="6052.43"/>
    <n v="2040.87"/>
    <n v="8093.304000000001"/>
    <n v="2040.8740000000007"/>
    <x v="835"/>
    <s v="Pending"/>
    <x v="1"/>
    <s v="OK"/>
    <s v="Cancelled"/>
    <x v="2"/>
    <s v="EXCLUDE_FROM_SALES"/>
    <s v="INVALID"/>
    <s v="MATCH"/>
    <s v="MATCH"/>
  </r>
  <r>
    <x v="849"/>
    <n v="1"/>
    <d v="2025-02-16T00:00:00"/>
    <d v="2025-02-16T00:00:00"/>
    <x v="11"/>
    <x v="1"/>
    <s v="05-12-2024"/>
    <d v="2024-05-12T00:00:00"/>
    <n v="-280"/>
    <s v="INVALID_SHIPPING"/>
    <s v="CUST-5866"/>
    <s v="Rohan Mehta"/>
    <s v="Rohan Mehta"/>
    <s v="Small Business"/>
    <x v="1"/>
    <s v="East"/>
    <x v="1"/>
    <s v="OK"/>
    <s v="Assam"/>
    <s v="Assam"/>
    <s v="Guwahati"/>
    <s v="Guwahati"/>
    <s v="Furniture"/>
    <x v="1"/>
    <s v="Furnishings"/>
    <x v="3"/>
    <s v="Pro Furnishings 909"/>
    <s v="Second Class"/>
    <x v="0"/>
    <s v="OK"/>
    <n v="6"/>
    <n v="1441.91"/>
    <n v="0"/>
    <n v="0"/>
    <s v="OK"/>
    <n v="8651.4599999999991"/>
    <n v="5254.62"/>
    <n v="3396.84"/>
    <n v="8651.4600000000009"/>
    <n v="3396.8400000000011"/>
    <x v="836"/>
    <s v="Failed"/>
    <x v="3"/>
    <s v="EXCLUDE_FROM_SALES"/>
    <s v="Returned"/>
    <x v="1"/>
    <s v="RETURNED_ORDER"/>
    <s v="INVALID"/>
    <s v="MATCH"/>
    <s v="MATCH"/>
  </r>
  <r>
    <x v="850"/>
    <n v="1"/>
    <d v="2025-09-10T00:00:00"/>
    <d v="2025-09-10T00:00:00"/>
    <x v="5"/>
    <x v="1"/>
    <s v="02/10/2025"/>
    <d v="2025-02-10T00:00:00"/>
    <n v="-212"/>
    <s v="INVALID_SHIPPING"/>
    <s v="CUST-8745"/>
    <s v="Rahul Verma"/>
    <s v="Rahul Verma"/>
    <s v="Home Office"/>
    <x v="3"/>
    <s v="South"/>
    <x v="2"/>
    <s v="OK"/>
    <s v="Telangana"/>
    <s v="Telangana"/>
    <s v="Hyderabad"/>
    <s v="Hyderabad"/>
    <s v="Furniture"/>
    <x v="1"/>
    <s v="Furnishings"/>
    <x v="3"/>
    <s v="Eco Furnishings 541"/>
    <s v="Standard Class"/>
    <x v="3"/>
    <s v="OK"/>
    <n v="1"/>
    <n v="2050.62"/>
    <n v="0.05"/>
    <n v="0.05"/>
    <s v="OK"/>
    <n v="1948.09"/>
    <n v="1507.08"/>
    <n v="441.01"/>
    <n v="1948.0889999999997"/>
    <n v="441.00899999999979"/>
    <x v="837"/>
    <s v="Paid"/>
    <x v="0"/>
    <s v="OK"/>
    <s v="Completed"/>
    <x v="0"/>
    <s v="OK"/>
    <s v="INVALID"/>
    <s v="MATCH"/>
    <s v="MATCH"/>
  </r>
  <r>
    <x v="851"/>
    <n v="1"/>
    <d v="2025-06-04T00:00:00"/>
    <d v="2025-06-04T00:00:00"/>
    <x v="8"/>
    <x v="1"/>
    <s v="05/01/2025"/>
    <d v="2025-05-01T00:00:00"/>
    <n v="-34"/>
    <s v="INVALID_SHIPPING"/>
    <s v="CUST-2098"/>
    <s v="Priya Menon"/>
    <s v="Priya Menon"/>
    <s v="Home Office"/>
    <x v="3"/>
    <s v="East"/>
    <x v="1"/>
    <s v="OK"/>
    <s v="Assam"/>
    <s v="Assam"/>
    <s v="Guwahati"/>
    <s v="Guwahati"/>
    <s v="Office Supplies"/>
    <x v="0"/>
    <s v="Binders"/>
    <x v="11"/>
    <s v="Classic Binders 103"/>
    <s v="Second Class"/>
    <x v="0"/>
    <s v="OK"/>
    <n v="2"/>
    <n v="2030.06"/>
    <n v="0.25"/>
    <n v="0.25"/>
    <s v="OK"/>
    <n v="3045.09"/>
    <n v="2601.09"/>
    <n v="444"/>
    <n v="3045.09"/>
    <n v="444"/>
    <x v="838"/>
    <s v="Paid"/>
    <x v="0"/>
    <s v="OK"/>
    <s v="Completed"/>
    <x v="0"/>
    <s v="OK"/>
    <s v="INVALID"/>
    <s v="MATCH"/>
    <s v="MATCH"/>
  </r>
  <r>
    <x v="852"/>
    <n v="1"/>
    <d v="2025-07-02T00:00:00"/>
    <d v="2025-07-02T00:00:00"/>
    <x v="0"/>
    <x v="1"/>
    <s v="2025-01-25"/>
    <d v="2025-01-25T00:00:00"/>
    <n v="-158"/>
    <s v="INVALID_SHIPPING"/>
    <s v="CUST-5884"/>
    <s v="Karan Malhotra"/>
    <s v="Karan Malhotra"/>
    <s v="Small Business"/>
    <x v="1"/>
    <s v="South"/>
    <x v="2"/>
    <s v="OK"/>
    <s v="Telangana"/>
    <s v="Telangana"/>
    <s v="Hyderabad"/>
    <s v="Hyderabad"/>
    <s v="Office Supplies"/>
    <x v="0"/>
    <s v="Labels"/>
    <x v="5"/>
    <s v="Smart Labels 436"/>
    <s v="Standard Class"/>
    <x v="3"/>
    <s v="OK"/>
    <n v="2"/>
    <n v="2432.98"/>
    <n v="0.1"/>
    <n v="0.1"/>
    <s v="OK"/>
    <n v="4379.3599999999997"/>
    <n v="3723.93"/>
    <n v="655.43"/>
    <n v="4379.3640000000005"/>
    <n v="655.43400000000065"/>
    <x v="839"/>
    <s v="Paid"/>
    <x v="0"/>
    <s v="OK"/>
    <s v="Completed"/>
    <x v="0"/>
    <s v="OK"/>
    <s v="INVALID"/>
    <s v="MATCH"/>
    <s v="MATCH"/>
  </r>
  <r>
    <x v="853"/>
    <n v="1"/>
    <d v="2025-08-31T00:00:00"/>
    <d v="2025-08-31T00:00:00"/>
    <x v="1"/>
    <x v="1"/>
    <s v="2024-01-05"/>
    <d v="2024-01-05T00:00:00"/>
    <n v="-604"/>
    <s v="INVALID_SHIPPING"/>
    <s v="CUST-7503"/>
    <s v="Aarav Sharma"/>
    <s v="Aarav Sharma"/>
    <s v="Small Business"/>
    <x v="1"/>
    <s v="South"/>
    <x v="2"/>
    <s v="OK"/>
    <s v="Tamil Nadu"/>
    <s v="Tamil Nadu"/>
    <s v="Chennai"/>
    <s v="Chennai"/>
    <s v="Furniture"/>
    <x v="1"/>
    <s v="Furnishings"/>
    <x v="3"/>
    <s v="Pro Furnishings 386"/>
    <s v="First Class"/>
    <x v="2"/>
    <s v="OK"/>
    <n v="7"/>
    <n v="977.28"/>
    <n v="0.2"/>
    <n v="0.2"/>
    <s v="OK"/>
    <n v="5472.77"/>
    <n v="4477.33"/>
    <n v="995.44"/>
    <n v="5472.768"/>
    <n v="995.4380000000001"/>
    <x v="840"/>
    <s v="Paid"/>
    <x v="0"/>
    <s v="OK"/>
    <s v="Completed"/>
    <x v="0"/>
    <s v="OK"/>
    <s v="INVALID"/>
    <s v="MATCH"/>
    <s v="MATCH"/>
  </r>
  <r>
    <x v="854"/>
    <n v="1"/>
    <d v="2025-06-25T00:00:00"/>
    <d v="2025-06-25T00:00:00"/>
    <x v="8"/>
    <x v="1"/>
    <s v="03-05-2025"/>
    <d v="2025-03-05T00:00:00"/>
    <n v="-112"/>
    <s v="INVALID_SHIPPING"/>
    <s v="CUST-6973"/>
    <s v="Arjun Bose"/>
    <s v="Arjun Bose"/>
    <s v="Small Business"/>
    <x v="1"/>
    <m/>
    <x v="4"/>
    <s v="MISSING_REGION"/>
    <s v="Punjab"/>
    <s v="Punjab"/>
    <s v="Ludhiana"/>
    <s v="Ludhiana"/>
    <s v="Office Supplies"/>
    <x v="0"/>
    <s v="Binders"/>
    <x v="11"/>
    <s v="Eco Binders 601"/>
    <s v="Second Class"/>
    <x v="0"/>
    <s v="OK"/>
    <n v="6"/>
    <n v="1366.13"/>
    <n v="0.1"/>
    <n v="0.1"/>
    <s v="OK"/>
    <n v="7377.1"/>
    <n v="5085.21"/>
    <n v="2291.89"/>
    <n v="7377.1020000000008"/>
    <n v="2291.8920000000007"/>
    <x v="841"/>
    <s v="Paid"/>
    <x v="0"/>
    <s v="OK"/>
    <s v="Completed"/>
    <x v="0"/>
    <s v="OK"/>
    <s v="INVALID"/>
    <s v="MATCH"/>
    <s v="MATCH"/>
  </r>
  <r>
    <x v="855"/>
    <n v="1"/>
    <d v="2025-06-04T00:00:00"/>
    <d v="2025-06-04T00:00:00"/>
    <x v="8"/>
    <x v="1"/>
    <s v="2024-06-18"/>
    <d v="2024-06-18T00:00:00"/>
    <n v="-351"/>
    <s v="INVALID_SHIPPING"/>
    <s v="CUST-7848"/>
    <s v="Rohan Mehta"/>
    <s v="Rohan Mehta"/>
    <s v="Consumer"/>
    <x v="0"/>
    <s v="East"/>
    <x v="1"/>
    <s v="OK"/>
    <s v="Odisha"/>
    <s v="Odisha"/>
    <s v="Bhubaneswar"/>
    <s v="Bhubaneswar"/>
    <s v="Furniture"/>
    <x v="1"/>
    <s v="Bookcases"/>
    <x v="9"/>
    <s v="Elite Bookcases 988"/>
    <s v="Standard Class"/>
    <x v="3"/>
    <s v="OK"/>
    <n v="2"/>
    <n v="1337.67"/>
    <n v="0"/>
    <n v="0"/>
    <s v="OK"/>
    <n v="2675.34"/>
    <n v="1595.87"/>
    <n v="1079.47"/>
    <n v="2675.34"/>
    <n v="1079.4700000000003"/>
    <x v="842"/>
    <s v="Paid"/>
    <x v="0"/>
    <s v="OK"/>
    <s v="Completed"/>
    <x v="0"/>
    <s v="OK"/>
    <s v="INVALID"/>
    <s v="MATCH"/>
    <s v="MATCH"/>
  </r>
  <r>
    <x v="856"/>
    <n v="1"/>
    <d v="2025-06-08T00:00:00"/>
    <d v="2025-06-08T00:00:00"/>
    <x v="8"/>
    <x v="1"/>
    <s v="07-08-2025"/>
    <d v="2025-07-08T00:00:00"/>
    <n v="30"/>
    <s v="OK"/>
    <s v="CUST-9048"/>
    <s v="Arjun Bose"/>
    <s v="Arjun Bose"/>
    <s v="Consumer"/>
    <x v="0"/>
    <s v="West"/>
    <x v="3"/>
    <s v="OK"/>
    <s v="Madhya Pradesh"/>
    <s v="Madhya Pradesh"/>
    <s v="Indore"/>
    <s v="Indore"/>
    <s v="Office Supplies"/>
    <x v="0"/>
    <s v="Labels"/>
    <x v="5"/>
    <s v="Smart Labels 126"/>
    <s v="First Class"/>
    <x v="2"/>
    <s v="OK"/>
    <n v="2"/>
    <n v="2375.94"/>
    <n v="0.25"/>
    <n v="0.25"/>
    <s v="OK"/>
    <n v="3563.91"/>
    <n v="2639.7"/>
    <n v="924.21"/>
    <n v="3563.91"/>
    <n v="924.21"/>
    <x v="843"/>
    <s v="Paid"/>
    <x v="0"/>
    <s v="OK"/>
    <s v="Completed"/>
    <x v="0"/>
    <s v="OK"/>
    <s v="CLEAN"/>
    <s v="MATCH"/>
    <s v="MATCH"/>
  </r>
  <r>
    <x v="857"/>
    <n v="1"/>
    <d v="2025-05-04T00:00:00"/>
    <d v="2025-05-04T00:00:00"/>
    <x v="3"/>
    <x v="1"/>
    <s v="03/11/2025"/>
    <d v="2025-03-11T00:00:00"/>
    <n v="-54"/>
    <s v="INVALID_SHIPPING"/>
    <s v="CUST-2221"/>
    <s v="Sneha Kapoor"/>
    <s v="Sneha Kapoor"/>
    <s v="Consumer"/>
    <x v="0"/>
    <s v="East"/>
    <x v="1"/>
    <s v="OK"/>
    <s v="Bihar"/>
    <s v="Bihar"/>
    <s v="Patna"/>
    <s v="Patna"/>
    <s v="Office Supplies"/>
    <x v="0"/>
    <s v="Binders"/>
    <x v="11"/>
    <s v="Classic Binders 873"/>
    <s v="Standard Class"/>
    <x v="3"/>
    <s v="OK"/>
    <n v="6"/>
    <n v="1829.69"/>
    <n v="0.25"/>
    <n v="0.25"/>
    <s v="OK"/>
    <n v="8233.6"/>
    <n v="4713.79"/>
    <n v="3519.81"/>
    <n v="8233.6049999999996"/>
    <n v="3519.8149999999996"/>
    <x v="844"/>
    <s v="Paid"/>
    <x v="0"/>
    <s v="OK"/>
    <s v="Completed"/>
    <x v="0"/>
    <s v="OK"/>
    <s v="INVALID"/>
    <s v="MISMATCH"/>
    <s v="MISMATCH"/>
  </r>
  <r>
    <x v="858"/>
    <n v="1"/>
    <d v="2025-02-06T00:00:00"/>
    <d v="2025-02-06T00:00:00"/>
    <x v="11"/>
    <x v="1"/>
    <s v="21-05-2024"/>
    <d v="2024-05-21T00:00:00"/>
    <n v="-261"/>
    <s v="INVALID_SHIPPING"/>
    <s v="CUST-2041"/>
    <s v="Ananya Rao"/>
    <s v="Ananya Rao"/>
    <s v="Home Office"/>
    <x v="3"/>
    <s v="North"/>
    <x v="0"/>
    <s v="OK"/>
    <s v="Uttar Pradesh"/>
    <s v="Uttar Pradesh"/>
    <s v="Noida"/>
    <s v="Noida"/>
    <s v="Furniture"/>
    <x v="1"/>
    <s v="Bookcases"/>
    <x v="9"/>
    <s v="Classic Bookcases 882"/>
    <s v="Standard Class"/>
    <x v="3"/>
    <s v="OK"/>
    <n v="2"/>
    <n v="319.57"/>
    <n v="0.2"/>
    <n v="0.2"/>
    <s v="OK"/>
    <n v="511.31"/>
    <n v="436.43"/>
    <n v="74.88"/>
    <n v="511.31200000000001"/>
    <n v="74.882000000000005"/>
    <x v="845"/>
    <s v="Paid"/>
    <x v="0"/>
    <s v="OK"/>
    <s v="Completed"/>
    <x v="0"/>
    <s v="OK"/>
    <s v="INVALID"/>
    <s v="MATCH"/>
    <s v="MATCH"/>
  </r>
  <r>
    <x v="859"/>
    <n v="1"/>
    <d v="2025-06-01T00:00:00"/>
    <d v="2025-06-01T00:00:00"/>
    <x v="8"/>
    <x v="1"/>
    <s v="09-10-2024"/>
    <d v="2024-09-10T00:00:00"/>
    <n v="-264"/>
    <s v="INVALID_SHIPPING"/>
    <s v="CUST-6638"/>
    <s v="Mira Das"/>
    <s v="Mira Das"/>
    <s v="Home Office"/>
    <x v="3"/>
    <s v="West"/>
    <x v="3"/>
    <s v="OK"/>
    <s v="Goa"/>
    <s v="Goa"/>
    <s v="Panaji"/>
    <s v="Panaji"/>
    <s v="Office Supplies"/>
    <x v="0"/>
    <s v="Paper"/>
    <x v="0"/>
    <s v="Basic Paper 899"/>
    <s v="Same Day"/>
    <x v="1"/>
    <s v="OK"/>
    <n v="3"/>
    <n v="668.33"/>
    <n v="0.15"/>
    <n v="0.15"/>
    <s v="OK"/>
    <n v="1704.24"/>
    <n v="957.55"/>
    <n v="746.69"/>
    <n v="1704.2415000000001"/>
    <n v="746.69150000000013"/>
    <x v="846"/>
    <s v="Paid"/>
    <x v="0"/>
    <s v="OK"/>
    <s v="Completed"/>
    <x v="0"/>
    <s v="OK"/>
    <s v="INVALID"/>
    <s v="MATCH"/>
    <s v="MATCH"/>
  </r>
  <r>
    <x v="860"/>
    <n v="1"/>
    <d v="2025-03-21T00:00:00"/>
    <d v="2025-03-21T00:00:00"/>
    <x v="10"/>
    <x v="1"/>
    <s v="04/18/2025"/>
    <d v="2025-04-18T00:00:00"/>
    <n v="28"/>
    <s v="OK"/>
    <s v="CUST-3540"/>
    <s v="Priya Menon"/>
    <s v="Priya Menon"/>
    <s v="Consumer"/>
    <x v="0"/>
    <s v="West"/>
    <x v="3"/>
    <s v="OK"/>
    <s v="Goa"/>
    <s v="Goa"/>
    <s v="Panaji"/>
    <s v="Panaji"/>
    <s v="Office Supplies"/>
    <x v="0"/>
    <s v="Paper"/>
    <x v="0"/>
    <s v="Pro Paper 267"/>
    <s v="First Class"/>
    <x v="2"/>
    <s v="OK"/>
    <n v="8"/>
    <n v="4436.74"/>
    <n v="0.05"/>
    <n v="0.05"/>
    <s v="OK"/>
    <n v="33719.22"/>
    <n v="28924.43"/>
    <n v="4794.79"/>
    <n v="33719.223999999995"/>
    <n v="4794.7939999999944"/>
    <x v="847"/>
    <s v="Paid"/>
    <x v="0"/>
    <s v="OK"/>
    <s v="Completed"/>
    <x v="0"/>
    <s v="OK"/>
    <s v="CLEAN"/>
    <s v="MATCH"/>
    <s v="MATCH"/>
  </r>
  <r>
    <x v="861"/>
    <n v="1"/>
    <d v="2025-04-16T00:00:00"/>
    <d v="2025-04-16T00:00:00"/>
    <x v="6"/>
    <x v="1"/>
    <s v="08 Jun 2024"/>
    <d v="2024-06-08T00:00:00"/>
    <n v="-312"/>
    <s v="INVALID_SHIPPING"/>
    <s v="CUST-3351"/>
    <s v="Vikram Iyer"/>
    <s v="Vikram Iyer"/>
    <s v="Small Business"/>
    <x v="1"/>
    <s v="North"/>
    <x v="0"/>
    <s v="OK"/>
    <s v="Uttar Pradesh"/>
    <s v="Uttar Pradesh"/>
    <s v="Noida"/>
    <s v="Noida"/>
    <s v="Technology"/>
    <x v="2"/>
    <s v="Machines"/>
    <x v="12"/>
    <s v="Basic Machines 832"/>
    <s v="First Class"/>
    <x v="2"/>
    <s v="OK"/>
    <n v="1"/>
    <n v="2720.17"/>
    <n v="0"/>
    <n v="0"/>
    <s v="OK"/>
    <n v="2720.17"/>
    <n v="1834.23"/>
    <n v="885.94"/>
    <n v="2720.17"/>
    <n v="885.94"/>
    <x v="848"/>
    <s v="Paid"/>
    <x v="0"/>
    <s v="OK"/>
    <s v="Completed"/>
    <x v="0"/>
    <s v="OK"/>
    <s v="INVALID"/>
    <s v="MATCH"/>
    <s v="MATCH"/>
  </r>
  <r>
    <x v="862"/>
    <n v="1"/>
    <d v="2025-10-08T00:00:00"/>
    <d v="2025-10-08T00:00:00"/>
    <x v="7"/>
    <x v="1"/>
    <s v="02/29/2024"/>
    <d v="2024-02-29T00:00:00"/>
    <n v="-587"/>
    <s v="INVALID_SHIPPING"/>
    <s v="CUST-4375"/>
    <s v="Aditi Sen"/>
    <s v="Aditi Sen"/>
    <s v="Consumer"/>
    <x v="0"/>
    <s v="West"/>
    <x v="3"/>
    <s v="OK"/>
    <s v="Rajasthan"/>
    <s v="Rajasthan"/>
    <s v="Udaipur"/>
    <s v="Udaipur"/>
    <s v="Technology"/>
    <x v="2"/>
    <s v="Accessories"/>
    <x v="4"/>
    <s v="Elite Accessories 790"/>
    <s v="Standard Class"/>
    <x v="3"/>
    <s v="OK"/>
    <n v="5"/>
    <n v="2190.14"/>
    <n v="0.25"/>
    <n v="0.25"/>
    <s v="OK"/>
    <n v="8213.02"/>
    <n v="5569.3"/>
    <n v="2643.72"/>
    <n v="8213.0249999999996"/>
    <n v="2643.7249999999995"/>
    <x v="849"/>
    <s v="Paid"/>
    <x v="0"/>
    <s v="OK"/>
    <s v="Completed"/>
    <x v="0"/>
    <s v="OK"/>
    <s v="INVALID"/>
    <s v="MISMATCH"/>
    <s v="MISMATCH"/>
  </r>
  <r>
    <x v="863"/>
    <n v="1"/>
    <d v="2025-10-10T00:00:00"/>
    <d v="2025-10-10T00:00:00"/>
    <x v="7"/>
    <x v="1"/>
    <s v="11/10/2024"/>
    <d v="2024-11-10T00:00:00"/>
    <n v="-334"/>
    <s v="INVALID_SHIPPING"/>
    <s v="CUST-6010"/>
    <s v="Karan Malhotra"/>
    <s v="Karan Malhotra"/>
    <s v="Corporate"/>
    <x v="2"/>
    <s v="East"/>
    <x v="1"/>
    <s v="OK"/>
    <s v="Odisha"/>
    <s v="Odisha"/>
    <s v="Bhubaneswar"/>
    <s v="Bhubaneswar"/>
    <s v="Furniture"/>
    <x v="1"/>
    <s v="Chairs"/>
    <x v="10"/>
    <s v="Elite Chairs 979"/>
    <s v="Second Class"/>
    <x v="0"/>
    <s v="OK"/>
    <n v="7"/>
    <n v="3791.96"/>
    <n v="0.05"/>
    <n v="0.05"/>
    <s v="OK"/>
    <n v="25216.53"/>
    <n v="14216.94"/>
    <n v="10999.59"/>
    <n v="25216.534"/>
    <n v="10999.593999999999"/>
    <x v="850"/>
    <s v="Failed"/>
    <x v="3"/>
    <s v="EXCLUDE_FROM_SALES"/>
    <s v="Cancelled"/>
    <x v="2"/>
    <s v="EXCLUDE_FROM_SALES"/>
    <s v="INVALID"/>
    <s v="MATCH"/>
    <s v="MATCH"/>
  </r>
  <r>
    <x v="864"/>
    <n v="1"/>
    <d v="2025-07-15T00:00:00"/>
    <d v="2025-07-15T00:00:00"/>
    <x v="0"/>
    <x v="1"/>
    <s v="25-12-2024"/>
    <d v="2024-12-25T00:00:00"/>
    <n v="-202"/>
    <s v="INVALID_SHIPPING"/>
    <s v="CUST-7929"/>
    <s v="Aditi Sen"/>
    <s v="Aditi Sen"/>
    <s v="Small Business"/>
    <x v="1"/>
    <m/>
    <x v="4"/>
    <s v="MISSING_REGION"/>
    <s v="Tamil Nadu"/>
    <s v="Tamil Nadu"/>
    <s v="Chennai"/>
    <s v="Chennai"/>
    <s v="Technology"/>
    <x v="2"/>
    <s v="Machines"/>
    <x v="12"/>
    <s v="Smart Machines 951"/>
    <s v="First Class"/>
    <x v="2"/>
    <s v="OK"/>
    <n v="6"/>
    <n v="2382.88"/>
    <n v="0.1"/>
    <n v="0.1"/>
    <s v="OK"/>
    <n v="12867.55"/>
    <n v="10068.94"/>
    <n v="2798.61"/>
    <n v="12867.552000000001"/>
    <n v="2798.612000000001"/>
    <x v="851"/>
    <s v="Paid"/>
    <x v="0"/>
    <s v="OK"/>
    <s v="Completed"/>
    <x v="0"/>
    <s v="OK"/>
    <s v="INVALID"/>
    <s v="MATCH"/>
    <s v="MATCH"/>
  </r>
  <r>
    <x v="865"/>
    <n v="1"/>
    <d v="2025-03-04T00:00:00"/>
    <d v="2025-03-04T00:00:00"/>
    <x v="10"/>
    <x v="1"/>
    <s v="03 May 2025"/>
    <d v="2025-05-03T00:00:00"/>
    <n v="60"/>
    <s v="OK"/>
    <s v="CUST-1106"/>
    <s v="Diya Patel"/>
    <s v="Diya Patel"/>
    <s v="Home Office"/>
    <x v="3"/>
    <m/>
    <x v="4"/>
    <s v="MISSING_REGION"/>
    <s v="Haryana"/>
    <s v="Haryana"/>
    <s v="Gurugram"/>
    <s v="Gurugram"/>
    <s v="Furniture"/>
    <x v="1"/>
    <s v="Chairs"/>
    <x v="10"/>
    <s v="Smart Chairs 794"/>
    <s v="First Class"/>
    <x v="2"/>
    <s v="OK"/>
    <n v="9"/>
    <n v="3462.7"/>
    <n v="0.15"/>
    <n v="0.15"/>
    <s v="OK"/>
    <n v="26489.65"/>
    <n v="15818.46"/>
    <n v="10671.19"/>
    <n v="26489.654999999999"/>
    <n v="10671.195"/>
    <x v="852"/>
    <s v="Failed"/>
    <x v="3"/>
    <s v="EXCLUDE_FROM_SALES"/>
    <s v="Returned"/>
    <x v="1"/>
    <s v="RETURNED_ORDER"/>
    <s v="WARNING"/>
    <s v="MISMATCH"/>
    <s v="MISMATCH"/>
  </r>
  <r>
    <x v="866"/>
    <n v="1"/>
    <d v="2025-05-26T00:00:00"/>
    <d v="2025-05-26T00:00:00"/>
    <x v="3"/>
    <x v="1"/>
    <s v="06/08/2024"/>
    <d v="2024-06-08T00:00:00"/>
    <n v="-352"/>
    <s v="INVALID_SHIPPING"/>
    <s v="CUST-9557"/>
    <s v="Kabir Singh"/>
    <s v="Kabir Singh"/>
    <s v="Small Business"/>
    <x v="1"/>
    <s v="South"/>
    <x v="2"/>
    <s v="OK"/>
    <s v="Andhra Pradesh"/>
    <s v="Andhra Pradesh"/>
    <s v="Vijayawada"/>
    <s v="Vijayawada"/>
    <s v="Technology"/>
    <x v="2"/>
    <s v="Phones"/>
    <x v="8"/>
    <s v="Max Phones 919"/>
    <s v="Second Class"/>
    <x v="0"/>
    <s v="OK"/>
    <n v="9"/>
    <n v="4302.0200000000004"/>
    <n v="0.05"/>
    <n v="0.05"/>
    <s v="OK"/>
    <n v="36782.269999999997"/>
    <n v="25902.81"/>
    <n v="10879.46"/>
    <n v="36782.271000000008"/>
    <n v="10879.461000000007"/>
    <x v="853"/>
    <s v="Paid"/>
    <x v="0"/>
    <s v="OK"/>
    <s v="Completed"/>
    <x v="0"/>
    <s v="OK"/>
    <s v="INVALID"/>
    <s v="MATCH"/>
    <s v="MATCH"/>
  </r>
  <r>
    <x v="867"/>
    <n v="1"/>
    <d v="2025-09-26T00:00:00"/>
    <d v="2025-09-26T00:00:00"/>
    <x v="5"/>
    <x v="1"/>
    <s v="06/03/2025"/>
    <d v="2025-06-03T00:00:00"/>
    <n v="-115"/>
    <s v="INVALID_SHIPPING"/>
    <s v="CUST-5150"/>
    <s v="Priya Menon"/>
    <s v="Priya Menon"/>
    <s v="Small Business"/>
    <x v="1"/>
    <s v="East"/>
    <x v="1"/>
    <s v="OK"/>
    <s v="Assam"/>
    <s v="Assam"/>
    <s v="Guwahati"/>
    <s v="Guwahati"/>
    <s v="Technology"/>
    <x v="2"/>
    <s v="Phones"/>
    <x v="8"/>
    <s v="Prime Phones 338"/>
    <s v="Second Class"/>
    <x v="0"/>
    <s v="OK"/>
    <n v="7"/>
    <n v="1509.59"/>
    <n v="0.05"/>
    <n v="0.05"/>
    <s v="OK"/>
    <n v="10038.77"/>
    <n v="5673.1"/>
    <n v="4365.67"/>
    <n v="10038.773499999999"/>
    <n v="4365.673499999999"/>
    <x v="854"/>
    <s v="Paid"/>
    <x v="0"/>
    <s v="OK"/>
    <s v="Completed"/>
    <x v="0"/>
    <s v="OK"/>
    <s v="INVALID"/>
    <s v="MATCH"/>
    <s v="MATCH"/>
  </r>
  <r>
    <x v="868"/>
    <n v="1"/>
    <d v="2025-09-27T00:00:00"/>
    <d v="2025-09-27T00:00:00"/>
    <x v="5"/>
    <x v="1"/>
    <s v="2024-04-09"/>
    <d v="2024-04-09T00:00:00"/>
    <n v="-536"/>
    <s v="INVALID_SHIPPING"/>
    <s v="CUST-2551"/>
    <s v="Karan Malhotra"/>
    <s v="Karan Malhotra"/>
    <s v="Home Office"/>
    <x v="3"/>
    <s v="West"/>
    <x v="3"/>
    <s v="OK"/>
    <s v="Maharashtra"/>
    <s v="Maharashtra"/>
    <s v="Mumbai"/>
    <s v="Mumbai"/>
    <s v="Office Supplies"/>
    <x v="0"/>
    <s v="Paper"/>
    <x v="0"/>
    <s v="Prime Paper 812"/>
    <s v="First Class"/>
    <x v="2"/>
    <s v="OK"/>
    <n v="3"/>
    <n v="4177.63"/>
    <n v="0.25"/>
    <n v="0.25"/>
    <s v="OK"/>
    <n v="9399.67"/>
    <n v="6540.37"/>
    <n v="2859.3"/>
    <n v="9399.6674999999996"/>
    <n v="2859.2974999999997"/>
    <x v="855"/>
    <s v="Paid"/>
    <x v="0"/>
    <s v="OK"/>
    <s v="Completed"/>
    <x v="0"/>
    <s v="OK"/>
    <s v="INVALID"/>
    <s v="MATCH"/>
    <s v="MATCH"/>
  </r>
  <r>
    <x v="869"/>
    <n v="1"/>
    <d v="2025-03-04T00:00:00"/>
    <d v="2025-03-04T00:00:00"/>
    <x v="10"/>
    <x v="1"/>
    <s v="08/24/2024"/>
    <d v="2024-08-24T00:00:00"/>
    <n v="-192"/>
    <s v="INVALID_SHIPPING"/>
    <s v="CUST-4708"/>
    <s v="Ananya Rao"/>
    <s v="Ananya Rao"/>
    <s v="Small Business"/>
    <x v="1"/>
    <s v="West"/>
    <x v="3"/>
    <s v="OK"/>
    <s v="Goa"/>
    <s v="Goa"/>
    <s v="Panaji"/>
    <s v="Panaji"/>
    <s v="Office Supplies"/>
    <x v="0"/>
    <s v="Paper"/>
    <x v="0"/>
    <s v="Pro Paper 355"/>
    <s v="Same Day"/>
    <x v="1"/>
    <s v="OK"/>
    <n v="1"/>
    <n v="1470.57"/>
    <n v="0"/>
    <n v="0"/>
    <s v="OK"/>
    <n v="1470.57"/>
    <n v="834.02"/>
    <n v="636.54999999999995"/>
    <n v="1470.57"/>
    <n v="636.54999999999995"/>
    <x v="856"/>
    <s v="Paid"/>
    <x v="0"/>
    <s v="OK"/>
    <s v="Returned"/>
    <x v="1"/>
    <s v="RETURNED_ORDER"/>
    <s v="INVALID"/>
    <s v="MATCH"/>
    <s v="MATCH"/>
  </r>
  <r>
    <x v="870"/>
    <n v="1"/>
    <d v="2025-09-19T00:00:00"/>
    <d v="2025-09-19T00:00:00"/>
    <x v="5"/>
    <x v="1"/>
    <s v="09-08-2025"/>
    <d v="2025-09-08T00:00:00"/>
    <n v="-11"/>
    <s v="INVALID_SHIPPING"/>
    <s v="CUST-1297"/>
    <s v="Neha Gupta"/>
    <s v="Neha Gupta"/>
    <s v="Home Office"/>
    <x v="3"/>
    <s v="North"/>
    <x v="0"/>
    <s v="OK"/>
    <s v="Delhi"/>
    <s v="Delhi"/>
    <s v="New Delhi"/>
    <s v="New Delhi"/>
    <s v="Furniture"/>
    <x v="1"/>
    <s v="Chairs"/>
    <x v="10"/>
    <s v="Classic Chairs 204"/>
    <s v="Same Day"/>
    <x v="1"/>
    <s v="OK"/>
    <n v="4"/>
    <n v="1584.11"/>
    <n v="0"/>
    <n v="0"/>
    <s v="OK"/>
    <n v="6336.44"/>
    <n v="4680.68"/>
    <n v="1655.76"/>
    <n v="6336.44"/>
    <n v="1655.7599999999993"/>
    <x v="857"/>
    <s v="Paid"/>
    <x v="0"/>
    <s v="OK"/>
    <s v="Completed"/>
    <x v="0"/>
    <s v="OK"/>
    <s v="INVALID"/>
    <s v="MATCH"/>
    <s v="MATCH"/>
  </r>
  <r>
    <x v="871"/>
    <n v="1"/>
    <d v="2025-06-02T00:00:00"/>
    <d v="2025-06-02T00:00:00"/>
    <x v="8"/>
    <x v="1"/>
    <s v="03/20/2024"/>
    <d v="2024-03-20T00:00:00"/>
    <n v="-439"/>
    <s v="INVALID_SHIPPING"/>
    <s v="CUST-7558"/>
    <s v="Ananya Rao"/>
    <s v="Ananya Rao"/>
    <s v="Small Business"/>
    <x v="1"/>
    <s v="East"/>
    <x v="1"/>
    <s v="OK"/>
    <s v="Bihar"/>
    <s v="Bihar"/>
    <s v="Patna"/>
    <s v="Patna"/>
    <s v="Office Supplies"/>
    <x v="0"/>
    <s v="Art"/>
    <x v="2"/>
    <s v="Max Art 339"/>
    <s v="Standard Class"/>
    <x v="3"/>
    <s v="OK"/>
    <n v="9"/>
    <n v="3237.16"/>
    <n v="0.25"/>
    <n v="0.25"/>
    <s v="OK"/>
    <n v="21850.83"/>
    <n v="16600.13"/>
    <n v="5250.7"/>
    <n v="21850.829999999998"/>
    <n v="5250.6999999999971"/>
    <x v="858"/>
    <s v="Paid"/>
    <x v="0"/>
    <s v="OK"/>
    <s v="Completed"/>
    <x v="0"/>
    <s v="OK"/>
    <s v="INVALID"/>
    <s v="MATCH"/>
    <s v="MATCH"/>
  </r>
  <r>
    <x v="872"/>
    <n v="1"/>
    <d v="2025-07-18T00:00:00"/>
    <d v="2025-07-18T00:00:00"/>
    <x v="0"/>
    <x v="1"/>
    <s v="23-01-2024"/>
    <d v="2024-01-23T00:00:00"/>
    <n v="-542"/>
    <s v="INVALID_SHIPPING"/>
    <s v="CUST-7333"/>
    <s v="Priya Menon"/>
    <s v="Priya Menon"/>
    <s v="Small Business"/>
    <x v="1"/>
    <s v="North"/>
    <x v="0"/>
    <s v="OK"/>
    <s v="Uttar Pradesh"/>
    <s v="Uttar Pradesh"/>
    <s v="Noida"/>
    <s v="Noida"/>
    <s v="Technology"/>
    <x v="2"/>
    <s v="Phones"/>
    <x v="8"/>
    <s v="Prime Phones 482"/>
    <s v="First Class"/>
    <x v="2"/>
    <s v="OK"/>
    <n v="9"/>
    <n v="3989.52"/>
    <n v="-0.02"/>
    <n v="-0.02"/>
    <s v="Invalid Negative Discount"/>
    <n v="35905.68"/>
    <n v="23916.1"/>
    <n v="11989.58"/>
    <s v="INVALID"/>
    <s v="INVALID"/>
    <x v="12"/>
    <s v="Paid"/>
    <x v="0"/>
    <s v="OK"/>
    <s v="Completed"/>
    <x v="0"/>
    <s v="OK"/>
    <s v="INVALID"/>
    <s v="INVALID"/>
    <s v="INVALID"/>
  </r>
  <r>
    <x v="873"/>
    <n v="1"/>
    <d v="2025-01-20T00:00:00"/>
    <d v="2025-01-20T00:00:00"/>
    <x v="9"/>
    <x v="1"/>
    <s v="16-04-2025"/>
    <d v="2025-04-16T00:00:00"/>
    <n v="86"/>
    <s v="OK"/>
    <s v="CUST-2086"/>
    <s v="Aditi Sen"/>
    <s v="Aditi Sen"/>
    <s v="Home Office"/>
    <x v="3"/>
    <s v="West"/>
    <x v="3"/>
    <s v="OK"/>
    <s v="Goa"/>
    <s v="Goa"/>
    <s v="Panaji"/>
    <s v="Panaji"/>
    <s v="Office Supplies"/>
    <x v="0"/>
    <s v="Art"/>
    <x v="2"/>
    <s v="Pro Art 588"/>
    <s v="First Class"/>
    <x v="2"/>
    <s v="OK"/>
    <n v="1"/>
    <n v="3515.15"/>
    <n v="0"/>
    <n v="0"/>
    <s v="OK"/>
    <n v="3515.15"/>
    <n v="2216.34"/>
    <n v="1298.81"/>
    <n v="3515.15"/>
    <n v="1298.81"/>
    <x v="859"/>
    <s v="Paid"/>
    <x v="0"/>
    <s v="OK"/>
    <s v="Completed"/>
    <x v="0"/>
    <s v="OK"/>
    <s v="CLEAN"/>
    <s v="MATCH"/>
    <s v="MATCH"/>
  </r>
  <r>
    <x v="874"/>
    <n v="1"/>
    <d v="2025-05-20T00:00:00"/>
    <d v="2025-05-20T00:00:00"/>
    <x v="3"/>
    <x v="1"/>
    <s v="25 May 2025"/>
    <d v="2025-05-25T00:00:00"/>
    <n v="5"/>
    <s v="OK"/>
    <s v="CUST-8329"/>
    <s v="Diya Patel"/>
    <s v="Diya Patel"/>
    <s v="Home Office"/>
    <x v="3"/>
    <s v="East"/>
    <x v="1"/>
    <s v="OK"/>
    <s v="Odisha"/>
    <s v="Odisha"/>
    <s v="Bhubaneswar"/>
    <s v="Bhubaneswar"/>
    <s v="Furniture"/>
    <x v="1"/>
    <s v="Tables"/>
    <x v="1"/>
    <s v="Pro Tables 828"/>
    <s v="Second Class"/>
    <x v="0"/>
    <s v="OK"/>
    <n v="2"/>
    <n v="210.08"/>
    <n v="0.2"/>
    <n v="0.2"/>
    <s v="OK"/>
    <n v="336.13"/>
    <n v="242.19"/>
    <n v="93.94"/>
    <n v="336.12800000000004"/>
    <n v="93.938000000000045"/>
    <x v="860"/>
    <s v="Paid"/>
    <x v="0"/>
    <s v="OK"/>
    <s v="Completed"/>
    <x v="0"/>
    <s v="OK"/>
    <s v="CLEAN"/>
    <s v="MATCH"/>
    <s v="MATCH"/>
  </r>
  <r>
    <x v="875"/>
    <n v="1"/>
    <d v="2025-05-27T00:00:00"/>
    <d v="2025-05-27T00:00:00"/>
    <x v="3"/>
    <x v="1"/>
    <s v="12/18/2024"/>
    <d v="2024-12-18T00:00:00"/>
    <n v="-160"/>
    <s v="INVALID_SHIPPING"/>
    <s v="CUST-4426"/>
    <s v="Rahul Verma"/>
    <s v="Rahul Verma"/>
    <s v="Home Office"/>
    <x v="3"/>
    <s v="South"/>
    <x v="2"/>
    <s v="OK"/>
    <s v="Tamil Nadu"/>
    <s v="Tamil Nadu"/>
    <s v="Chennai"/>
    <s v="Chennai"/>
    <s v="Furniture"/>
    <x v="1"/>
    <s v="Furnishings"/>
    <x v="3"/>
    <s v="Elite Furnishings 480"/>
    <s v="Second Class"/>
    <x v="0"/>
    <s v="OK"/>
    <n v="1"/>
    <n v="1744.35"/>
    <n v="0.25"/>
    <n v="0.25"/>
    <s v="OK"/>
    <n v="1308.26"/>
    <n v="1083.56"/>
    <n v="224.7"/>
    <n v="1308.2624999999998"/>
    <n v="224.70249999999987"/>
    <x v="861"/>
    <s v="Paid"/>
    <x v="0"/>
    <s v="OK"/>
    <s v="Completed"/>
    <x v="0"/>
    <s v="OK"/>
    <s v="INVALID"/>
    <s v="MATCH"/>
    <s v="MATCH"/>
  </r>
  <r>
    <x v="876"/>
    <n v="1"/>
    <d v="2025-05-16T00:00:00"/>
    <d v="2025-05-16T00:00:00"/>
    <x v="3"/>
    <x v="1"/>
    <s v="2025-09-09"/>
    <d v="2025-09-09T00:00:00"/>
    <n v="116"/>
    <s v="OK"/>
    <s v="CUST-8274"/>
    <s v="Arjun Bose"/>
    <s v="Arjun Bose"/>
    <s v="Corporate"/>
    <x v="2"/>
    <s v="South"/>
    <x v="2"/>
    <s v="OK"/>
    <s v="Tamil Nadu"/>
    <s v="Tamil Nadu"/>
    <s v="Chennai"/>
    <s v="Chennai"/>
    <s v="Technology"/>
    <x v="2"/>
    <s v="Accessories"/>
    <x v="4"/>
    <s v="Elite Accessories 708"/>
    <s v="Same Day"/>
    <x v="1"/>
    <s v="OK"/>
    <n v="8"/>
    <n v="579.79999999999995"/>
    <n v="0.2"/>
    <n v="0.2"/>
    <s v="OK"/>
    <n v="3710.72"/>
    <n v="3115.29"/>
    <n v="595.42999999999995"/>
    <n v="3710.72"/>
    <n v="595.42999999999984"/>
    <x v="862"/>
    <s v="Paid"/>
    <x v="0"/>
    <s v="OK"/>
    <s v="Completed"/>
    <x v="0"/>
    <s v="OK"/>
    <s v="CLEAN"/>
    <s v="MATCH"/>
    <s v="MATCH"/>
  </r>
  <r>
    <x v="877"/>
    <n v="1"/>
    <d v="2025-03-25T00:00:00"/>
    <d v="2025-03-25T00:00:00"/>
    <x v="10"/>
    <x v="1"/>
    <s v="2025-04-29"/>
    <d v="2025-04-29T00:00:00"/>
    <n v="35"/>
    <s v="OK"/>
    <s v="CUST-2514"/>
    <s v="Priya Menon"/>
    <s v="Priya Menon"/>
    <s v="Consumer"/>
    <x v="0"/>
    <s v="South"/>
    <x v="2"/>
    <s v="OK"/>
    <s v="Karnataka"/>
    <s v="Karnataka"/>
    <s v="Bengaluru"/>
    <s v="Bengaluru"/>
    <s v="Furniture"/>
    <x v="1"/>
    <s v="Bookcases"/>
    <x v="9"/>
    <s v="Max Bookcases 381"/>
    <s v="Second Class"/>
    <x v="0"/>
    <s v="OK"/>
    <n v="4"/>
    <n v="2233.64"/>
    <n v="0.05"/>
    <n v="0.05"/>
    <s v="OK"/>
    <n v="8487.83"/>
    <n v="5245.72"/>
    <n v="3242.11"/>
    <n v="8487.8319999999985"/>
    <n v="3242.1119999999983"/>
    <x v="863"/>
    <s v="Paid"/>
    <x v="0"/>
    <s v="OK"/>
    <s v="Completed"/>
    <x v="0"/>
    <s v="OK"/>
    <s v="CLEAN"/>
    <s v="MATCH"/>
    <s v="MATCH"/>
  </r>
  <r>
    <x v="878"/>
    <n v="1"/>
    <d v="2025-08-03T00:00:00"/>
    <d v="2025-08-03T00:00:00"/>
    <x v="1"/>
    <x v="1"/>
    <s v="25 May 2024"/>
    <d v="2024-05-25T00:00:00"/>
    <n v="-435"/>
    <s v="INVALID_SHIPPING"/>
    <s v="CUST-9448"/>
    <s v="Priya Menon"/>
    <s v="Priya Menon"/>
    <s v="Home Office"/>
    <x v="3"/>
    <s v="North"/>
    <x v="0"/>
    <s v="OK"/>
    <s v="Delhi"/>
    <s v="Delhi"/>
    <s v="New Delhi"/>
    <s v="New Delhi"/>
    <s v="Furniture"/>
    <x v="1"/>
    <s v="Furnishings"/>
    <x v="3"/>
    <s v="Smart Furnishings 892"/>
    <s v="Same Day"/>
    <x v="1"/>
    <s v="OK"/>
    <n v="4"/>
    <n v="3405.68"/>
    <n v="0.2"/>
    <n v="0.2"/>
    <s v="OK"/>
    <n v="10898.18"/>
    <n v="6231.41"/>
    <n v="4666.7700000000004"/>
    <n v="10898.175999999999"/>
    <n v="4666.7659999999996"/>
    <x v="864"/>
    <s v="Paid"/>
    <x v="0"/>
    <s v="OK"/>
    <s v="Completed"/>
    <x v="0"/>
    <s v="OK"/>
    <s v="INVALID"/>
    <s v="MATCH"/>
    <s v="MATCH"/>
  </r>
  <r>
    <x v="879"/>
    <n v="1"/>
    <d v="2025-03-26T00:00:00"/>
    <d v="2025-03-26T00:00:00"/>
    <x v="10"/>
    <x v="1"/>
    <s v="02/27/2024"/>
    <d v="2024-02-27T00:00:00"/>
    <n v="-393"/>
    <s v="INVALID_SHIPPING"/>
    <s v="CUST-8354"/>
    <s v="Priya Menon"/>
    <s v="Priya Menon"/>
    <s v="Small Business"/>
    <x v="1"/>
    <s v="East"/>
    <x v="1"/>
    <s v="OK"/>
    <s v="Jharkhand"/>
    <s v="Jharkhand"/>
    <s v="Ranchi"/>
    <s v="Ranchi"/>
    <s v="Office Supplies"/>
    <x v="0"/>
    <s v="Binders"/>
    <x v="11"/>
    <s v="Pro Binders 488"/>
    <s v="First Class"/>
    <x v="2"/>
    <s v="OK"/>
    <n v="5"/>
    <n v="1395.14"/>
    <n v="0"/>
    <n v="0"/>
    <s v="OK"/>
    <n v="6975.7"/>
    <n v="4797.88"/>
    <n v="2177.8200000000002"/>
    <n v="6975.7000000000007"/>
    <n v="2177.8200000000006"/>
    <x v="865"/>
    <s v="Paid"/>
    <x v="0"/>
    <s v="OK"/>
    <s v="Cancelled"/>
    <x v="2"/>
    <s v="EXCLUDE_FROM_SALES"/>
    <s v="INVALID"/>
    <s v="MATCH"/>
    <s v="MATCH"/>
  </r>
  <r>
    <x v="880"/>
    <n v="1"/>
    <d v="2025-06-09T00:00:00"/>
    <d v="2025-06-09T00:00:00"/>
    <x v="8"/>
    <x v="1"/>
    <s v="30-05-2025"/>
    <d v="2025-05-30T00:00:00"/>
    <n v="-10"/>
    <s v="INVALID_SHIPPING"/>
    <s v="CUST-2200"/>
    <s v="Aarav Sharma"/>
    <s v="Aarav Sharma"/>
    <s v="Home Office"/>
    <x v="3"/>
    <s v="West"/>
    <x v="3"/>
    <s v="OK"/>
    <s v="Madhya Pradesh"/>
    <s v="Madhya Pradesh"/>
    <s v="Indore"/>
    <s v="Indore"/>
    <s v="Furniture"/>
    <x v="1"/>
    <s v="Furnishings"/>
    <x v="3"/>
    <s v="Prime Furnishings 679"/>
    <s v="Same Day"/>
    <x v="1"/>
    <s v="OK"/>
    <n v="3"/>
    <n v="2937.23"/>
    <n v="0"/>
    <n v="0"/>
    <s v="OK"/>
    <n v="8811.69"/>
    <n v="6765.91"/>
    <n v="2045.78"/>
    <n v="8811.69"/>
    <n v="2045.7800000000007"/>
    <x v="866"/>
    <s v="Paid"/>
    <x v="0"/>
    <s v="OK"/>
    <s v="Completed"/>
    <x v="0"/>
    <s v="OK"/>
    <s v="INVALID"/>
    <s v="MATCH"/>
    <s v="MATCH"/>
  </r>
  <r>
    <x v="881"/>
    <n v="1"/>
    <d v="2025-02-09T00:00:00"/>
    <d v="2025-02-09T00:00:00"/>
    <x v="11"/>
    <x v="1"/>
    <s v="26-12-2024"/>
    <d v="2024-12-26T00:00:00"/>
    <n v="-45"/>
    <s v="INVALID_SHIPPING"/>
    <s v="CUST-1178"/>
    <s v="Vikram Iyer"/>
    <s v="Vikram Iyer"/>
    <s v="Consumer"/>
    <x v="0"/>
    <s v="South"/>
    <x v="2"/>
    <s v="OK"/>
    <s v="Tamil Nadu"/>
    <s v="Tamil Nadu"/>
    <s v="Chennai"/>
    <s v="Chennai"/>
    <s v="Technology"/>
    <x v="2"/>
    <s v="Phones"/>
    <x v="8"/>
    <s v="Smart Phones 158"/>
    <s v="First Class"/>
    <x v="2"/>
    <s v="OK"/>
    <n v="5"/>
    <n v="3406.87"/>
    <n v="0"/>
    <n v="0"/>
    <s v="OK"/>
    <n v="17034.349999999999"/>
    <n v="14631.36"/>
    <n v="2402.9899999999998"/>
    <n v="17034.349999999999"/>
    <n v="2402.989999999998"/>
    <x v="867"/>
    <s v="Paid"/>
    <x v="0"/>
    <s v="OK"/>
    <s v="Completed"/>
    <x v="0"/>
    <s v="OK"/>
    <s v="INVALID"/>
    <s v="MATCH"/>
    <s v="MATCH"/>
  </r>
  <r>
    <x v="882"/>
    <n v="1"/>
    <d v="2025-02-06T00:00:00"/>
    <d v="2025-02-06T00:00:00"/>
    <x v="11"/>
    <x v="1"/>
    <s v="18 Feb 2024"/>
    <d v="2024-02-18T00:00:00"/>
    <n v="-354"/>
    <s v="INVALID_SHIPPING"/>
    <s v="CUST-8099"/>
    <s v="Kabir Singh"/>
    <s v="Kabir Singh"/>
    <s v="Consumer"/>
    <x v="0"/>
    <s v="West"/>
    <x v="3"/>
    <s v="OK"/>
    <s v="Maharashtra"/>
    <s v="Maharashtra"/>
    <s v="Mumbai"/>
    <s v="Mumbai"/>
    <s v="Office Supplies"/>
    <x v="0"/>
    <s v="Labels"/>
    <x v="5"/>
    <s v="Classic Labels 218"/>
    <s v="Second Class"/>
    <x v="0"/>
    <s v="OK"/>
    <n v="2"/>
    <n v="3992.04"/>
    <n v="0"/>
    <n v="0"/>
    <s v="OK"/>
    <n v="7984.08"/>
    <n v="5658.05"/>
    <n v="2326.0300000000002"/>
    <n v="7984.08"/>
    <n v="2326.0299999999997"/>
    <x v="868"/>
    <s v="Paid"/>
    <x v="0"/>
    <s v="OK"/>
    <s v="Completed"/>
    <x v="0"/>
    <s v="OK"/>
    <s v="INVALID"/>
    <s v="MATCH"/>
    <s v="MATCH"/>
  </r>
  <r>
    <x v="883"/>
    <n v="1"/>
    <d v="2025-02-26T00:00:00"/>
    <d v="2025-02-26T00:00:00"/>
    <x v="11"/>
    <x v="1"/>
    <s v="13 Oct 2025"/>
    <d v="2025-10-13T00:00:00"/>
    <n v="229"/>
    <s v="OK"/>
    <s v="CUST-7596"/>
    <s v="Priya Menon"/>
    <s v="Priya Menon"/>
    <s v="Consumer"/>
    <x v="0"/>
    <s v="East"/>
    <x v="1"/>
    <s v="OK"/>
    <s v="Bihar"/>
    <s v="Bihar"/>
    <s v="Patna"/>
    <s v="Patna"/>
    <s v="Furniture"/>
    <x v="1"/>
    <s v="Bookcases"/>
    <x v="9"/>
    <s v="Smart Bookcases 552"/>
    <s v="First Class"/>
    <x v="2"/>
    <s v="OK"/>
    <n v="9"/>
    <n v="3043.37"/>
    <n v="0.2"/>
    <n v="0.2"/>
    <s v="OK"/>
    <n v="21912.26"/>
    <n v="16367.78"/>
    <n v="5544.48"/>
    <n v="21912.263999999999"/>
    <n v="5544.4839999999986"/>
    <x v="869"/>
    <s v="Pending"/>
    <x v="1"/>
    <s v="OK"/>
    <s v="Cancelled"/>
    <x v="2"/>
    <s v="EXCLUDE_FROM_SALES"/>
    <s v="CLEAN"/>
    <s v="MATCH"/>
    <s v="MATCH"/>
  </r>
  <r>
    <x v="884"/>
    <n v="1"/>
    <d v="2025-04-11T00:00:00"/>
    <d v="2025-04-11T00:00:00"/>
    <x v="6"/>
    <x v="1"/>
    <s v="12-03-2024"/>
    <d v="2024-12-03T00:00:00"/>
    <n v="-129"/>
    <s v="INVALID_SHIPPING"/>
    <s v="CUST-8483"/>
    <s v="Vikram Iyer"/>
    <s v="Vikram Iyer"/>
    <s v="Home Office"/>
    <x v="3"/>
    <s v="South"/>
    <x v="2"/>
    <s v="OK"/>
    <s v="Karnataka"/>
    <s v="Karnataka"/>
    <s v="Bengaluru"/>
    <s v="Bengaluru"/>
    <s v="Office Supplies"/>
    <x v="0"/>
    <s v="Storage"/>
    <x v="7"/>
    <s v="Elite Storage 187"/>
    <s v="Same Day"/>
    <x v="1"/>
    <s v="OK"/>
    <n v="9"/>
    <n v="224.94"/>
    <n v="0.05"/>
    <n v="0.05"/>
    <s v="OK"/>
    <n v="1923.24"/>
    <n v="1093.6600000000001"/>
    <n v="829.58"/>
    <n v="1923.2369999999999"/>
    <n v="829.57699999999977"/>
    <x v="870"/>
    <s v="Paid"/>
    <x v="0"/>
    <s v="OK"/>
    <s v="Completed"/>
    <x v="0"/>
    <s v="OK"/>
    <s v="INVALID"/>
    <s v="MATCH"/>
    <s v="MATCH"/>
  </r>
  <r>
    <x v="885"/>
    <n v="1"/>
    <d v="2025-06-03T00:00:00"/>
    <d v="2025-06-03T00:00:00"/>
    <x v="8"/>
    <x v="1"/>
    <s v="26-01-2025"/>
    <d v="2025-01-26T00:00:00"/>
    <n v="-128"/>
    <s v="INVALID_SHIPPING"/>
    <s v="CUST-2388"/>
    <s v="Rohan Mehta"/>
    <s v="Rohan Mehta"/>
    <s v="Home Office"/>
    <x v="3"/>
    <m/>
    <x v="4"/>
    <s v="MISSING_REGION"/>
    <s v="Delhi"/>
    <s v="Delhi"/>
    <s v="New Delhi"/>
    <s v="New Delhi"/>
    <s v="Furniture"/>
    <x v="1"/>
    <s v="Chairs"/>
    <x v="10"/>
    <s v="Max Chairs 487"/>
    <s v="Same Day"/>
    <x v="1"/>
    <s v="OK"/>
    <n v="6"/>
    <n v="796.65"/>
    <n v="0.1"/>
    <n v="0.1"/>
    <s v="OK"/>
    <n v="4301.91"/>
    <n v="2374.4"/>
    <n v="1927.51"/>
    <n v="4301.91"/>
    <n v="1927.5099999999998"/>
    <x v="871"/>
    <s v="Paid"/>
    <x v="0"/>
    <s v="OK"/>
    <s v="Completed"/>
    <x v="0"/>
    <s v="OK"/>
    <s v="INVALID"/>
    <s v="MATCH"/>
    <s v="MATCH"/>
  </r>
  <r>
    <x v="886"/>
    <n v="1"/>
    <d v="2025-06-06T00:00:00"/>
    <d v="2025-06-06T00:00:00"/>
    <x v="8"/>
    <x v="1"/>
    <s v="09/18/2025"/>
    <d v="2025-09-18T00:00:00"/>
    <n v="104"/>
    <s v="OK"/>
    <s v="CUST-7054"/>
    <s v="Vikram Iyer"/>
    <s v="Vikram Iyer"/>
    <s v="Corporate"/>
    <x v="2"/>
    <s v="West"/>
    <x v="3"/>
    <s v="OK"/>
    <s v="Goa"/>
    <s v="Goa"/>
    <s v="Panaji"/>
    <s v="Panaji"/>
    <s v="Furniture"/>
    <x v="1"/>
    <s v="Tables"/>
    <x v="1"/>
    <s v="Max Tables 281"/>
    <s v="Standard Class"/>
    <x v="3"/>
    <s v="OK"/>
    <n v="9"/>
    <n v="2932.92"/>
    <n v="0.15"/>
    <n v="0.15"/>
    <s v="OK"/>
    <n v="22436.84"/>
    <n v="17454.669999999998"/>
    <n v="4982.17"/>
    <n v="22436.838"/>
    <n v="4982.1680000000015"/>
    <x v="872"/>
    <s v="Paid"/>
    <x v="0"/>
    <s v="OK"/>
    <s v="Cancelled"/>
    <x v="2"/>
    <s v="EXCLUDE_FROM_SALES"/>
    <s v="CLEAN"/>
    <s v="MATCH"/>
    <s v="MATCH"/>
  </r>
  <r>
    <x v="887"/>
    <n v="1"/>
    <d v="2025-01-02T00:00:00"/>
    <d v="2025-01-02T00:00:00"/>
    <x v="9"/>
    <x v="1"/>
    <s v="04/16/2025"/>
    <d v="2025-04-16T00:00:00"/>
    <n v="104"/>
    <s v="OK"/>
    <s v="CUST-8160"/>
    <s v="Aditi Sen"/>
    <s v="Aditi Sen"/>
    <s v="Home Office"/>
    <x v="3"/>
    <s v="West"/>
    <x v="3"/>
    <s v="OK"/>
    <s v="Gujarat"/>
    <s v="Gujarat"/>
    <s v="Ahmedabad"/>
    <s v="Ahmedabad"/>
    <s v="Office Supplies"/>
    <x v="0"/>
    <s v="Storage"/>
    <x v="7"/>
    <s v="Elite Storage 144"/>
    <s v="Second Class"/>
    <x v="0"/>
    <s v="OK"/>
    <n v="8"/>
    <n v="623.30999999999995"/>
    <n v="0.1"/>
    <n v="0.1"/>
    <s v="OK"/>
    <n v="4487.83"/>
    <n v="2633.78"/>
    <n v="1854.05"/>
    <n v="4487.8319999999994"/>
    <n v="1854.0519999999992"/>
    <x v="873"/>
    <s v="Paid"/>
    <x v="0"/>
    <s v="OK"/>
    <s v="Completed"/>
    <x v="0"/>
    <s v="OK"/>
    <s v="CLEAN"/>
    <s v="MATCH"/>
    <s v="MATCH"/>
  </r>
  <r>
    <x v="888"/>
    <n v="1"/>
    <d v="2025-07-15T00:00:00"/>
    <d v="2025-07-15T00:00:00"/>
    <x v="0"/>
    <x v="1"/>
    <s v="2024-12-06"/>
    <d v="2024-12-06T00:00:00"/>
    <n v="-221"/>
    <s v="INVALID_SHIPPING"/>
    <s v="CUST-8770"/>
    <s v="Vikram Iyer"/>
    <s v="Vikram Iyer"/>
    <s v="Small Business"/>
    <x v="1"/>
    <s v="West"/>
    <x v="3"/>
    <s v="OK"/>
    <s v="Maharashtra"/>
    <s v="Maharashtra"/>
    <s v="Mumbai"/>
    <s v="Mumbai"/>
    <s v="Office Supplies"/>
    <x v="0"/>
    <s v="Paper"/>
    <x v="0"/>
    <s v="Elite Paper 309"/>
    <s v="Standard Class"/>
    <x v="3"/>
    <s v="OK"/>
    <n v="8"/>
    <n v="3924.88"/>
    <n v="0.05"/>
    <n v="0.05"/>
    <s v="OK"/>
    <n v="29829.09"/>
    <n v="20710.18"/>
    <n v="9118.91"/>
    <n v="29829.088"/>
    <n v="9118.9079999999994"/>
    <x v="874"/>
    <s v="Paid"/>
    <x v="0"/>
    <s v="OK"/>
    <s v="Completed"/>
    <x v="0"/>
    <s v="OK"/>
    <s v="INVALID"/>
    <s v="MATCH"/>
    <s v="MATCH"/>
  </r>
  <r>
    <x v="889"/>
    <n v="1"/>
    <d v="2025-08-26T00:00:00"/>
    <d v="2025-08-26T00:00:00"/>
    <x v="1"/>
    <x v="1"/>
    <s v="29 Aug 2025"/>
    <d v="2025-08-29T00:00:00"/>
    <n v="3"/>
    <s v="OK"/>
    <s v="CUST-7146"/>
    <s v="Aarav Sharma"/>
    <s v="Aarav Sharma"/>
    <s v="Consumer"/>
    <x v="0"/>
    <s v="West"/>
    <x v="3"/>
    <s v="OK"/>
    <s v="Rajasthan"/>
    <s v="Rajasthan"/>
    <s v="Udaipur"/>
    <s v="Udaipur"/>
    <s v="Office Supplies"/>
    <x v="0"/>
    <s v="Storage"/>
    <x v="7"/>
    <s v="Max Storage 438"/>
    <s v="Second Class"/>
    <x v="0"/>
    <s v="OK"/>
    <n v="6"/>
    <n v="674.36"/>
    <n v="0.1"/>
    <n v="0.1"/>
    <s v="OK"/>
    <n v="3641.54"/>
    <n v="2690.37"/>
    <n v="951.17"/>
    <n v="3641.5439999999999"/>
    <n v="951.17399999999998"/>
    <x v="875"/>
    <s v="Paid"/>
    <x v="0"/>
    <s v="OK"/>
    <s v="Completed"/>
    <x v="0"/>
    <s v="OK"/>
    <s v="CLEAN"/>
    <s v="MATCH"/>
    <s v="MATCH"/>
  </r>
  <r>
    <x v="890"/>
    <n v="1"/>
    <d v="2025-08-27T00:00:00"/>
    <d v="2025-08-27T00:00:00"/>
    <x v="1"/>
    <x v="1"/>
    <s v="2025-04-13"/>
    <d v="2025-04-13T00:00:00"/>
    <n v="-136"/>
    <s v="INVALID_SHIPPING"/>
    <s v="CUST-4486"/>
    <s v="Ananya Rao"/>
    <s v="Ananya Rao"/>
    <s v="Home Office"/>
    <x v="3"/>
    <s v="North"/>
    <x v="0"/>
    <s v="OK"/>
    <s v="Uttar Pradesh"/>
    <s v="Uttar Pradesh"/>
    <s v="Noida"/>
    <s v="Noida"/>
    <s v="Office Supplies"/>
    <x v="0"/>
    <s v="Art"/>
    <x v="2"/>
    <s v="Smart Art 990"/>
    <s v="Standard Class"/>
    <x v="3"/>
    <s v="OK"/>
    <n v="6"/>
    <n v="1182.03"/>
    <n v="0.15"/>
    <n v="0.15"/>
    <s v="OK"/>
    <n v="6028.35"/>
    <n v="4433.63"/>
    <n v="1594.72"/>
    <n v="6028.3530000000001"/>
    <n v="1594.723"/>
    <x v="876"/>
    <s v="Paid"/>
    <x v="0"/>
    <s v="OK"/>
    <s v="Completed"/>
    <x v="0"/>
    <s v="OK"/>
    <s v="INVALID"/>
    <s v="MATCH"/>
    <s v="MATCH"/>
  </r>
  <r>
    <x v="891"/>
    <n v="1"/>
    <d v="2025-02-02T00:00:00"/>
    <d v="2025-02-02T00:00:00"/>
    <x v="11"/>
    <x v="1"/>
    <s v="08 Oct 2025"/>
    <d v="2025-10-08T00:00:00"/>
    <n v="248"/>
    <s v="OK"/>
    <s v="CUST-4983"/>
    <s v="Sneha Kapoor"/>
    <s v="Sneha Kapoor"/>
    <s v="Corporate"/>
    <x v="2"/>
    <s v="East"/>
    <x v="1"/>
    <s v="OK"/>
    <s v="Bihar"/>
    <s v="Bihar"/>
    <s v="Patna"/>
    <s v="Patna"/>
    <s v="Technology"/>
    <x v="2"/>
    <s v="Accessories"/>
    <x v="4"/>
    <s v="Basic Accessories 607"/>
    <s v="Standard Class"/>
    <x v="3"/>
    <s v="OK"/>
    <n v="4"/>
    <n v="1912.45"/>
    <n v="0"/>
    <n v="0"/>
    <s v="OK"/>
    <n v="7649.8"/>
    <n v="4894.53"/>
    <n v="2755.27"/>
    <n v="7649.8"/>
    <n v="2755.2700000000004"/>
    <x v="877"/>
    <s v="Pending"/>
    <x v="1"/>
    <s v="OK"/>
    <s v="Returned"/>
    <x v="1"/>
    <s v="RETURNED_ORDER"/>
    <s v="CLEAN"/>
    <s v="MATCH"/>
    <s v="MATCH"/>
  </r>
  <r>
    <x v="892"/>
    <n v="1"/>
    <d v="2025-04-28T00:00:00"/>
    <d v="2025-04-28T00:00:00"/>
    <x v="6"/>
    <x v="1"/>
    <s v="20 May 2025"/>
    <d v="2025-05-20T00:00:00"/>
    <n v="22"/>
    <s v="OK"/>
    <s v="CUST-2597"/>
    <s v="Aarav Sharma"/>
    <s v="Aarav Sharma"/>
    <s v="Small Business"/>
    <x v="1"/>
    <s v="West"/>
    <x v="3"/>
    <s v="OK"/>
    <s v="Goa"/>
    <s v="Goa"/>
    <s v="Panaji"/>
    <s v="Panaji"/>
    <s v="Office Supplies"/>
    <x v="0"/>
    <s v="Storage"/>
    <x v="7"/>
    <s v="Classic Storage 211"/>
    <s v="Same Day"/>
    <x v="1"/>
    <s v="OK"/>
    <n v="1"/>
    <n v="1620.87"/>
    <n v="0"/>
    <n v="0"/>
    <s v="OK"/>
    <n v="1620.87"/>
    <n v="1103.6099999999999"/>
    <n v="517.26"/>
    <n v="1620.87"/>
    <n v="517.26"/>
    <x v="878"/>
    <s v="Paid"/>
    <x v="0"/>
    <s v="OK"/>
    <s v="Completed"/>
    <x v="0"/>
    <s v="OK"/>
    <s v="CLEAN"/>
    <s v="MATCH"/>
    <s v="MATCH"/>
  </r>
  <r>
    <x v="893"/>
    <n v="1"/>
    <d v="2025-01-18T00:00:00"/>
    <d v="2025-01-18T00:00:00"/>
    <x v="9"/>
    <x v="1"/>
    <s v="09/15/2025"/>
    <d v="2025-09-15T00:00:00"/>
    <n v="240"/>
    <s v="OK"/>
    <s v="CUST-7505"/>
    <s v="Neha Gupta"/>
    <s v="Neha Gupta"/>
    <s v="Home Office"/>
    <x v="3"/>
    <s v="South"/>
    <x v="2"/>
    <s v="OK"/>
    <s v="Karnataka"/>
    <s v="Karnataka"/>
    <s v="Bengaluru"/>
    <s v="Bengaluru"/>
    <s v="Office Supplies"/>
    <x v="0"/>
    <s v="Storage"/>
    <x v="7"/>
    <s v="Eco Storage 783"/>
    <s v="Same Day"/>
    <x v="1"/>
    <s v="OK"/>
    <n v="2"/>
    <n v="2098.54"/>
    <n v="0.15"/>
    <n v="0.15"/>
    <s v="OK"/>
    <n v="3567.52"/>
    <n v="2411.8000000000002"/>
    <n v="1155.72"/>
    <n v="3567.518"/>
    <n v="1155.7179999999998"/>
    <x v="879"/>
    <s v="Paid"/>
    <x v="0"/>
    <s v="OK"/>
    <s v="Completed"/>
    <x v="0"/>
    <s v="OK"/>
    <s v="CLEAN"/>
    <s v="MATCH"/>
    <s v="MATCH"/>
  </r>
  <r>
    <x v="894"/>
    <n v="1"/>
    <d v="2025-04-26T00:00:00"/>
    <d v="2025-04-26T00:00:00"/>
    <x v="6"/>
    <x v="1"/>
    <s v="27-02-2024"/>
    <d v="2024-02-27T00:00:00"/>
    <n v="-424"/>
    <s v="INVALID_SHIPPING"/>
    <s v="CUST-3549"/>
    <s v="Arjun Bose"/>
    <s v="Arjun Bose"/>
    <s v="Home Office"/>
    <x v="3"/>
    <s v="South"/>
    <x v="2"/>
    <s v="OK"/>
    <s v="Tamil Nadu"/>
    <s v="Tamil Nadu"/>
    <s v="Chennai"/>
    <s v="Chennai"/>
    <s v="Technology"/>
    <x v="2"/>
    <s v="Accessories"/>
    <x v="4"/>
    <s v="Max Accessories 541"/>
    <s v="First Class"/>
    <x v="2"/>
    <s v="OK"/>
    <n v="7"/>
    <n v="3989.9"/>
    <n v="0.15"/>
    <n v="0.15"/>
    <s v="OK"/>
    <n v="23739.9"/>
    <n v="17716.52"/>
    <n v="6023.38"/>
    <n v="23739.904999999999"/>
    <n v="6023.3849999999984"/>
    <x v="880"/>
    <s v="Paid"/>
    <x v="0"/>
    <s v="OK"/>
    <s v="Cancelled"/>
    <x v="2"/>
    <s v="EXCLUDE_FROM_SALES"/>
    <s v="INVALID"/>
    <s v="MISMATCH"/>
    <s v="MISMATCH"/>
  </r>
  <r>
    <x v="895"/>
    <n v="1"/>
    <d v="2025-08-06T00:00:00"/>
    <d v="2025-08-06T00:00:00"/>
    <x v="1"/>
    <x v="1"/>
    <s v="2025-02-14"/>
    <d v="2025-02-14T00:00:00"/>
    <n v="-173"/>
    <s v="INVALID_SHIPPING"/>
    <s v="CUST-1081"/>
    <s v="Rahul Verma"/>
    <s v="Rahul Verma"/>
    <s v="Small Business"/>
    <x v="1"/>
    <s v="West"/>
    <x v="3"/>
    <s v="OK"/>
    <s v="Maharashtra"/>
    <s v="Maharashtra"/>
    <s v="Mumbai"/>
    <s v="Mumbai"/>
    <s v="Office Supplies"/>
    <x v="0"/>
    <s v="Art"/>
    <x v="2"/>
    <s v="Pro Art 620"/>
    <s v="Standard Class"/>
    <x v="3"/>
    <s v="OK"/>
    <n v="4"/>
    <n v="3523.64"/>
    <n v="0.1"/>
    <n v="0.1"/>
    <s v="OK"/>
    <n v="12685.1"/>
    <n v="10779.56"/>
    <n v="1905.54"/>
    <n v="12685.103999999999"/>
    <n v="1905.5439999999999"/>
    <x v="881"/>
    <s v="Refunded"/>
    <x v="2"/>
    <s v="REFUNDED_PAYMENT"/>
    <s v="Cancelled"/>
    <x v="2"/>
    <s v="EXCLUDE_FROM_SALES"/>
    <s v="INVALID"/>
    <s v="MATCH"/>
    <s v="MATCH"/>
  </r>
  <r>
    <x v="896"/>
    <n v="1"/>
    <d v="2025-10-03T00:00:00"/>
    <d v="2025-10-03T00:00:00"/>
    <x v="7"/>
    <x v="1"/>
    <s v="26 Mar 2024"/>
    <d v="2024-03-26T00:00:00"/>
    <n v="-556"/>
    <s v="INVALID_SHIPPING"/>
    <s v="CUST-8467"/>
    <s v="Aditi Sen"/>
    <s v="Aditi Sen"/>
    <s v="Home Office"/>
    <x v="3"/>
    <s v="West"/>
    <x v="3"/>
    <s v="OK"/>
    <s v="Madhya Pradesh"/>
    <s v="Madhya Pradesh"/>
    <s v="Indore"/>
    <s v="Indore"/>
    <s v="Office Supplies"/>
    <x v="0"/>
    <s v="Storage"/>
    <x v="7"/>
    <s v="Prime Storage 806"/>
    <s v="First Class"/>
    <x v="2"/>
    <s v="OK"/>
    <n v="2"/>
    <n v="3922.08"/>
    <n v="0.25"/>
    <n v="0.25"/>
    <s v="OK"/>
    <n v="5883.12"/>
    <n v="4647.91"/>
    <n v="1235.21"/>
    <n v="5883.12"/>
    <n v="1235.21"/>
    <x v="882"/>
    <s v="Paid"/>
    <x v="0"/>
    <s v="OK"/>
    <s v="Returned"/>
    <x v="1"/>
    <s v="RETURNED_ORDER"/>
    <s v="INVALID"/>
    <s v="MATCH"/>
    <s v="MATCH"/>
  </r>
  <r>
    <x v="897"/>
    <n v="1"/>
    <d v="2025-12-04T00:00:00"/>
    <d v="2025-12-04T00:00:00"/>
    <x v="4"/>
    <x v="1"/>
    <s v="24 Aug 2024"/>
    <d v="2024-08-24T00:00:00"/>
    <n v="-467"/>
    <s v="INVALID_SHIPPING"/>
    <s v="CUST-5087"/>
    <s v="Isha Nair"/>
    <s v="Isha Nair"/>
    <s v="Small Business"/>
    <x v="1"/>
    <s v="East"/>
    <x v="1"/>
    <s v="OK"/>
    <s v="Jharkhand"/>
    <s v="Jharkhand"/>
    <s v="Ranchi"/>
    <s v="Ranchi"/>
    <s v="Technology"/>
    <x v="2"/>
    <s v="Copiers"/>
    <x v="6"/>
    <s v="Elite Copiers 221"/>
    <s v="Same Day"/>
    <x v="1"/>
    <s v="OK"/>
    <n v="1"/>
    <n v="726.89"/>
    <n v="0.2"/>
    <n v="0.2"/>
    <s v="OK"/>
    <n v="581.51"/>
    <n v="423.86"/>
    <n v="157.65"/>
    <n v="581.51200000000006"/>
    <n v="157.65200000000004"/>
    <x v="883"/>
    <s v="Paid"/>
    <x v="0"/>
    <s v="OK"/>
    <s v="Completed"/>
    <x v="0"/>
    <s v="OK"/>
    <s v="INVALID"/>
    <s v="MATCH"/>
    <s v="MATCH"/>
  </r>
  <r>
    <x v="898"/>
    <n v="1"/>
    <d v="2025-04-29T00:00:00"/>
    <d v="2025-04-29T00:00:00"/>
    <x v="6"/>
    <x v="1"/>
    <s v="25 May 2024"/>
    <d v="2024-05-25T00:00:00"/>
    <n v="-339"/>
    <s v="INVALID_SHIPPING"/>
    <s v="CUST-2897"/>
    <s v="Rohan Mehta"/>
    <s v="Rohan Mehta"/>
    <s v="Corporate"/>
    <x v="2"/>
    <s v="North"/>
    <x v="0"/>
    <s v="OK"/>
    <s v="Haryana"/>
    <s v="Haryana"/>
    <s v="Gurugram"/>
    <s v="Gurugram"/>
    <s v="Office Supplies"/>
    <x v="0"/>
    <s v="Paper"/>
    <x v="0"/>
    <s v="Eco Paper 747"/>
    <s v="First Class"/>
    <x v="2"/>
    <s v="OK"/>
    <n v="4"/>
    <n v="1786.65"/>
    <n v="0.05"/>
    <n v="0.05"/>
    <s v="OK"/>
    <n v="6789.27"/>
    <n v="5626.43"/>
    <n v="1162.8399999999999"/>
    <n v="6789.27"/>
    <n v="1162.8400000000001"/>
    <x v="884"/>
    <s v="Paid"/>
    <x v="0"/>
    <s v="OK"/>
    <s v="Completed"/>
    <x v="0"/>
    <s v="OK"/>
    <s v="INVALID"/>
    <s v="MATCH"/>
    <s v="MATCH"/>
  </r>
  <r>
    <x v="899"/>
    <n v="1"/>
    <d v="2025-05-27T00:00:00"/>
    <d v="2025-05-27T00:00:00"/>
    <x v="3"/>
    <x v="1"/>
    <s v="18 Jun 2025"/>
    <d v="2025-06-18T00:00:00"/>
    <n v="22"/>
    <s v="OK"/>
    <s v="CUST-3789"/>
    <s v="Karan Malhotra"/>
    <s v="Karan Malhotra"/>
    <s v="Consumer"/>
    <x v="0"/>
    <s v="North"/>
    <x v="0"/>
    <s v="OK"/>
    <s v="Punjab"/>
    <s v="Punjab"/>
    <s v="Ludhiana"/>
    <s v="Ludhiana"/>
    <s v="Furniture"/>
    <x v="1"/>
    <s v="Chairs"/>
    <x v="10"/>
    <s v="Elite Chairs 971"/>
    <s v="First Class"/>
    <x v="2"/>
    <s v="OK"/>
    <n v="5"/>
    <n v="881.08"/>
    <n v="0.25"/>
    <n v="0.25"/>
    <s v="OK"/>
    <n v="3304.05"/>
    <n v="2279.41"/>
    <n v="1024.6400000000001"/>
    <n v="3304.05"/>
    <n v="1024.6400000000003"/>
    <x v="885"/>
    <s v="Failed"/>
    <x v="3"/>
    <s v="EXCLUDE_FROM_SALES"/>
    <s v="Cancelled"/>
    <x v="2"/>
    <s v="EXCLUDE_FROM_SALES"/>
    <s v="CLEAN"/>
    <s v="MATCH"/>
    <s v="MATC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CFF9AC-94DD-4E36-B82D-28E6E1F889F1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50">
    <pivotField showAll="0"/>
    <pivotField showAll="0"/>
    <pivotField numFmtId="166" showAll="0"/>
    <pivotField numFmtId="166" showAll="0"/>
    <pivotField showAll="0"/>
    <pivotField showAll="0"/>
    <pivotField showAll="0"/>
    <pivotField numFmtId="166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6">
    <i>
      <x v="2"/>
    </i>
    <i>
      <x/>
    </i>
    <i>
      <x v="1"/>
    </i>
    <i>
      <x v="4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35" baseField="16" baseItem="0" numFmtId="167"/>
    <dataField name="Sum of profit" fld="37" baseField="0" baseItem="0" numFmtId="167"/>
  </dataFields>
  <formats count="4">
    <format dxfId="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4AFBCF-C752-4CF2-90A0-A83A489B410E}" name="PivotTable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0" firstDataRow="1" firstDataCol="1"/>
  <pivotFields count="50">
    <pivotField showAll="0"/>
    <pivotField showAll="0"/>
    <pivotField numFmtId="166" showAll="0"/>
    <pivotField numFmtId="166" showAll="0"/>
    <pivotField showAll="0"/>
    <pivotField showAll="0"/>
    <pivotField showAll="0"/>
    <pivotField numFmtId="166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axis="axisRow" showAll="0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3"/>
    <field x="25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35" baseField="0" baseItem="0"/>
    <dataField name="Sum of profit" fld="3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F4F03-948B-4C94-82B8-D08E60D4A6F9}" name="PivotTable4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50">
    <pivotField dataField="1" showAll="0">
      <items count="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showAll="0"/>
    <pivotField numFmtId="166" showAll="0"/>
    <pivotField numFmtId="166" showAll="0"/>
    <pivotField showAll="0"/>
    <pivotField showAll="0"/>
    <pivotField showAll="0"/>
    <pivotField numFmtId="166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2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B6C45-EC87-4C86-99F1-E60756DA3517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50">
    <pivotField showAll="0"/>
    <pivotField showAll="0"/>
    <pivotField numFmtId="166" showAll="0"/>
    <pivotField numFmtId="166" showAll="0"/>
    <pivotField showAll="0"/>
    <pivotField showAll="0"/>
    <pivotField showAll="0"/>
    <pivotField numFmtId="166" showAll="0"/>
    <pivotField numFmtId="1"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dataField="1" showAll="0">
      <items count="887">
        <item x="268"/>
        <item x="747"/>
        <item x="120"/>
        <item x="692"/>
        <item x="781"/>
        <item x="69"/>
        <item x="106"/>
        <item x="160"/>
        <item x="722"/>
        <item x="175"/>
        <item x="785"/>
        <item x="132"/>
        <item x="794"/>
        <item x="166"/>
        <item x="2"/>
        <item x="286"/>
        <item x="867"/>
        <item x="821"/>
        <item x="200"/>
        <item x="215"/>
        <item x="614"/>
        <item x="334"/>
        <item x="847"/>
        <item x="404"/>
        <item x="229"/>
        <item x="634"/>
        <item x="291"/>
        <item x="54"/>
        <item x="453"/>
        <item x="371"/>
        <item x="452"/>
        <item x="838"/>
        <item x="644"/>
        <item x="845"/>
        <item x="239"/>
        <item x="563"/>
        <item x="24"/>
        <item x="34"/>
        <item x="518"/>
        <item x="522"/>
        <item x="137"/>
        <item x="814"/>
        <item x="620"/>
        <item x="635"/>
        <item x="477"/>
        <item x="839"/>
        <item x="602"/>
        <item x="31"/>
        <item x="881"/>
        <item x="44"/>
        <item x="189"/>
        <item x="115"/>
        <item x="482"/>
        <item x="430"/>
        <item x="416"/>
        <item x="392"/>
        <item x="128"/>
        <item x="195"/>
        <item x="719"/>
        <item x="127"/>
        <item x="812"/>
        <item x="534"/>
        <item x="340"/>
        <item x="466"/>
        <item x="540"/>
        <item x="441"/>
        <item x="316"/>
        <item x="33"/>
        <item x="362"/>
        <item x="356"/>
        <item x="105"/>
        <item x="513"/>
        <item x="862"/>
        <item x="201"/>
        <item x="601"/>
        <item x="808"/>
        <item x="440"/>
        <item x="138"/>
        <item x="578"/>
        <item x="333"/>
        <item x="6"/>
        <item x="456"/>
        <item x="261"/>
        <item x="294"/>
        <item x="470"/>
        <item x="701"/>
        <item x="104"/>
        <item x="243"/>
        <item x="0"/>
        <item x="76"/>
        <item x="662"/>
        <item x="310"/>
        <item x="140"/>
        <item x="615"/>
        <item x="884"/>
        <item x="751"/>
        <item x="861"/>
        <item x="626"/>
        <item x="790"/>
        <item x="738"/>
        <item x="185"/>
        <item x="816"/>
        <item x="750"/>
        <item x="375"/>
        <item x="372"/>
        <item x="608"/>
        <item x="674"/>
        <item x="332"/>
        <item x="727"/>
        <item x="460"/>
        <item x="289"/>
        <item x="148"/>
        <item x="107"/>
        <item x="688"/>
        <item x="497"/>
        <item x="815"/>
        <item x="442"/>
        <item x="234"/>
        <item x="715"/>
        <item x="744"/>
        <item x="191"/>
        <item x="405"/>
        <item x="685"/>
        <item x="756"/>
        <item x="617"/>
        <item x="776"/>
        <item x="840"/>
        <item x="99"/>
        <item x="382"/>
        <item x="305"/>
        <item x="329"/>
        <item x="3"/>
        <item x="60"/>
        <item x="739"/>
        <item x="266"/>
        <item x="122"/>
        <item x="117"/>
        <item x="312"/>
        <item x="364"/>
        <item x="729"/>
        <item x="275"/>
        <item x="787"/>
        <item x="320"/>
        <item x="32"/>
        <item x="13"/>
        <item x="250"/>
        <item x="758"/>
        <item x="303"/>
        <item x="139"/>
        <item x="531"/>
        <item x="769"/>
        <item x="676"/>
        <item x="561"/>
        <item x="512"/>
        <item x="478"/>
        <item x="408"/>
        <item x="368"/>
        <item x="56"/>
        <item x="504"/>
        <item x="67"/>
        <item x="209"/>
        <item x="485"/>
        <item x="475"/>
        <item x="71"/>
        <item x="817"/>
        <item x="721"/>
        <item x="188"/>
        <item x="118"/>
        <item x="20"/>
        <item x="649"/>
        <item x="379"/>
        <item x="280"/>
        <item x="230"/>
        <item x="19"/>
        <item x="249"/>
        <item x="184"/>
        <item x="683"/>
        <item x="96"/>
        <item x="795"/>
        <item x="159"/>
        <item x="737"/>
        <item x="125"/>
        <item x="733"/>
        <item x="322"/>
        <item x="583"/>
        <item x="542"/>
        <item x="295"/>
        <item x="565"/>
        <item x="325"/>
        <item x="164"/>
        <item x="290"/>
        <item x="546"/>
        <item x="436"/>
        <item x="446"/>
        <item x="439"/>
        <item x="654"/>
        <item x="796"/>
        <item x="38"/>
        <item x="479"/>
        <item x="690"/>
        <item x="882"/>
        <item x="431"/>
        <item x="560"/>
        <item x="655"/>
        <item x="465"/>
        <item x="587"/>
        <item x="36"/>
        <item x="343"/>
        <item x="811"/>
        <item x="697"/>
        <item x="672"/>
        <item x="517"/>
        <item x="755"/>
        <item x="689"/>
        <item x="293"/>
        <item x="851"/>
        <item x="476"/>
        <item x="491"/>
        <item x="285"/>
        <item x="592"/>
        <item x="357"/>
        <item x="374"/>
        <item x="500"/>
        <item x="424"/>
        <item x="754"/>
        <item x="800"/>
        <item x="872"/>
        <item x="420"/>
        <item x="339"/>
        <item x="706"/>
        <item x="194"/>
        <item x="707"/>
        <item x="381"/>
        <item x="768"/>
        <item x="630"/>
        <item x="421"/>
        <item x="300"/>
        <item x="183"/>
        <item x="837"/>
        <item x="317"/>
        <item x="545"/>
        <item x="165"/>
        <item x="143"/>
        <item x="622"/>
        <item x="116"/>
        <item x="287"/>
        <item x="221"/>
        <item x="109"/>
        <item x="429"/>
        <item x="210"/>
        <item x="556"/>
        <item x="866"/>
        <item x="75"/>
        <item x="823"/>
        <item x="330"/>
        <item x="763"/>
        <item x="548"/>
        <item x="444"/>
        <item x="269"/>
        <item x="618"/>
        <item x="50"/>
        <item x="537"/>
        <item x="445"/>
        <item x="354"/>
        <item x="130"/>
        <item x="539"/>
        <item x="858"/>
        <item x="702"/>
        <item x="830"/>
        <item x="527"/>
        <item x="728"/>
        <item x="638"/>
        <item x="376"/>
        <item x="723"/>
        <item x="288"/>
        <item x="77"/>
        <item x="272"/>
        <item x="270"/>
        <item x="88"/>
        <item x="81"/>
        <item x="41"/>
        <item x="653"/>
        <item x="173"/>
        <item x="813"/>
        <item x="22"/>
        <item x="804"/>
        <item x="642"/>
        <item x="664"/>
        <item x="764"/>
        <item x="675"/>
        <item x="309"/>
        <item x="301"/>
        <item x="472"/>
        <item x="564"/>
        <item x="319"/>
        <item x="292"/>
        <item x="686"/>
        <item x="507"/>
        <item x="335"/>
        <item x="799"/>
        <item x="190"/>
        <item x="835"/>
        <item x="535"/>
        <item x="869"/>
        <item x="880"/>
        <item x="197"/>
        <item x="580"/>
        <item x="90"/>
        <item x="46"/>
        <item x="216"/>
        <item x="824"/>
        <item x="742"/>
        <item x="710"/>
        <item x="58"/>
        <item x="619"/>
        <item x="196"/>
        <item x="703"/>
        <item x="843"/>
        <item x="284"/>
        <item x="508"/>
        <item x="559"/>
        <item x="570"/>
        <item x="227"/>
        <item x="236"/>
        <item x="875"/>
        <item x="857"/>
        <item x="94"/>
        <item x="45"/>
        <item x="493"/>
        <item x="79"/>
        <item x="876"/>
        <item x="636"/>
        <item x="780"/>
        <item x="709"/>
        <item x="437"/>
        <item x="820"/>
        <item x="252"/>
        <item x="725"/>
        <item x="394"/>
        <item x="205"/>
        <item x="129"/>
        <item x="228"/>
        <item x="59"/>
        <item x="712"/>
        <item x="693"/>
        <item x="604"/>
        <item x="883"/>
        <item x="761"/>
        <item x="586"/>
        <item x="16"/>
        <item x="62"/>
        <item x="37"/>
        <item x="238"/>
        <item x="641"/>
        <item x="337"/>
        <item x="133"/>
        <item x="698"/>
        <item x="263"/>
        <item x="572"/>
        <item x="182"/>
        <item x="515"/>
        <item x="401"/>
        <item x="786"/>
        <item x="773"/>
        <item x="218"/>
        <item x="283"/>
        <item x="464"/>
        <item x="860"/>
        <item x="73"/>
        <item x="217"/>
        <item x="211"/>
        <item x="83"/>
        <item x="341"/>
        <item x="418"/>
        <item x="627"/>
        <item x="426"/>
        <item x="588"/>
        <item x="225"/>
        <item x="652"/>
        <item x="82"/>
        <item x="400"/>
        <item x="417"/>
        <item x="150"/>
        <item x="237"/>
        <item x="402"/>
        <item x="74"/>
        <item x="730"/>
        <item x="321"/>
        <item x="555"/>
        <item x="61"/>
        <item x="748"/>
        <item x="403"/>
        <item x="562"/>
        <item x="468"/>
        <item x="378"/>
        <item x="49"/>
        <item x="21"/>
        <item x="114"/>
        <item x="380"/>
        <item x="278"/>
        <item x="593"/>
        <item x="519"/>
        <item x="549"/>
        <item x="377"/>
        <item x="868"/>
        <item x="544"/>
        <item x="235"/>
        <item x="169"/>
        <item x="700"/>
        <item x="30"/>
        <item x="658"/>
        <item x="749"/>
        <item x="396"/>
        <item x="853"/>
        <item x="805"/>
        <item x="449"/>
        <item x="661"/>
        <item x="450"/>
        <item x="206"/>
        <item x="163"/>
        <item x="154"/>
        <item x="828"/>
        <item x="679"/>
        <item x="419"/>
        <item x="663"/>
        <item x="467"/>
        <item x="273"/>
        <item x="650"/>
        <item x="222"/>
        <item x="783"/>
        <item x="315"/>
        <item x="70"/>
        <item x="365"/>
        <item x="415"/>
        <item x="784"/>
        <item x="391"/>
        <item x="855"/>
        <item x="422"/>
        <item x="695"/>
        <item x="298"/>
        <item x="487"/>
        <item x="501"/>
        <item x="351"/>
        <item x="874"/>
        <item x="89"/>
        <item x="788"/>
        <item x="350"/>
        <item x="498"/>
        <item x="97"/>
        <item x="569"/>
        <item x="157"/>
        <item x="5"/>
        <item x="443"/>
        <item x="355"/>
        <item x="717"/>
        <item x="346"/>
        <item x="687"/>
        <item x="885"/>
        <item x="486"/>
        <item x="91"/>
        <item x="307"/>
        <item x="841"/>
        <item x="448"/>
        <item x="705"/>
        <item x="262"/>
        <item x="412"/>
        <item x="584"/>
        <item x="112"/>
        <item x="865"/>
        <item x="530"/>
        <item x="595"/>
        <item x="611"/>
        <item x="573"/>
        <item x="668"/>
        <item x="591"/>
        <item x="299"/>
        <item x="213"/>
        <item x="297"/>
        <item x="536"/>
        <item x="646"/>
        <item x="246"/>
        <item x="23"/>
        <item x="102"/>
        <item x="829"/>
        <item x="599"/>
        <item x="505"/>
        <item x="226"/>
        <item x="302"/>
        <item x="878"/>
        <item x="233"/>
        <item x="743"/>
        <item x="463"/>
        <item x="179"/>
        <item x="789"/>
        <item x="386"/>
        <item x="596"/>
        <item x="849"/>
        <item x="694"/>
        <item x="14"/>
        <item x="87"/>
        <item x="879"/>
        <item x="793"/>
        <item x="643"/>
        <item x="271"/>
        <item x="455"/>
        <item x="523"/>
        <item x="848"/>
        <item x="151"/>
        <item x="550"/>
        <item x="208"/>
        <item x="98"/>
        <item x="819"/>
        <item x="198"/>
        <item x="1"/>
        <item x="212"/>
        <item x="161"/>
        <item x="66"/>
        <item x="833"/>
        <item x="831"/>
        <item x="613"/>
        <item x="134"/>
        <item x="682"/>
        <item x="264"/>
        <item x="670"/>
        <item x="385"/>
        <item x="822"/>
        <item x="566"/>
        <item x="152"/>
        <item x="718"/>
        <item x="640"/>
        <item x="521"/>
        <item x="155"/>
        <item x="29"/>
        <item x="296"/>
        <item x="224"/>
        <item x="568"/>
        <item x="135"/>
        <item x="158"/>
        <item x="53"/>
        <item x="231"/>
        <item x="827"/>
        <item x="9"/>
        <item x="223"/>
        <item x="483"/>
        <item x="524"/>
        <item x="313"/>
        <item x="304"/>
        <item x="395"/>
        <item x="605"/>
        <item x="825"/>
        <item x="499"/>
        <item x="57"/>
        <item x="623"/>
        <item x="360"/>
        <item x="473"/>
        <item x="384"/>
        <item x="631"/>
        <item x="543"/>
        <item x="397"/>
        <item x="669"/>
        <item x="145"/>
        <item x="323"/>
        <item x="740"/>
        <item x="428"/>
        <item x="490"/>
        <item x="176"/>
        <item x="533"/>
        <item x="162"/>
        <item x="388"/>
        <item x="17"/>
        <item x="648"/>
        <item x="458"/>
        <item x="8"/>
        <item x="427"/>
        <item x="433"/>
        <item x="187"/>
        <item x="558"/>
        <item x="68"/>
        <item x="660"/>
        <item x="328"/>
        <item x="42"/>
        <item x="338"/>
        <item x="554"/>
        <item x="423"/>
        <item x="27"/>
        <item x="681"/>
        <item x="666"/>
        <item x="131"/>
        <item x="311"/>
        <item x="180"/>
        <item x="462"/>
        <item x="726"/>
        <item x="612"/>
        <item x="281"/>
        <item x="259"/>
        <item x="219"/>
        <item x="590"/>
        <item x="639"/>
        <item x="108"/>
        <item x="594"/>
        <item x="877"/>
        <item x="577"/>
        <item x="265"/>
        <item x="775"/>
        <item x="647"/>
        <item x="720"/>
        <item x="489"/>
        <item x="616"/>
        <item x="532"/>
        <item x="753"/>
        <item x="7"/>
        <item x="178"/>
        <item x="684"/>
        <item x="772"/>
        <item x="771"/>
        <item x="528"/>
        <item x="121"/>
        <item x="567"/>
        <item x="547"/>
        <item x="342"/>
        <item x="708"/>
        <item x="511"/>
        <item x="673"/>
        <item x="801"/>
        <item x="438"/>
        <item x="802"/>
        <item x="461"/>
        <item x="358"/>
        <item x="680"/>
        <item x="810"/>
        <item x="406"/>
        <item x="582"/>
        <item x="251"/>
        <item x="859"/>
        <item x="352"/>
        <item x="95"/>
        <item x="713"/>
        <item x="520"/>
        <item x="834"/>
        <item x="40"/>
        <item x="327"/>
        <item x="331"/>
        <item x="172"/>
        <item x="92"/>
        <item x="86"/>
        <item x="18"/>
        <item x="735"/>
        <item x="779"/>
        <item x="48"/>
        <item x="52"/>
        <item x="244"/>
        <item x="126"/>
        <item x="410"/>
        <item x="84"/>
        <item x="149"/>
        <item x="186"/>
        <item x="411"/>
        <item x="142"/>
        <item x="434"/>
        <item x="696"/>
        <item x="282"/>
        <item x="260"/>
        <item x="454"/>
        <item x="606"/>
        <item x="347"/>
        <item x="248"/>
        <item x="832"/>
        <item x="581"/>
        <item x="39"/>
        <item x="480"/>
        <item x="25"/>
        <item x="731"/>
        <item x="656"/>
        <item x="348"/>
        <item x="457"/>
        <item x="63"/>
        <item x="716"/>
        <item x="863"/>
        <item x="214"/>
        <item x="667"/>
        <item x="11"/>
        <item x="78"/>
        <item x="659"/>
        <item x="367"/>
        <item x="503"/>
        <item x="344"/>
        <item x="85"/>
        <item x="147"/>
        <item x="72"/>
        <item x="778"/>
        <item x="514"/>
        <item x="123"/>
        <item x="736"/>
        <item x="361"/>
        <item x="398"/>
        <item x="678"/>
        <item x="657"/>
        <item x="171"/>
        <item x="526"/>
        <item x="390"/>
        <item x="607"/>
        <item x="370"/>
        <item x="469"/>
        <item x="798"/>
        <item x="836"/>
        <item x="336"/>
        <item x="4"/>
        <item x="724"/>
        <item x="767"/>
        <item x="267"/>
        <item x="826"/>
        <item x="734"/>
        <item x="492"/>
        <item x="665"/>
        <item x="632"/>
        <item x="202"/>
        <item x="254"/>
        <item x="181"/>
        <item x="373"/>
        <item x="326"/>
        <item x="245"/>
        <item x="110"/>
        <item x="481"/>
        <item x="65"/>
        <item x="691"/>
        <item x="589"/>
        <item x="625"/>
        <item x="242"/>
        <item x="610"/>
        <item x="345"/>
        <item x="807"/>
        <item x="852"/>
        <item x="93"/>
        <item x="525"/>
        <item x="192"/>
        <item x="803"/>
        <item x="842"/>
        <item x="432"/>
        <item x="474"/>
        <item x="770"/>
        <item x="141"/>
        <item x="387"/>
        <item x="193"/>
        <item x="791"/>
        <item x="671"/>
        <item x="809"/>
        <item x="253"/>
        <item x="15"/>
        <item x="471"/>
        <item x="510"/>
        <item x="624"/>
        <item x="609"/>
        <item x="502"/>
        <item x="247"/>
        <item x="873"/>
        <item x="553"/>
        <item x="47"/>
        <item x="571"/>
        <item x="759"/>
        <item x="80"/>
        <item x="28"/>
        <item x="603"/>
        <item x="414"/>
        <item x="220"/>
        <item x="383"/>
        <item x="35"/>
        <item x="496"/>
        <item x="516"/>
        <item x="484"/>
        <item x="240"/>
        <item x="797"/>
        <item x="369"/>
        <item x="349"/>
        <item x="389"/>
        <item x="314"/>
        <item x="64"/>
        <item x="168"/>
        <item x="174"/>
        <item x="153"/>
        <item x="353"/>
        <item x="100"/>
        <item x="551"/>
        <item x="774"/>
        <item x="777"/>
        <item x="177"/>
        <item x="146"/>
        <item x="204"/>
        <item x="256"/>
        <item x="103"/>
        <item x="552"/>
        <item x="746"/>
        <item x="447"/>
        <item x="393"/>
        <item x="435"/>
        <item x="844"/>
        <item x="637"/>
        <item x="55"/>
        <item x="864"/>
        <item x="101"/>
        <item x="124"/>
        <item x="144"/>
        <item x="241"/>
        <item x="628"/>
        <item x="752"/>
        <item x="274"/>
        <item x="806"/>
        <item x="745"/>
        <item x="529"/>
        <item x="600"/>
        <item x="579"/>
        <item x="870"/>
        <item x="113"/>
        <item x="10"/>
        <item x="359"/>
        <item x="203"/>
        <item x="276"/>
        <item x="598"/>
        <item x="119"/>
        <item x="26"/>
        <item x="308"/>
        <item x="318"/>
        <item x="856"/>
        <item x="257"/>
        <item x="765"/>
        <item x="645"/>
        <item x="51"/>
        <item x="854"/>
        <item x="366"/>
        <item x="557"/>
        <item x="633"/>
        <item x="575"/>
        <item x="651"/>
        <item x="407"/>
        <item x="850"/>
        <item x="425"/>
        <item x="494"/>
        <item x="156"/>
        <item x="741"/>
        <item x="732"/>
        <item x="846"/>
        <item x="621"/>
        <item x="306"/>
        <item x="207"/>
        <item x="509"/>
        <item x="585"/>
        <item x="277"/>
        <item x="576"/>
        <item x="167"/>
        <item x="324"/>
        <item x="136"/>
        <item x="506"/>
        <item x="704"/>
        <item x="818"/>
        <item x="399"/>
        <item x="574"/>
        <item x="762"/>
        <item x="279"/>
        <item x="766"/>
        <item x="538"/>
        <item x="714"/>
        <item x="255"/>
        <item x="757"/>
        <item x="409"/>
        <item x="760"/>
        <item x="677"/>
        <item x="495"/>
        <item x="111"/>
        <item x="597"/>
        <item x="363"/>
        <item x="541"/>
        <item x="871"/>
        <item x="629"/>
        <item x="451"/>
        <item x="43"/>
        <item x="699"/>
        <item x="459"/>
        <item x="488"/>
        <item x="232"/>
        <item x="782"/>
        <item x="711"/>
        <item x="199"/>
        <item x="170"/>
        <item x="258"/>
        <item x="792"/>
        <item x="413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 v="3"/>
    </i>
    <i>
      <x v="2"/>
    </i>
    <i>
      <x v="1"/>
    </i>
    <i>
      <x/>
    </i>
    <i t="grand">
      <x/>
    </i>
  </rowItems>
  <colItems count="1">
    <i/>
  </colItems>
  <dataFields count="1">
    <dataField name="Average of profit_margin" fld="40" subtotal="average" baseField="14" baseItem="0" numFmtId="10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ECAF06-9934-4D7A-A05F-BC0F2E6E48E1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1" firstDataRow="2" firstDataCol="1"/>
  <pivotFields count="50">
    <pivotField dataField="1" showAll="0">
      <items count="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showAll="0"/>
    <pivotField numFmtId="166" showAll="0"/>
    <pivotField numFmtId="166" showAll="0"/>
    <pivotField showAll="0"/>
    <pivotField showAll="0"/>
    <pivotField showAll="0"/>
    <pivotField numFmtId="166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3"/>
        <item h="1" x="0"/>
        <item h="1" x="1"/>
        <item x="2"/>
        <item t="default"/>
      </items>
    </pivotField>
    <pivotField showAll="0"/>
    <pivotField showAll="0"/>
    <pivotField axis="axisCol" showAll="0">
      <items count="4">
        <item x="2"/>
        <item h="1" x="0"/>
        <item h="1" x="1"/>
        <item t="default"/>
      </items>
    </pivotField>
    <pivotField showAll="0"/>
    <pivotField showAll="0"/>
    <pivotField showAll="0"/>
    <pivotField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5"/>
  </colFields>
  <colItems count="2">
    <i>
      <x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FA75FB-29F4-4916-8010-B545D1A3EF7F}" name="PivotTable8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0" firstHeaderRow="1" firstDataRow="1" firstDataCol="1"/>
  <pivotFields count="50">
    <pivotField showAll="0"/>
    <pivotField showAll="0"/>
    <pivotField numFmtId="166" showAll="0"/>
    <pivotField numFmtId="166" showAll="0"/>
    <pivotField axis="axisRow" showAll="0">
      <items count="13">
        <item x="9"/>
        <item x="11"/>
        <item x="10"/>
        <item x="6"/>
        <item x="3"/>
        <item x="8"/>
        <item x="0"/>
        <item x="1"/>
        <item x="5"/>
        <item x="7"/>
        <item x="2"/>
        <item x="4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numFmtId="166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5"/>
    <field x="4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sales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0C3E0-6F74-4D95-BF66-FEFEC747DE48}">
  <dimension ref="A3:C9"/>
  <sheetViews>
    <sheetView workbookViewId="0">
      <selection activeCell="B13" sqref="B13"/>
    </sheetView>
  </sheetViews>
  <sheetFormatPr defaultRowHeight="14.4"/>
  <cols>
    <col min="1" max="1" width="12.44140625" bestFit="1" customWidth="1"/>
    <col min="2" max="3" width="13.21875" style="25" bestFit="1" customWidth="1"/>
  </cols>
  <sheetData>
    <row r="3" spans="1:3">
      <c r="A3" s="23" t="s">
        <v>3599</v>
      </c>
      <c r="B3" s="25" t="s">
        <v>3602</v>
      </c>
      <c r="C3" s="25" t="s">
        <v>3603</v>
      </c>
    </row>
    <row r="4" spans="1:3">
      <c r="A4" s="24" t="s">
        <v>60</v>
      </c>
      <c r="B4" s="25">
        <v>2379639.3099999991</v>
      </c>
      <c r="C4" s="25">
        <v>680158.13</v>
      </c>
    </row>
    <row r="5" spans="1:3">
      <c r="A5" s="24" t="s">
        <v>41</v>
      </c>
      <c r="B5" s="25">
        <v>2226458.4499999993</v>
      </c>
      <c r="C5" s="25">
        <v>680537.89999999979</v>
      </c>
    </row>
    <row r="6" spans="1:3">
      <c r="A6" s="24" t="s">
        <v>26</v>
      </c>
      <c r="B6" s="25">
        <v>2187400.94</v>
      </c>
      <c r="C6" s="25">
        <v>648053.67000000016</v>
      </c>
    </row>
    <row r="7" spans="1:3">
      <c r="A7" s="24" t="s">
        <v>71</v>
      </c>
      <c r="B7" s="25">
        <v>2151597.4500000007</v>
      </c>
      <c r="C7" s="25">
        <v>604439.37000000046</v>
      </c>
    </row>
    <row r="8" spans="1:3">
      <c r="A8" s="24" t="s">
        <v>3600</v>
      </c>
      <c r="B8" s="25">
        <v>305071.10000000003</v>
      </c>
      <c r="C8" s="25">
        <v>101666.42</v>
      </c>
    </row>
    <row r="9" spans="1:3">
      <c r="A9" s="24" t="s">
        <v>3601</v>
      </c>
      <c r="B9" s="25">
        <v>9250167.2499999981</v>
      </c>
      <c r="C9" s="25">
        <v>2714855.49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6850F-67DD-41C0-9170-755F1EB8225C}">
  <dimension ref="A3:C20"/>
  <sheetViews>
    <sheetView workbookViewId="0">
      <selection activeCell="B25" sqref="B25"/>
    </sheetView>
  </sheetViews>
  <sheetFormatPr defaultRowHeight="14.4"/>
  <cols>
    <col min="1" max="1" width="15.5546875" bestFit="1" customWidth="1"/>
    <col min="2" max="2" width="11.44140625" bestFit="1" customWidth="1"/>
    <col min="3" max="3" width="12.109375" bestFit="1" customWidth="1"/>
  </cols>
  <sheetData>
    <row r="3" spans="1:3">
      <c r="A3" s="23" t="s">
        <v>3599</v>
      </c>
      <c r="B3" t="s">
        <v>3602</v>
      </c>
      <c r="C3" t="s">
        <v>3603</v>
      </c>
    </row>
    <row r="4" spans="1:3">
      <c r="A4" s="24" t="s">
        <v>44</v>
      </c>
      <c r="B4">
        <v>3185933.01</v>
      </c>
      <c r="C4">
        <v>935979.79</v>
      </c>
    </row>
    <row r="5" spans="1:3">
      <c r="A5" s="26" t="s">
        <v>190</v>
      </c>
      <c r="B5">
        <v>690783.83</v>
      </c>
      <c r="C5">
        <v>199672.25</v>
      </c>
    </row>
    <row r="6" spans="1:3">
      <c r="A6" s="26" t="s">
        <v>74</v>
      </c>
      <c r="B6">
        <v>997017.25</v>
      </c>
      <c r="C6">
        <v>292019.06000000006</v>
      </c>
    </row>
    <row r="7" spans="1:3">
      <c r="A7" s="26" t="s">
        <v>63</v>
      </c>
      <c r="B7">
        <v>818058.62999999989</v>
      </c>
      <c r="C7">
        <v>233538.12</v>
      </c>
    </row>
    <row r="8" spans="1:3">
      <c r="A8" s="26" t="s">
        <v>45</v>
      </c>
      <c r="B8">
        <v>680073.3</v>
      </c>
      <c r="C8">
        <v>210750.36000000002</v>
      </c>
    </row>
    <row r="9" spans="1:3">
      <c r="A9" s="24" t="s">
        <v>29</v>
      </c>
      <c r="B9">
        <v>2820766.76</v>
      </c>
      <c r="C9">
        <v>813551.02000000014</v>
      </c>
    </row>
    <row r="10" spans="1:3">
      <c r="A10" s="26" t="s">
        <v>53</v>
      </c>
      <c r="B10">
        <v>595052.19000000006</v>
      </c>
      <c r="C10">
        <v>169095.49000000002</v>
      </c>
    </row>
    <row r="11" spans="1:3">
      <c r="A11" s="26" t="s">
        <v>184</v>
      </c>
      <c r="B11">
        <v>555619.29999999993</v>
      </c>
      <c r="C11">
        <v>166674.33000000005</v>
      </c>
    </row>
    <row r="12" spans="1:3">
      <c r="A12" s="26" t="s">
        <v>105</v>
      </c>
      <c r="B12">
        <v>341081.60999999993</v>
      </c>
      <c r="C12">
        <v>105086.29000000004</v>
      </c>
    </row>
    <row r="13" spans="1:3">
      <c r="A13" s="26" t="s">
        <v>30</v>
      </c>
      <c r="B13">
        <v>620009.35</v>
      </c>
      <c r="C13">
        <v>178152.75000000003</v>
      </c>
    </row>
    <row r="14" spans="1:3">
      <c r="A14" s="26" t="s">
        <v>148</v>
      </c>
      <c r="B14">
        <v>709004.30999999994</v>
      </c>
      <c r="C14">
        <v>194542.16000000003</v>
      </c>
    </row>
    <row r="15" spans="1:3">
      <c r="A15" s="24" t="s">
        <v>83</v>
      </c>
      <c r="B15">
        <v>3243467.4800000009</v>
      </c>
      <c r="C15">
        <v>965324.67999999993</v>
      </c>
    </row>
    <row r="16" spans="1:3">
      <c r="A16" s="26" t="s">
        <v>84</v>
      </c>
      <c r="B16">
        <v>822281.69000000029</v>
      </c>
      <c r="C16">
        <v>248081.91000000006</v>
      </c>
    </row>
    <row r="17" spans="1:3">
      <c r="A17" s="26" t="s">
        <v>91</v>
      </c>
      <c r="B17">
        <v>918533.79</v>
      </c>
      <c r="C17">
        <v>270300.02</v>
      </c>
    </row>
    <row r="18" spans="1:3">
      <c r="A18" s="26" t="s">
        <v>347</v>
      </c>
      <c r="B18">
        <v>661906.90000000014</v>
      </c>
      <c r="C18">
        <v>206411.68999999997</v>
      </c>
    </row>
    <row r="19" spans="1:3">
      <c r="A19" s="26" t="s">
        <v>207</v>
      </c>
      <c r="B19">
        <v>840745.10000000009</v>
      </c>
      <c r="C19">
        <v>240531.05999999988</v>
      </c>
    </row>
    <row r="20" spans="1:3">
      <c r="A20" s="24" t="s">
        <v>3601</v>
      </c>
      <c r="B20">
        <v>9250167.25</v>
      </c>
      <c r="C20">
        <v>2714855.49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3C0AD-701D-4704-BC5C-3A58809A6B13}">
  <dimension ref="A3:B9"/>
  <sheetViews>
    <sheetView workbookViewId="0">
      <selection activeCell="C20" sqref="C20"/>
    </sheetView>
  </sheetViews>
  <sheetFormatPr defaultRowHeight="14.4"/>
  <cols>
    <col min="1" max="1" width="12.77734375" bestFit="1" customWidth="1"/>
    <col min="2" max="2" width="16" bestFit="1" customWidth="1"/>
  </cols>
  <sheetData>
    <row r="3" spans="1:2">
      <c r="A3" s="23" t="s">
        <v>3599</v>
      </c>
      <c r="B3" t="s">
        <v>3604</v>
      </c>
    </row>
    <row r="4" spans="1:2">
      <c r="A4" s="24" t="s">
        <v>55</v>
      </c>
      <c r="B4">
        <v>226</v>
      </c>
    </row>
    <row r="5" spans="1:2">
      <c r="A5" s="24" t="s">
        <v>47</v>
      </c>
      <c r="B5">
        <v>211</v>
      </c>
    </row>
    <row r="6" spans="1:2">
      <c r="A6" s="24" t="s">
        <v>32</v>
      </c>
      <c r="B6">
        <v>227</v>
      </c>
    </row>
    <row r="7" spans="1:2">
      <c r="A7" s="24" t="s">
        <v>65</v>
      </c>
      <c r="B7">
        <v>246</v>
      </c>
    </row>
    <row r="8" spans="1:2">
      <c r="A8" s="24" t="s">
        <v>3600</v>
      </c>
      <c r="B8">
        <v>22</v>
      </c>
    </row>
    <row r="9" spans="1:2">
      <c r="A9" s="24" t="s">
        <v>3601</v>
      </c>
      <c r="B9">
        <v>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F33C7-0630-4834-BE7F-F52EFA9BAA20}">
  <dimension ref="A3:B8"/>
  <sheetViews>
    <sheetView workbookViewId="0">
      <selection activeCell="B20" sqref="B20"/>
    </sheetView>
  </sheetViews>
  <sheetFormatPr defaultRowHeight="14.4"/>
  <cols>
    <col min="1" max="1" width="12.6640625" bestFit="1" customWidth="1"/>
    <col min="2" max="2" width="22.44140625" style="27" bestFit="1" customWidth="1"/>
  </cols>
  <sheetData>
    <row r="3" spans="1:2">
      <c r="A3" s="23" t="s">
        <v>3599</v>
      </c>
      <c r="B3" s="27" t="s">
        <v>3605</v>
      </c>
    </row>
    <row r="4" spans="1:2">
      <c r="A4" s="24" t="s">
        <v>40</v>
      </c>
      <c r="B4" s="27">
        <v>0.29399847578472355</v>
      </c>
    </row>
    <row r="5" spans="1:2">
      <c r="A5" s="24" t="s">
        <v>110</v>
      </c>
      <c r="B5" s="27">
        <v>0.28380129995870773</v>
      </c>
    </row>
    <row r="6" spans="1:2">
      <c r="A6" s="24" t="s">
        <v>104</v>
      </c>
      <c r="B6" s="27">
        <v>0.26308403658182161</v>
      </c>
    </row>
    <row r="7" spans="1:2">
      <c r="A7" s="24" t="s">
        <v>25</v>
      </c>
      <c r="B7" s="27">
        <v>0.24513987155867784</v>
      </c>
    </row>
    <row r="8" spans="1:2">
      <c r="A8" s="24" t="s">
        <v>3601</v>
      </c>
      <c r="B8" s="27">
        <v>0.27215266960993922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E5135-2A51-4499-A7C2-628FFEA59354}">
  <dimension ref="A3:C10"/>
  <sheetViews>
    <sheetView workbookViewId="0">
      <selection activeCell="B17" sqref="B17"/>
    </sheetView>
  </sheetViews>
  <sheetFormatPr defaultRowHeight="14.4"/>
  <cols>
    <col min="1" max="1" width="16" bestFit="1" customWidth="1"/>
    <col min="2" max="2" width="15.5546875" bestFit="1" customWidth="1"/>
    <col min="3" max="3" width="10.77734375" bestFit="1" customWidth="1"/>
    <col min="4" max="4" width="8.77734375" bestFit="1" customWidth="1"/>
    <col min="5" max="5" width="10.77734375" bestFit="1" customWidth="1"/>
    <col min="6" max="6" width="11.21875" bestFit="1" customWidth="1"/>
    <col min="7" max="7" width="8.77734375" bestFit="1" customWidth="1"/>
    <col min="8" max="8" width="14" bestFit="1" customWidth="1"/>
    <col min="9" max="9" width="10.77734375" bestFit="1" customWidth="1"/>
    <col min="10" max="68" width="15.109375" bestFit="1" customWidth="1"/>
    <col min="69" max="69" width="10.5546875" bestFit="1" customWidth="1"/>
    <col min="70" max="746" width="15.109375" bestFit="1" customWidth="1"/>
    <col min="747" max="747" width="9.33203125" bestFit="1" customWidth="1"/>
    <col min="748" max="833" width="15.109375" bestFit="1" customWidth="1"/>
    <col min="834" max="834" width="12.5546875" bestFit="1" customWidth="1"/>
    <col min="835" max="904" width="15.109375" bestFit="1" customWidth="1"/>
    <col min="905" max="905" width="14" bestFit="1" customWidth="1"/>
    <col min="906" max="906" width="10.77734375" bestFit="1" customWidth="1"/>
  </cols>
  <sheetData>
    <row r="3" spans="1:3">
      <c r="A3" s="23" t="s">
        <v>3604</v>
      </c>
      <c r="B3" s="23" t="s">
        <v>3606</v>
      </c>
    </row>
    <row r="4" spans="1:3">
      <c r="A4" s="23" t="s">
        <v>3599</v>
      </c>
      <c r="B4" t="s">
        <v>76</v>
      </c>
      <c r="C4" t="s">
        <v>3601</v>
      </c>
    </row>
    <row r="5" spans="1:3">
      <c r="A5" s="24" t="s">
        <v>41</v>
      </c>
      <c r="B5">
        <v>30</v>
      </c>
      <c r="C5">
        <v>30</v>
      </c>
    </row>
    <row r="6" spans="1:3">
      <c r="A6" s="24" t="s">
        <v>26</v>
      </c>
      <c r="B6">
        <v>49</v>
      </c>
      <c r="C6">
        <v>49</v>
      </c>
    </row>
    <row r="7" spans="1:3">
      <c r="A7" s="24" t="s">
        <v>60</v>
      </c>
      <c r="B7">
        <v>35</v>
      </c>
      <c r="C7">
        <v>35</v>
      </c>
    </row>
    <row r="8" spans="1:3">
      <c r="A8" s="24" t="s">
        <v>3600</v>
      </c>
      <c r="B8">
        <v>2</v>
      </c>
      <c r="C8">
        <v>2</v>
      </c>
    </row>
    <row r="9" spans="1:3">
      <c r="A9" s="24" t="s">
        <v>71</v>
      </c>
      <c r="B9">
        <v>30</v>
      </c>
      <c r="C9">
        <v>30</v>
      </c>
    </row>
    <row r="10" spans="1:3">
      <c r="A10" s="24" t="s">
        <v>3601</v>
      </c>
      <c r="B10">
        <v>146</v>
      </c>
      <c r="C10">
        <v>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D9FEC-9D28-4207-92E6-3F2D45B5814E}">
  <dimension ref="A3:B30"/>
  <sheetViews>
    <sheetView workbookViewId="0">
      <selection activeCell="A3" sqref="A3"/>
    </sheetView>
  </sheetViews>
  <sheetFormatPr defaultRowHeight="14.4"/>
  <cols>
    <col min="1" max="1" width="12.5546875" bestFit="1" customWidth="1"/>
    <col min="2" max="2" width="11.44140625" bestFit="1" customWidth="1"/>
  </cols>
  <sheetData>
    <row r="3" spans="1:2">
      <c r="A3" s="23" t="s">
        <v>3599</v>
      </c>
      <c r="B3" t="s">
        <v>3602</v>
      </c>
    </row>
    <row r="4" spans="1:2">
      <c r="A4" s="24">
        <v>2024</v>
      </c>
      <c r="B4">
        <v>4928701.2399999993</v>
      </c>
    </row>
    <row r="5" spans="1:2">
      <c r="A5" s="26" t="s">
        <v>3607</v>
      </c>
      <c r="B5">
        <v>410657.76</v>
      </c>
    </row>
    <row r="6" spans="1:2">
      <c r="A6" s="26" t="s">
        <v>3608</v>
      </c>
      <c r="B6">
        <v>594543.36999999976</v>
      </c>
    </row>
    <row r="7" spans="1:2">
      <c r="A7" s="26" t="s">
        <v>3609</v>
      </c>
      <c r="B7">
        <v>346979.99000000011</v>
      </c>
    </row>
    <row r="8" spans="1:2">
      <c r="A8" s="26" t="s">
        <v>3610</v>
      </c>
      <c r="B8">
        <v>341277.67</v>
      </c>
    </row>
    <row r="9" spans="1:2">
      <c r="A9" s="26" t="s">
        <v>3611</v>
      </c>
      <c r="B9">
        <v>462626.21000000008</v>
      </c>
    </row>
    <row r="10" spans="1:2">
      <c r="A10" s="26" t="s">
        <v>3612</v>
      </c>
      <c r="B10">
        <v>443626.58</v>
      </c>
    </row>
    <row r="11" spans="1:2">
      <c r="A11" s="26" t="s">
        <v>3613</v>
      </c>
      <c r="B11">
        <v>399583.44</v>
      </c>
    </row>
    <row r="12" spans="1:2">
      <c r="A12" s="26" t="s">
        <v>3614</v>
      </c>
      <c r="B12">
        <v>317965.91999999993</v>
      </c>
    </row>
    <row r="13" spans="1:2">
      <c r="A13" s="26" t="s">
        <v>3615</v>
      </c>
      <c r="B13">
        <v>430611.74</v>
      </c>
    </row>
    <row r="14" spans="1:2">
      <c r="A14" s="26" t="s">
        <v>3616</v>
      </c>
      <c r="B14">
        <v>524400.35000000009</v>
      </c>
    </row>
    <row r="15" spans="1:2">
      <c r="A15" s="26" t="s">
        <v>3617</v>
      </c>
      <c r="B15">
        <v>250622.95000000007</v>
      </c>
    </row>
    <row r="16" spans="1:2">
      <c r="A16" s="26" t="s">
        <v>3618</v>
      </c>
      <c r="B16">
        <v>405805.26</v>
      </c>
    </row>
    <row r="17" spans="1:2">
      <c r="A17" s="24">
        <v>2025</v>
      </c>
      <c r="B17">
        <v>4321466.01</v>
      </c>
    </row>
    <row r="18" spans="1:2">
      <c r="A18" s="26" t="s">
        <v>3607</v>
      </c>
      <c r="B18">
        <v>389906.57000000007</v>
      </c>
    </row>
    <row r="19" spans="1:2">
      <c r="A19" s="26" t="s">
        <v>3608</v>
      </c>
      <c r="B19">
        <v>471248.44</v>
      </c>
    </row>
    <row r="20" spans="1:2">
      <c r="A20" s="26" t="s">
        <v>3609</v>
      </c>
      <c r="B20">
        <v>393226.2900000001</v>
      </c>
    </row>
    <row r="21" spans="1:2">
      <c r="A21" s="26" t="s">
        <v>3610</v>
      </c>
      <c r="B21">
        <v>410947.78000000009</v>
      </c>
    </row>
    <row r="22" spans="1:2">
      <c r="A22" s="26" t="s">
        <v>3611</v>
      </c>
      <c r="B22">
        <v>310773.48999999993</v>
      </c>
    </row>
    <row r="23" spans="1:2">
      <c r="A23" s="26" t="s">
        <v>3612</v>
      </c>
      <c r="B23">
        <v>429425.01999999996</v>
      </c>
    </row>
    <row r="24" spans="1:2">
      <c r="A24" s="26" t="s">
        <v>3613</v>
      </c>
      <c r="B24">
        <v>387042.58999999997</v>
      </c>
    </row>
    <row r="25" spans="1:2">
      <c r="A25" s="26" t="s">
        <v>3614</v>
      </c>
      <c r="B25">
        <v>532501.79999999993</v>
      </c>
    </row>
    <row r="26" spans="1:2">
      <c r="A26" s="26" t="s">
        <v>3615</v>
      </c>
      <c r="B26">
        <v>437238.01999999996</v>
      </c>
    </row>
    <row r="27" spans="1:2">
      <c r="A27" s="26" t="s">
        <v>3616</v>
      </c>
      <c r="B27">
        <v>211068.72999999998</v>
      </c>
    </row>
    <row r="28" spans="1:2">
      <c r="A28" s="26" t="s">
        <v>3617</v>
      </c>
      <c r="B28">
        <v>150488.27000000002</v>
      </c>
    </row>
    <row r="29" spans="1:2">
      <c r="A29" s="26" t="s">
        <v>3618</v>
      </c>
      <c r="B29">
        <v>197599.00999999998</v>
      </c>
    </row>
    <row r="30" spans="1:2">
      <c r="A30" s="24" t="s">
        <v>3601</v>
      </c>
      <c r="B30">
        <v>9250167.25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5BD7C-4DE1-415D-BFAB-90FC9ED52480}">
  <sheetPr filterMode="1"/>
  <dimension ref="A1:BD938"/>
  <sheetViews>
    <sheetView tabSelected="1" zoomScale="105" zoomScaleNormal="80" workbookViewId="0">
      <selection activeCell="AS1" sqref="A1:AY933"/>
    </sheetView>
  </sheetViews>
  <sheetFormatPr defaultRowHeight="14.4"/>
  <cols>
    <col min="1" max="1" width="16.88671875" bestFit="1" customWidth="1"/>
    <col min="2" max="2" width="16.88671875" customWidth="1"/>
    <col min="3" max="4" width="12.5546875" style="17" bestFit="1" customWidth="1"/>
    <col min="5" max="5" width="12.5546875" style="17" customWidth="1"/>
    <col min="6" max="6" width="12.5546875" customWidth="1"/>
    <col min="7" max="7" width="17.77734375" customWidth="1"/>
    <col min="8" max="8" width="17.77734375" style="17" customWidth="1"/>
    <col min="9" max="9" width="12.5546875" style="22" customWidth="1"/>
    <col min="10" max="10" width="20.109375" style="7" bestFit="1" customWidth="1"/>
    <col min="11" max="11" width="13.44140625" customWidth="1"/>
    <col min="12" max="13" width="17.33203125" customWidth="1"/>
    <col min="14" max="14" width="18.21875" bestFit="1" customWidth="1"/>
    <col min="15" max="15" width="18.21875" customWidth="1"/>
    <col min="16" max="16" width="8.21875" bestFit="1" customWidth="1"/>
    <col min="17" max="17" width="11.77734375" bestFit="1" customWidth="1"/>
    <col min="18" max="18" width="18.33203125" bestFit="1" customWidth="1"/>
    <col min="19" max="19" width="16.21875" bestFit="1" customWidth="1"/>
    <col min="20" max="20" width="16.21875" customWidth="1"/>
    <col min="21" max="21" width="13.33203125" bestFit="1" customWidth="1"/>
    <col min="22" max="22" width="13.33203125" customWidth="1"/>
    <col min="23" max="23" width="18.6640625" bestFit="1" customWidth="1"/>
    <col min="24" max="24" width="18.6640625" customWidth="1"/>
    <col min="25" max="26" width="14.21875" customWidth="1"/>
    <col min="27" max="27" width="22.88671875" bestFit="1" customWidth="1"/>
    <col min="28" max="28" width="19.109375" bestFit="1" customWidth="1"/>
    <col min="29" max="29" width="22.77734375" bestFit="1" customWidth="1"/>
    <col min="30" max="30" width="19.109375" customWidth="1"/>
    <col min="32" max="32" width="10.5546875" customWidth="1"/>
    <col min="33" max="34" width="9.33203125" style="10" customWidth="1"/>
    <col min="35" max="35" width="9.77734375" customWidth="1"/>
    <col min="39" max="39" width="18.88671875" style="14" bestFit="1" customWidth="1"/>
    <col min="40" max="41" width="18.88671875" style="10" customWidth="1"/>
    <col min="42" max="43" width="16.33203125" customWidth="1"/>
    <col min="44" max="44" width="26.88671875" bestFit="1" customWidth="1"/>
    <col min="45" max="45" width="13.21875" customWidth="1"/>
    <col min="46" max="46" width="20.44140625" customWidth="1"/>
    <col min="47" max="47" width="21" style="3" bestFit="1" customWidth="1"/>
    <col min="48" max="48" width="19.33203125" style="3" customWidth="1"/>
    <col min="49" max="49" width="18.21875" customWidth="1"/>
    <col min="50" max="50" width="18.109375" customWidth="1"/>
  </cols>
  <sheetData>
    <row r="1" spans="1:56" ht="41.4">
      <c r="A1" s="2" t="s">
        <v>0</v>
      </c>
      <c r="B1" s="2" t="s">
        <v>3584</v>
      </c>
      <c r="C1" s="15" t="s">
        <v>1</v>
      </c>
      <c r="D1" s="15" t="s">
        <v>3579</v>
      </c>
      <c r="E1" s="15" t="s">
        <v>3593</v>
      </c>
      <c r="F1" s="2" t="s">
        <v>3592</v>
      </c>
      <c r="G1" s="18" t="s">
        <v>2</v>
      </c>
      <c r="H1" s="19" t="s">
        <v>3580</v>
      </c>
      <c r="I1" s="20" t="s">
        <v>3581</v>
      </c>
      <c r="J1" s="5" t="s">
        <v>3596</v>
      </c>
      <c r="K1" s="2" t="s">
        <v>3</v>
      </c>
      <c r="L1" s="2" t="s">
        <v>4</v>
      </c>
      <c r="M1" s="2" t="s">
        <v>3569</v>
      </c>
      <c r="N1" s="2" t="s">
        <v>5</v>
      </c>
      <c r="O1" s="2" t="s">
        <v>3573</v>
      </c>
      <c r="P1" s="2" t="s">
        <v>6</v>
      </c>
      <c r="Q1" s="2" t="s">
        <v>3570</v>
      </c>
      <c r="R1" s="2" t="s">
        <v>3585</v>
      </c>
      <c r="S1" s="2" t="s">
        <v>7</v>
      </c>
      <c r="T1" s="2" t="s">
        <v>3574</v>
      </c>
      <c r="U1" s="2" t="s">
        <v>8</v>
      </c>
      <c r="V1" s="2" t="s">
        <v>3571</v>
      </c>
      <c r="W1" s="2" t="s">
        <v>9</v>
      </c>
      <c r="X1" s="2" t="s">
        <v>3572</v>
      </c>
      <c r="Y1" s="2" t="s">
        <v>10</v>
      </c>
      <c r="Z1" s="2" t="s">
        <v>3576</v>
      </c>
      <c r="AA1" s="2" t="s">
        <v>11</v>
      </c>
      <c r="AB1" s="2" t="s">
        <v>12</v>
      </c>
      <c r="AC1" s="2" t="s">
        <v>3595</v>
      </c>
      <c r="AD1" s="2" t="s">
        <v>3586</v>
      </c>
      <c r="AE1" s="2" t="s">
        <v>13</v>
      </c>
      <c r="AF1" s="2" t="s">
        <v>14</v>
      </c>
      <c r="AG1" s="8" t="s">
        <v>15</v>
      </c>
      <c r="AH1" s="8" t="s">
        <v>3582</v>
      </c>
      <c r="AI1" s="2" t="s">
        <v>3583</v>
      </c>
      <c r="AJ1" s="2" t="s">
        <v>16</v>
      </c>
      <c r="AK1" s="2" t="s">
        <v>17</v>
      </c>
      <c r="AL1" s="2" t="s">
        <v>18</v>
      </c>
      <c r="AM1" s="12" t="s">
        <v>3589</v>
      </c>
      <c r="AN1" s="8" t="s">
        <v>3590</v>
      </c>
      <c r="AO1" s="8" t="s">
        <v>3591</v>
      </c>
      <c r="AP1" s="2" t="s">
        <v>19</v>
      </c>
      <c r="AQ1" s="2" t="s">
        <v>3577</v>
      </c>
      <c r="AR1" s="2" t="s">
        <v>3588</v>
      </c>
      <c r="AS1" s="2" t="s">
        <v>20</v>
      </c>
      <c r="AT1" s="2" t="s">
        <v>3578</v>
      </c>
      <c r="AU1" s="2" t="s">
        <v>3587</v>
      </c>
      <c r="AV1" s="2" t="s">
        <v>3594</v>
      </c>
      <c r="AW1" s="2" t="s">
        <v>3597</v>
      </c>
      <c r="AX1" s="2" t="s">
        <v>3598</v>
      </c>
    </row>
    <row r="2" spans="1:56" hidden="1">
      <c r="A2" s="1" t="s">
        <v>21</v>
      </c>
      <c r="B2" s="1">
        <f t="shared" ref="B2:B65" si="0">COUNTIF($A:$A,A2)</f>
        <v>1</v>
      </c>
      <c r="C2" s="16">
        <v>45494</v>
      </c>
      <c r="D2" s="16">
        <v>45494</v>
      </c>
      <c r="E2" s="16" t="str">
        <f>TEXT(D2,"mmm")</f>
        <v>Jul</v>
      </c>
      <c r="F2" s="1">
        <f>YEAR(D2)</f>
        <v>2024</v>
      </c>
      <c r="G2" t="s">
        <v>22</v>
      </c>
      <c r="H2" s="17">
        <v>45500</v>
      </c>
      <c r="I2" s="21">
        <f>H2-D2</f>
        <v>6</v>
      </c>
      <c r="J2" s="6" t="str">
        <f>IF(I2&lt;0,"INVALID_SHIPPING","OK")</f>
        <v>OK</v>
      </c>
      <c r="K2" s="1" t="s">
        <v>23</v>
      </c>
      <c r="L2" s="1" t="s">
        <v>24</v>
      </c>
      <c r="M2" s="1" t="str">
        <f t="shared" ref="M2:M65" si="1">PROPER(TRIM(SUBSTITUTE(L2,CHAR(160)," ")))</f>
        <v>Karan Malhotra</v>
      </c>
      <c r="N2" s="1" t="s">
        <v>25</v>
      </c>
      <c r="O2" s="1" t="str">
        <f t="shared" ref="O2:O65" si="2">PROPER(TRIM(SUBSTITUTE(N2,CHAR(160)," ")))</f>
        <v>Consumer</v>
      </c>
      <c r="P2" s="1" t="s">
        <v>26</v>
      </c>
      <c r="Q2" s="1" t="str">
        <f t="shared" ref="Q2:Q65" si="3">IF(TRIM(P2)="","Unknown",PROPER(TRIM(P2)))</f>
        <v>North</v>
      </c>
      <c r="R2" s="1" t="str">
        <f t="shared" ref="R2:R65" si="4">IF(Q2="Unknown","MISSING_REGION","OK")</f>
        <v>OK</v>
      </c>
      <c r="S2" s="1" t="s">
        <v>27</v>
      </c>
      <c r="T2" s="1" t="str">
        <f t="shared" ref="T2:T65" si="5">PROPER(TRIM(SUBSTITUTE(S2,CHAR(160)," ")))</f>
        <v>Rajasthan</v>
      </c>
      <c r="U2" s="1" t="s">
        <v>28</v>
      </c>
      <c r="V2" s="1" t="str">
        <f t="shared" ref="V2:V65" si="6">PROPER(TRIM(SUBSTITUTE(U2,CHAR(160)," ")))</f>
        <v>Jaipur</v>
      </c>
      <c r="W2" s="1" t="s">
        <v>3575</v>
      </c>
      <c r="X2" s="1" t="str">
        <f t="shared" ref="X2:X65" si="7">PROPER(TRIM(SUBSTITUTE(W2,CHAR(160)," ")))</f>
        <v>Office Supplies</v>
      </c>
      <c r="Y2" s="1" t="s">
        <v>30</v>
      </c>
      <c r="Z2" s="1" t="str">
        <f t="shared" ref="Z2:Z65" si="8">PROPER(TRIM(SUBSTITUTE(Y2,CHAR(160)," ")))</f>
        <v>Paper</v>
      </c>
      <c r="AA2" s="1" t="s">
        <v>31</v>
      </c>
      <c r="AB2" s="1" t="s">
        <v>32</v>
      </c>
      <c r="AC2" s="1" t="str">
        <f t="shared" ref="AC2:AC65" si="9">IF(TRIM(AB2)="","Unknown",PROPER(TRIM(AB2)))</f>
        <v>Second Class</v>
      </c>
      <c r="AD2" s="1" t="str">
        <f t="shared" ref="AD2:AD65" si="10">IF(AC2="Unknown","MISSING_SHIP_MODE","OK")</f>
        <v>OK</v>
      </c>
      <c r="AE2" s="1">
        <v>8</v>
      </c>
      <c r="AF2" s="1">
        <v>2976.45</v>
      </c>
      <c r="AG2" s="9">
        <v>0.2</v>
      </c>
      <c r="AH2" s="9">
        <f t="shared" ref="AH2:AH65" si="11">IF(RIGHT(AG2,1)="%",VALUE(SUBSTITUTE(AG2,"%",""))/100,AG2)</f>
        <v>0.2</v>
      </c>
      <c r="AI2" s="1" t="str">
        <f t="shared" ref="AI2:AI65" si="12">IF(AG2="","Missing Discount",
IF(AG2&lt;0,"Invalid Negative Discount",
"OK"))</f>
        <v>OK</v>
      </c>
      <c r="AJ2" s="1">
        <v>19049.28</v>
      </c>
      <c r="AK2" s="1">
        <v>15841.89</v>
      </c>
      <c r="AL2" s="1">
        <v>3207.39</v>
      </c>
      <c r="AM2" s="13">
        <f t="shared" ref="AM2:AM65" si="13">IF(AH2&lt;0,"INVALID",AE2*AF2*(1-AH2))</f>
        <v>19049.28</v>
      </c>
      <c r="AN2" s="9">
        <f t="shared" ref="AN2:AN65" si="14">IF(AM2="INVALID","INVALID",
AM2-AK2)</f>
        <v>3207.3899999999994</v>
      </c>
      <c r="AO2" s="9">
        <f>IF(OR(AM2="INVALID",AN2="INVALID"),"",AN2/AM2)</f>
        <v>0.16837329284886357</v>
      </c>
      <c r="AP2" s="1" t="s">
        <v>33</v>
      </c>
      <c r="AQ2" s="1" t="str">
        <f t="shared" ref="AQ2:AQ65" si="15">PROPER(TRIM(SUBSTITUTE(AP2,CHAR(160)," ")))</f>
        <v>Paid</v>
      </c>
      <c r="AR2" s="1" t="str">
        <f t="shared" ref="AR2:AR65" si="16">IF(AQ2="Failed","EXCLUDE_FROM_SALES",
IF(AQ2="Refunded","REFUNDED_PAYMENT",
"OK"))</f>
        <v>OK</v>
      </c>
      <c r="AS2" s="1" t="s">
        <v>34</v>
      </c>
      <c r="AT2" s="3" t="str">
        <f t="shared" ref="AT2:AT65" si="17">PROPER(TRIM(SUBSTITUTE(AS2,CHAR(160)," ")))</f>
        <v>Completed</v>
      </c>
      <c r="AU2" s="3" t="str">
        <f t="shared" ref="AU2:AU65" si="18">IF(AT2="Cancelled","EXCLUDE_FROM_SALES",
IF(AT2="Returned","RETURNED_ORDER",
"OK"))</f>
        <v>OK</v>
      </c>
      <c r="AV2" s="3" t="str">
        <f>IF(OR(AI2&lt;&gt;"OK",J2="INVALID_SHIPPING"),
"INVALID",
IF(OR(R2&lt;&gt;"OK",AD2&lt;&gt;"OK"),
"WARNING",
"CLEAN"))</f>
        <v>CLEAN</v>
      </c>
      <c r="AW2" t="str">
        <f>IF(AM2="INVALID","INVALID",
IF(ROUND(AJ2,2)=ROUND(AM2,2),"MATCH","MISMATCH"))</f>
        <v>MATCH</v>
      </c>
      <c r="AX2" t="str">
        <f>IF(AN2="INVALID","INVALID",IF(ROUND(AL2,2)=ROUND(AN2,2),"MATCH","MISMATCH"))</f>
        <v>MATCH</v>
      </c>
    </row>
    <row r="3" spans="1:56" hidden="1">
      <c r="A3" s="1" t="s">
        <v>35</v>
      </c>
      <c r="B3" s="1">
        <f t="shared" si="0"/>
        <v>1</v>
      </c>
      <c r="C3" s="16">
        <v>45535</v>
      </c>
      <c r="D3" s="16">
        <v>45535</v>
      </c>
      <c r="E3" s="16" t="str">
        <f t="shared" ref="E3:E66" si="19">TEXT(D3,"mmm")</f>
        <v>Aug</v>
      </c>
      <c r="F3" s="1">
        <f t="shared" ref="F3:F66" si="20">YEAR(D3)</f>
        <v>2024</v>
      </c>
      <c r="G3" t="s">
        <v>37</v>
      </c>
      <c r="H3" s="17">
        <v>45540</v>
      </c>
      <c r="I3" s="21">
        <f t="shared" ref="I3:I66" si="21">H3-D3</f>
        <v>5</v>
      </c>
      <c r="J3" s="6" t="str">
        <f t="shared" ref="J3:J66" si="22">IF(I3&lt;0,"INVALID_SHIPPING","OK")</f>
        <v>OK</v>
      </c>
      <c r="K3" s="1" t="s">
        <v>38</v>
      </c>
      <c r="L3" s="1" t="s">
        <v>39</v>
      </c>
      <c r="M3" s="1" t="str">
        <f t="shared" si="1"/>
        <v>Mira Das</v>
      </c>
      <c r="N3" s="1" t="s">
        <v>40</v>
      </c>
      <c r="O3" s="1" t="str">
        <f t="shared" si="2"/>
        <v>Small Business</v>
      </c>
      <c r="P3" s="1" t="s">
        <v>41</v>
      </c>
      <c r="Q3" s="1" t="str">
        <f t="shared" si="3"/>
        <v>East</v>
      </c>
      <c r="R3" s="1" t="str">
        <f t="shared" si="4"/>
        <v>OK</v>
      </c>
      <c r="S3" s="1" t="s">
        <v>42</v>
      </c>
      <c r="T3" s="1" t="str">
        <f t="shared" si="5"/>
        <v>Odisha</v>
      </c>
      <c r="U3" s="1" t="s">
        <v>43</v>
      </c>
      <c r="V3" s="1" t="str">
        <f t="shared" si="6"/>
        <v>Bhubaneswar</v>
      </c>
      <c r="W3" s="1" t="s">
        <v>44</v>
      </c>
      <c r="X3" s="1" t="str">
        <f t="shared" si="7"/>
        <v>Furniture</v>
      </c>
      <c r="Y3" s="1" t="s">
        <v>45</v>
      </c>
      <c r="Z3" s="1" t="str">
        <f t="shared" si="8"/>
        <v>Tables</v>
      </c>
      <c r="AA3" s="1" t="s">
        <v>46</v>
      </c>
      <c r="AB3" s="1" t="s">
        <v>47</v>
      </c>
      <c r="AC3" s="1" t="str">
        <f t="shared" si="9"/>
        <v>Same Day</v>
      </c>
      <c r="AD3" s="1" t="str">
        <f t="shared" si="10"/>
        <v>OK</v>
      </c>
      <c r="AE3" s="1">
        <v>3</v>
      </c>
      <c r="AF3" s="1">
        <v>2437.5</v>
      </c>
      <c r="AG3" s="9">
        <v>0</v>
      </c>
      <c r="AH3" s="9">
        <f t="shared" si="11"/>
        <v>0</v>
      </c>
      <c r="AI3" s="1" t="str">
        <f t="shared" si="12"/>
        <v>OK</v>
      </c>
      <c r="AJ3" s="1">
        <v>7312.5</v>
      </c>
      <c r="AK3" s="1">
        <v>4904.7299999999996</v>
      </c>
      <c r="AL3" s="1">
        <v>2407.77</v>
      </c>
      <c r="AM3" s="13">
        <f t="shared" si="13"/>
        <v>7312.5</v>
      </c>
      <c r="AN3" s="9">
        <f t="shared" si="14"/>
        <v>2407.7700000000004</v>
      </c>
      <c r="AO3" s="9">
        <f t="shared" ref="AO3:AO66" si="23">IF(OR(AM3="INVALID",AN3="INVALID"),"",AN3/AM3)</f>
        <v>0.32926769230769237</v>
      </c>
      <c r="AP3" s="1" t="s">
        <v>33</v>
      </c>
      <c r="AQ3" s="1" t="str">
        <f t="shared" si="15"/>
        <v>Paid</v>
      </c>
      <c r="AR3" s="1" t="str">
        <f t="shared" si="16"/>
        <v>OK</v>
      </c>
      <c r="AS3" s="1" t="s">
        <v>34</v>
      </c>
      <c r="AT3" s="3" t="str">
        <f t="shared" si="17"/>
        <v>Completed</v>
      </c>
      <c r="AU3" s="3" t="str">
        <f t="shared" si="18"/>
        <v>OK</v>
      </c>
      <c r="AV3" s="3" t="str">
        <f t="shared" ref="AV3:AV66" si="24">IF(OR(AI3&lt;&gt;"OK",J3="INVALID_SHIPPING"),
"INVALID",
IF(OR(R3&lt;&gt;"OK",AD3&lt;&gt;"OK"),
"WARNING",
"CLEAN"))</f>
        <v>CLEAN</v>
      </c>
      <c r="AW3" t="str">
        <f t="shared" ref="AW3:AW66" si="25">IF(AM3="INVALID","INVALID",
IF(ROUND(AJ3,2)=ROUND(AM3,2),"MATCH","MISMATCH"))</f>
        <v>MATCH</v>
      </c>
      <c r="AX3" t="str">
        <f t="shared" ref="AX3:AX66" si="26">IF(AN3="INVALID","INVALID",IF(ROUND(AL3,2)=ROUND(AN3,2),"MATCH","MISMATCH"))</f>
        <v>MATCH</v>
      </c>
    </row>
    <row r="4" spans="1:56">
      <c r="A4" s="1" t="s">
        <v>48</v>
      </c>
      <c r="B4" s="1">
        <f t="shared" si="0"/>
        <v>1</v>
      </c>
      <c r="C4" s="16">
        <v>45510</v>
      </c>
      <c r="D4" s="16">
        <v>45510</v>
      </c>
      <c r="E4" s="16" t="str">
        <f t="shared" si="19"/>
        <v>Aug</v>
      </c>
      <c r="F4" s="1">
        <f t="shared" si="20"/>
        <v>2024</v>
      </c>
      <c r="G4" t="s">
        <v>50</v>
      </c>
      <c r="H4" s="17">
        <v>45458</v>
      </c>
      <c r="I4" s="21">
        <f t="shared" si="21"/>
        <v>-52</v>
      </c>
      <c r="J4" s="6" t="str">
        <f t="shared" si="22"/>
        <v>INVALID_SHIPPING</v>
      </c>
      <c r="K4" s="1" t="s">
        <v>51</v>
      </c>
      <c r="L4" s="1" t="s">
        <v>52</v>
      </c>
      <c r="M4" s="1" t="str">
        <f t="shared" si="1"/>
        <v>Isha Nair</v>
      </c>
      <c r="N4" s="1" t="s">
        <v>25</v>
      </c>
      <c r="O4" s="1" t="str">
        <f t="shared" si="2"/>
        <v>Consumer</v>
      </c>
      <c r="P4" s="1" t="s">
        <v>41</v>
      </c>
      <c r="Q4" s="1" t="str">
        <f t="shared" si="3"/>
        <v>East</v>
      </c>
      <c r="R4" s="1" t="str">
        <f t="shared" si="4"/>
        <v>OK</v>
      </c>
      <c r="S4" s="1" t="s">
        <v>42</v>
      </c>
      <c r="T4" s="1" t="str">
        <f t="shared" si="5"/>
        <v>Odisha</v>
      </c>
      <c r="U4" s="1" t="s">
        <v>43</v>
      </c>
      <c r="V4" s="1" t="str">
        <f t="shared" si="6"/>
        <v>Bhubaneswar</v>
      </c>
      <c r="W4" s="1" t="s">
        <v>29</v>
      </c>
      <c r="X4" s="1" t="str">
        <f t="shared" si="7"/>
        <v>Office Supplies</v>
      </c>
      <c r="Y4" s="1" t="s">
        <v>53</v>
      </c>
      <c r="Z4" s="1" t="str">
        <f t="shared" si="8"/>
        <v>Art</v>
      </c>
      <c r="AA4" s="1" t="s">
        <v>54</v>
      </c>
      <c r="AB4" s="1" t="s">
        <v>55</v>
      </c>
      <c r="AC4" s="1" t="str">
        <f t="shared" si="9"/>
        <v>First Class</v>
      </c>
      <c r="AD4" s="1" t="str">
        <f t="shared" si="10"/>
        <v>OK</v>
      </c>
      <c r="AE4" s="1">
        <v>4</v>
      </c>
      <c r="AF4" s="1">
        <v>1065.43</v>
      </c>
      <c r="AG4" s="9">
        <v>0.55000000000000004</v>
      </c>
      <c r="AH4" s="9">
        <f t="shared" si="11"/>
        <v>0.55000000000000004</v>
      </c>
      <c r="AI4" s="1" t="str">
        <f t="shared" si="12"/>
        <v>OK</v>
      </c>
      <c r="AJ4" s="1">
        <v>4261.72</v>
      </c>
      <c r="AK4" s="1">
        <v>2465.69</v>
      </c>
      <c r="AL4" s="1">
        <v>1796.03</v>
      </c>
      <c r="AM4" s="13">
        <f t="shared" si="13"/>
        <v>1917.7739999999999</v>
      </c>
      <c r="AN4" s="9">
        <f t="shared" si="14"/>
        <v>-547.91600000000017</v>
      </c>
      <c r="AO4" s="9">
        <f t="shared" si="23"/>
        <v>-0.28570415492127865</v>
      </c>
      <c r="AP4" s="1" t="s">
        <v>33</v>
      </c>
      <c r="AQ4" s="1" t="str">
        <f t="shared" si="15"/>
        <v>Paid</v>
      </c>
      <c r="AR4" s="1" t="str">
        <f t="shared" si="16"/>
        <v>OK</v>
      </c>
      <c r="AS4" s="1" t="s">
        <v>34</v>
      </c>
      <c r="AT4" s="3" t="str">
        <f t="shared" si="17"/>
        <v>Completed</v>
      </c>
      <c r="AU4" s="3" t="str">
        <f t="shared" si="18"/>
        <v>OK</v>
      </c>
      <c r="AV4" s="3" t="str">
        <f t="shared" si="24"/>
        <v>INVALID</v>
      </c>
      <c r="AW4" t="str">
        <f t="shared" si="25"/>
        <v>MISMATCH</v>
      </c>
      <c r="AX4" t="str">
        <f t="shared" si="26"/>
        <v>MISMATCH</v>
      </c>
    </row>
    <row r="5" spans="1:56" hidden="1">
      <c r="A5" s="1" t="s">
        <v>56</v>
      </c>
      <c r="B5" s="1">
        <f t="shared" si="0"/>
        <v>1</v>
      </c>
      <c r="C5" s="16">
        <v>45624</v>
      </c>
      <c r="D5" s="16">
        <v>45624</v>
      </c>
      <c r="E5" s="16" t="str">
        <f t="shared" si="19"/>
        <v>Nov</v>
      </c>
      <c r="F5" s="1">
        <f t="shared" si="20"/>
        <v>2024</v>
      </c>
      <c r="G5" t="s">
        <v>57</v>
      </c>
      <c r="H5" s="17">
        <v>45625</v>
      </c>
      <c r="I5" s="21">
        <f t="shared" si="21"/>
        <v>1</v>
      </c>
      <c r="J5" s="6" t="str">
        <f t="shared" si="22"/>
        <v>OK</v>
      </c>
      <c r="K5" s="1" t="s">
        <v>58</v>
      </c>
      <c r="L5" s="1" t="s">
        <v>59</v>
      </c>
      <c r="M5" s="1" t="str">
        <f t="shared" si="1"/>
        <v>Arjun Bose</v>
      </c>
      <c r="N5" s="1" t="s">
        <v>40</v>
      </c>
      <c r="O5" s="1" t="str">
        <f t="shared" si="2"/>
        <v>Small Business</v>
      </c>
      <c r="P5" s="1" t="s">
        <v>60</v>
      </c>
      <c r="Q5" s="1" t="str">
        <f t="shared" si="3"/>
        <v>South</v>
      </c>
      <c r="R5" s="1" t="str">
        <f t="shared" si="4"/>
        <v>OK</v>
      </c>
      <c r="S5" s="1" t="s">
        <v>61</v>
      </c>
      <c r="T5" s="1" t="str">
        <f t="shared" si="5"/>
        <v>Telangana</v>
      </c>
      <c r="U5" s="1" t="s">
        <v>62</v>
      </c>
      <c r="V5" s="1" t="str">
        <f t="shared" si="6"/>
        <v>Hyderabad</v>
      </c>
      <c r="W5" s="1" t="s">
        <v>44</v>
      </c>
      <c r="X5" s="1" t="str">
        <f t="shared" si="7"/>
        <v>Furniture</v>
      </c>
      <c r="Y5" s="1" t="s">
        <v>63</v>
      </c>
      <c r="Z5" s="1" t="str">
        <f t="shared" si="8"/>
        <v>Furnishings</v>
      </c>
      <c r="AA5" s="1" t="s">
        <v>64</v>
      </c>
      <c r="AB5" s="1" t="s">
        <v>65</v>
      </c>
      <c r="AC5" s="1" t="str">
        <f t="shared" si="9"/>
        <v>Standard Class</v>
      </c>
      <c r="AD5" s="1" t="str">
        <f t="shared" si="10"/>
        <v>OK</v>
      </c>
      <c r="AE5" s="1">
        <v>6</v>
      </c>
      <c r="AF5" s="1">
        <v>1848.43</v>
      </c>
      <c r="AG5" s="9">
        <v>0.25</v>
      </c>
      <c r="AH5" s="9">
        <f t="shared" si="11"/>
        <v>0.25</v>
      </c>
      <c r="AI5" s="1" t="str">
        <f t="shared" si="12"/>
        <v>OK</v>
      </c>
      <c r="AJ5" s="1">
        <v>8317.93</v>
      </c>
      <c r="AK5" s="1">
        <v>6796.77</v>
      </c>
      <c r="AL5" s="1">
        <v>1521.16</v>
      </c>
      <c r="AM5" s="13">
        <f t="shared" si="13"/>
        <v>8317.9349999999995</v>
      </c>
      <c r="AN5" s="9">
        <f t="shared" si="14"/>
        <v>1521.1649999999991</v>
      </c>
      <c r="AO5" s="9">
        <f t="shared" si="23"/>
        <v>0.18287772145370204</v>
      </c>
      <c r="AP5" s="1" t="s">
        <v>33</v>
      </c>
      <c r="AQ5" s="1" t="str">
        <f t="shared" si="15"/>
        <v>Paid</v>
      </c>
      <c r="AR5" s="1" t="str">
        <f t="shared" si="16"/>
        <v>OK</v>
      </c>
      <c r="AS5" s="1" t="s">
        <v>34</v>
      </c>
      <c r="AT5" s="3" t="str">
        <f t="shared" si="17"/>
        <v>Completed</v>
      </c>
      <c r="AU5" s="3" t="str">
        <f t="shared" si="18"/>
        <v>OK</v>
      </c>
      <c r="AV5" s="3" t="str">
        <f t="shared" si="24"/>
        <v>CLEAN</v>
      </c>
      <c r="AW5" t="str">
        <f t="shared" si="25"/>
        <v>MISMATCH</v>
      </c>
      <c r="AX5" t="str">
        <f t="shared" si="26"/>
        <v>MISMATCH</v>
      </c>
      <c r="AY5">
        <f>COUNTIF(AW2:AW933,"MISMATCH")</f>
        <v>79</v>
      </c>
    </row>
    <row r="6" spans="1:56" hidden="1">
      <c r="A6" s="1" t="s">
        <v>77</v>
      </c>
      <c r="B6" s="1">
        <f t="shared" si="0"/>
        <v>1</v>
      </c>
      <c r="C6" s="16">
        <v>45436</v>
      </c>
      <c r="D6" s="16">
        <v>45436</v>
      </c>
      <c r="E6" s="16" t="str">
        <f t="shared" si="19"/>
        <v>May</v>
      </c>
      <c r="F6" s="1">
        <f t="shared" si="20"/>
        <v>2024</v>
      </c>
      <c r="G6" t="s">
        <v>68</v>
      </c>
      <c r="H6" s="17">
        <v>45901</v>
      </c>
      <c r="I6" s="21">
        <f t="shared" si="21"/>
        <v>465</v>
      </c>
      <c r="J6" s="6" t="str">
        <f t="shared" si="22"/>
        <v>OK</v>
      </c>
      <c r="K6" s="1" t="s">
        <v>79</v>
      </c>
      <c r="L6" s="1" t="s">
        <v>80</v>
      </c>
      <c r="M6" s="1" t="str">
        <f t="shared" si="1"/>
        <v>Vikram Iyer</v>
      </c>
      <c r="N6" s="1" t="s">
        <v>40</v>
      </c>
      <c r="O6" s="1" t="str">
        <f t="shared" si="2"/>
        <v>Small Business</v>
      </c>
      <c r="P6" s="1" t="s">
        <v>71</v>
      </c>
      <c r="Q6" s="1" t="str">
        <f t="shared" si="3"/>
        <v>West</v>
      </c>
      <c r="R6" s="1" t="str">
        <f t="shared" si="4"/>
        <v>OK</v>
      </c>
      <c r="S6" s="1" t="s">
        <v>81</v>
      </c>
      <c r="T6" s="1" t="str">
        <f t="shared" si="5"/>
        <v>Madhya Pradesh</v>
      </c>
      <c r="U6" s="1" t="s">
        <v>82</v>
      </c>
      <c r="V6" s="1" t="str">
        <f t="shared" si="6"/>
        <v>Indore</v>
      </c>
      <c r="W6" s="1" t="s">
        <v>83</v>
      </c>
      <c r="X6" s="1" t="str">
        <f t="shared" si="7"/>
        <v>Technology</v>
      </c>
      <c r="Y6" s="1" t="s">
        <v>84</v>
      </c>
      <c r="Z6" s="1" t="str">
        <f t="shared" si="8"/>
        <v>Accessories</v>
      </c>
      <c r="AA6" s="1" t="s">
        <v>85</v>
      </c>
      <c r="AB6" s="1" t="s">
        <v>47</v>
      </c>
      <c r="AC6" s="1" t="str">
        <f t="shared" si="9"/>
        <v>Same Day</v>
      </c>
      <c r="AD6" s="1" t="str">
        <f t="shared" si="10"/>
        <v>OK</v>
      </c>
      <c r="AE6" s="1">
        <v>3</v>
      </c>
      <c r="AF6" s="1">
        <v>1053.1099999999999</v>
      </c>
      <c r="AG6" s="9">
        <v>0.2</v>
      </c>
      <c r="AH6" s="9">
        <f t="shared" si="11"/>
        <v>0.2</v>
      </c>
      <c r="AI6" s="1" t="str">
        <f t="shared" si="12"/>
        <v>OK</v>
      </c>
      <c r="AJ6" s="1">
        <v>2527.46</v>
      </c>
      <c r="AK6" s="1">
        <v>1533.58</v>
      </c>
      <c r="AL6" s="1">
        <v>993.88</v>
      </c>
      <c r="AM6" s="13">
        <f t="shared" si="13"/>
        <v>2527.4639999999999</v>
      </c>
      <c r="AN6" s="9">
        <f t="shared" si="14"/>
        <v>993.88400000000001</v>
      </c>
      <c r="AO6" s="9">
        <f t="shared" si="23"/>
        <v>0.39323369195367375</v>
      </c>
      <c r="AP6" s="1" t="s">
        <v>33</v>
      </c>
      <c r="AQ6" s="1" t="str">
        <f t="shared" si="15"/>
        <v>Paid</v>
      </c>
      <c r="AR6" s="1" t="str">
        <f t="shared" si="16"/>
        <v>OK</v>
      </c>
      <c r="AS6" s="1" t="s">
        <v>34</v>
      </c>
      <c r="AT6" s="3" t="str">
        <f t="shared" si="17"/>
        <v>Completed</v>
      </c>
      <c r="AU6" s="3" t="str">
        <f t="shared" si="18"/>
        <v>OK</v>
      </c>
      <c r="AV6" s="3" t="str">
        <f t="shared" si="24"/>
        <v>CLEAN</v>
      </c>
      <c r="AW6" t="str">
        <f t="shared" si="25"/>
        <v>MATCH</v>
      </c>
      <c r="AX6" t="str">
        <f t="shared" si="26"/>
        <v>MATCH</v>
      </c>
      <c r="AY6">
        <f>COUNTIF(AX2:AX933,"MISMATCH")</f>
        <v>81</v>
      </c>
    </row>
    <row r="7" spans="1:56" hidden="1">
      <c r="A7" s="1" t="s">
        <v>100</v>
      </c>
      <c r="B7" s="1">
        <f t="shared" si="0"/>
        <v>1</v>
      </c>
      <c r="C7" s="16">
        <v>45423</v>
      </c>
      <c r="D7" s="16">
        <v>45423</v>
      </c>
      <c r="E7" s="16" t="str">
        <f t="shared" si="19"/>
        <v>May</v>
      </c>
      <c r="F7" s="1">
        <f t="shared" si="20"/>
        <v>2024</v>
      </c>
      <c r="G7" t="s">
        <v>78</v>
      </c>
      <c r="H7" s="17">
        <v>45440</v>
      </c>
      <c r="I7" s="21">
        <f t="shared" si="21"/>
        <v>17</v>
      </c>
      <c r="J7" s="6" t="str">
        <f t="shared" si="22"/>
        <v>OK</v>
      </c>
      <c r="K7" s="1" t="s">
        <v>102</v>
      </c>
      <c r="L7" s="1" t="s">
        <v>103</v>
      </c>
      <c r="M7" s="1" t="str">
        <f t="shared" si="1"/>
        <v>Aditi Sen</v>
      </c>
      <c r="N7" s="1" t="s">
        <v>104</v>
      </c>
      <c r="O7" s="1" t="str">
        <f t="shared" si="2"/>
        <v>Corporate</v>
      </c>
      <c r="P7" s="1" t="s">
        <v>60</v>
      </c>
      <c r="Q7" s="1" t="str">
        <f t="shared" si="3"/>
        <v>South</v>
      </c>
      <c r="R7" s="1" t="str">
        <f t="shared" si="4"/>
        <v>OK</v>
      </c>
      <c r="S7" s="1" t="s">
        <v>61</v>
      </c>
      <c r="T7" s="1" t="str">
        <f t="shared" si="5"/>
        <v>Telangana</v>
      </c>
      <c r="U7" s="1" t="s">
        <v>62</v>
      </c>
      <c r="V7" s="1" t="str">
        <f t="shared" si="6"/>
        <v>Hyderabad</v>
      </c>
      <c r="W7" s="1" t="s">
        <v>29</v>
      </c>
      <c r="X7" s="1" t="str">
        <f t="shared" si="7"/>
        <v>Office Supplies</v>
      </c>
      <c r="Y7" s="1" t="s">
        <v>105</v>
      </c>
      <c r="Z7" s="1" t="str">
        <f t="shared" si="8"/>
        <v>Labels</v>
      </c>
      <c r="AA7" s="1" t="s">
        <v>106</v>
      </c>
      <c r="AB7" s="1" t="s">
        <v>55</v>
      </c>
      <c r="AC7" s="1" t="str">
        <f t="shared" si="9"/>
        <v>First Class</v>
      </c>
      <c r="AD7" s="1" t="str">
        <f t="shared" si="10"/>
        <v>OK</v>
      </c>
      <c r="AE7" s="1">
        <v>8</v>
      </c>
      <c r="AF7" s="1">
        <v>3134.2</v>
      </c>
      <c r="AG7" s="9">
        <v>0</v>
      </c>
      <c r="AH7" s="9">
        <f t="shared" si="11"/>
        <v>0</v>
      </c>
      <c r="AI7" s="1" t="str">
        <f t="shared" si="12"/>
        <v>OK</v>
      </c>
      <c r="AJ7" s="1">
        <v>25073.599999999999</v>
      </c>
      <c r="AK7" s="1">
        <v>17347.23</v>
      </c>
      <c r="AL7" s="1">
        <v>7726.37</v>
      </c>
      <c r="AM7" s="13">
        <f t="shared" si="13"/>
        <v>25073.599999999999</v>
      </c>
      <c r="AN7" s="9">
        <f t="shared" si="14"/>
        <v>7726.369999999999</v>
      </c>
      <c r="AO7" s="9">
        <f t="shared" si="23"/>
        <v>0.30814761342607361</v>
      </c>
      <c r="AP7" s="1" t="s">
        <v>33</v>
      </c>
      <c r="AQ7" s="1" t="str">
        <f t="shared" si="15"/>
        <v>Paid</v>
      </c>
      <c r="AR7" s="1" t="str">
        <f t="shared" si="16"/>
        <v>OK</v>
      </c>
      <c r="AS7" s="1" t="s">
        <v>34</v>
      </c>
      <c r="AT7" s="3" t="str">
        <f t="shared" si="17"/>
        <v>Completed</v>
      </c>
      <c r="AU7" s="3" t="str">
        <f t="shared" si="18"/>
        <v>OK</v>
      </c>
      <c r="AV7" s="3" t="str">
        <f t="shared" si="24"/>
        <v>CLEAN</v>
      </c>
      <c r="AW7" t="str">
        <f t="shared" si="25"/>
        <v>MATCH</v>
      </c>
      <c r="AX7" t="str">
        <f t="shared" si="26"/>
        <v>MATCH</v>
      </c>
    </row>
    <row r="8" spans="1:56" hidden="1">
      <c r="A8" s="1" t="s">
        <v>121</v>
      </c>
      <c r="B8" s="1">
        <f t="shared" si="0"/>
        <v>1</v>
      </c>
      <c r="C8" s="16">
        <v>45495</v>
      </c>
      <c r="D8" s="16">
        <v>45495</v>
      </c>
      <c r="E8" s="16" t="str">
        <f t="shared" si="19"/>
        <v>Jul</v>
      </c>
      <c r="F8" s="1">
        <f t="shared" si="20"/>
        <v>2024</v>
      </c>
      <c r="G8" t="s">
        <v>88</v>
      </c>
      <c r="H8" s="17">
        <v>45763</v>
      </c>
      <c r="I8" s="21">
        <f t="shared" si="21"/>
        <v>268</v>
      </c>
      <c r="J8" s="6" t="str">
        <f t="shared" si="22"/>
        <v>OK</v>
      </c>
      <c r="K8" s="1" t="s">
        <v>124</v>
      </c>
      <c r="L8" s="1" t="s">
        <v>80</v>
      </c>
      <c r="M8" s="1" t="str">
        <f t="shared" si="1"/>
        <v>Vikram Iyer</v>
      </c>
      <c r="N8" s="1" t="s">
        <v>40</v>
      </c>
      <c r="O8" s="1" t="str">
        <f t="shared" si="2"/>
        <v>Small Business</v>
      </c>
      <c r="P8" s="1" t="s">
        <v>41</v>
      </c>
      <c r="Q8" s="1" t="str">
        <f t="shared" si="3"/>
        <v>East</v>
      </c>
      <c r="R8" s="1" t="str">
        <f t="shared" si="4"/>
        <v>OK</v>
      </c>
      <c r="S8" s="1" t="s">
        <v>42</v>
      </c>
      <c r="T8" s="1" t="str">
        <f t="shared" si="5"/>
        <v>Odisha</v>
      </c>
      <c r="U8" s="1" t="s">
        <v>43</v>
      </c>
      <c r="V8" s="1" t="str">
        <f t="shared" si="6"/>
        <v>Bhubaneswar</v>
      </c>
      <c r="W8" s="1" t="s">
        <v>83</v>
      </c>
      <c r="X8" s="1" t="str">
        <f t="shared" si="7"/>
        <v>Technology</v>
      </c>
      <c r="Y8" s="1" t="s">
        <v>84</v>
      </c>
      <c r="Z8" s="1" t="str">
        <f t="shared" si="8"/>
        <v>Accessories</v>
      </c>
      <c r="AA8" s="1" t="s">
        <v>125</v>
      </c>
      <c r="AB8" s="1" t="s">
        <v>47</v>
      </c>
      <c r="AC8" s="1" t="str">
        <f t="shared" si="9"/>
        <v>Same Day</v>
      </c>
      <c r="AD8" s="1" t="str">
        <f t="shared" si="10"/>
        <v>OK</v>
      </c>
      <c r="AE8" s="1">
        <v>6</v>
      </c>
      <c r="AF8" s="1">
        <v>2005.95</v>
      </c>
      <c r="AG8" s="9">
        <v>0.2</v>
      </c>
      <c r="AH8" s="9">
        <f t="shared" si="11"/>
        <v>0.2</v>
      </c>
      <c r="AI8" s="1" t="str">
        <f t="shared" si="12"/>
        <v>OK</v>
      </c>
      <c r="AJ8" s="1">
        <v>9628.56</v>
      </c>
      <c r="AK8" s="1">
        <v>8038.59</v>
      </c>
      <c r="AL8" s="1">
        <v>1589.97</v>
      </c>
      <c r="AM8" s="13">
        <f t="shared" si="13"/>
        <v>9628.5600000000013</v>
      </c>
      <c r="AN8" s="9">
        <f t="shared" si="14"/>
        <v>1589.9700000000012</v>
      </c>
      <c r="AO8" s="9">
        <f t="shared" si="23"/>
        <v>0.16513061143099289</v>
      </c>
      <c r="AP8" s="1" t="s">
        <v>33</v>
      </c>
      <c r="AQ8" s="1" t="str">
        <f t="shared" si="15"/>
        <v>Paid</v>
      </c>
      <c r="AR8" s="1" t="str">
        <f t="shared" si="16"/>
        <v>OK</v>
      </c>
      <c r="AS8" s="1" t="s">
        <v>34</v>
      </c>
      <c r="AT8" s="3" t="str">
        <f t="shared" si="17"/>
        <v>Completed</v>
      </c>
      <c r="AU8" s="3" t="str">
        <f t="shared" si="18"/>
        <v>OK</v>
      </c>
      <c r="AV8" s="3" t="str">
        <f t="shared" si="24"/>
        <v>CLEAN</v>
      </c>
      <c r="AW8" t="str">
        <f t="shared" si="25"/>
        <v>MATCH</v>
      </c>
      <c r="AX8" t="str">
        <f t="shared" si="26"/>
        <v>MATCH</v>
      </c>
      <c r="AY8">
        <f>COUNTIF(AW2:AW933,"INVALID")</f>
        <v>16</v>
      </c>
    </row>
    <row r="9" spans="1:56" hidden="1">
      <c r="A9" s="1" t="s">
        <v>126</v>
      </c>
      <c r="B9" s="1">
        <f t="shared" si="0"/>
        <v>1</v>
      </c>
      <c r="C9" s="16">
        <v>45646</v>
      </c>
      <c r="D9" s="16">
        <v>45646</v>
      </c>
      <c r="E9" s="16" t="str">
        <f t="shared" si="19"/>
        <v>Dec</v>
      </c>
      <c r="F9" s="1">
        <f t="shared" si="20"/>
        <v>2024</v>
      </c>
      <c r="G9" t="s">
        <v>95</v>
      </c>
      <c r="H9" s="17">
        <v>45714</v>
      </c>
      <c r="I9" s="21">
        <f t="shared" si="21"/>
        <v>68</v>
      </c>
      <c r="J9" s="6" t="str">
        <f t="shared" si="22"/>
        <v>OK</v>
      </c>
      <c r="K9" s="1" t="s">
        <v>128</v>
      </c>
      <c r="L9" s="1" t="s">
        <v>70</v>
      </c>
      <c r="M9" s="1" t="str">
        <f t="shared" si="1"/>
        <v>Ananya Rao</v>
      </c>
      <c r="N9" s="1" t="s">
        <v>104</v>
      </c>
      <c r="O9" s="1" t="str">
        <f t="shared" si="2"/>
        <v>Corporate</v>
      </c>
      <c r="P9" s="1" t="s">
        <v>71</v>
      </c>
      <c r="Q9" s="1" t="str">
        <f t="shared" si="3"/>
        <v>West</v>
      </c>
      <c r="R9" s="1" t="str">
        <f t="shared" si="4"/>
        <v>OK</v>
      </c>
      <c r="S9" s="1" t="s">
        <v>27</v>
      </c>
      <c r="T9" s="1" t="str">
        <f t="shared" si="5"/>
        <v>Rajasthan</v>
      </c>
      <c r="U9" s="1" t="s">
        <v>129</v>
      </c>
      <c r="V9" s="1" t="str">
        <f t="shared" si="6"/>
        <v>Udaipur</v>
      </c>
      <c r="W9" s="1" t="s">
        <v>29</v>
      </c>
      <c r="X9" s="1" t="str">
        <f t="shared" si="7"/>
        <v>Office Supplies</v>
      </c>
      <c r="Y9" s="1" t="s">
        <v>30</v>
      </c>
      <c r="Z9" s="1" t="str">
        <f t="shared" si="8"/>
        <v>Paper</v>
      </c>
      <c r="AA9" s="1" t="s">
        <v>130</v>
      </c>
      <c r="AB9" s="1" t="s">
        <v>55</v>
      </c>
      <c r="AC9" s="1" t="str">
        <f t="shared" si="9"/>
        <v>First Class</v>
      </c>
      <c r="AD9" s="1" t="str">
        <f t="shared" si="10"/>
        <v>OK</v>
      </c>
      <c r="AE9" s="1">
        <v>1</v>
      </c>
      <c r="AF9" s="1">
        <v>702.14</v>
      </c>
      <c r="AG9" s="9">
        <v>0.15</v>
      </c>
      <c r="AH9" s="9">
        <f t="shared" si="11"/>
        <v>0.15</v>
      </c>
      <c r="AI9" s="1" t="str">
        <f t="shared" si="12"/>
        <v>OK</v>
      </c>
      <c r="AJ9" s="1">
        <v>596.82000000000005</v>
      </c>
      <c r="AK9" s="1">
        <v>380.25</v>
      </c>
      <c r="AL9" s="1">
        <v>216.57</v>
      </c>
      <c r="AM9" s="13">
        <f t="shared" si="13"/>
        <v>596.81899999999996</v>
      </c>
      <c r="AN9" s="9">
        <f t="shared" si="14"/>
        <v>216.56899999999996</v>
      </c>
      <c r="AO9" s="9">
        <f t="shared" si="23"/>
        <v>0.36287216057129545</v>
      </c>
      <c r="AP9" s="1" t="s">
        <v>131</v>
      </c>
      <c r="AQ9" s="1" t="str">
        <f t="shared" si="15"/>
        <v>Pending</v>
      </c>
      <c r="AR9" s="1" t="str">
        <f t="shared" si="16"/>
        <v>OK</v>
      </c>
      <c r="AS9" s="1" t="s">
        <v>120</v>
      </c>
      <c r="AT9" s="3" t="str">
        <f t="shared" si="17"/>
        <v>Returned</v>
      </c>
      <c r="AU9" s="3" t="str">
        <f t="shared" si="18"/>
        <v>RETURNED_ORDER</v>
      </c>
      <c r="AV9" s="3" t="str">
        <f t="shared" si="24"/>
        <v>CLEAN</v>
      </c>
      <c r="AW9" t="str">
        <f t="shared" si="25"/>
        <v>MATCH</v>
      </c>
      <c r="AX9" t="str">
        <f t="shared" si="26"/>
        <v>MATCH</v>
      </c>
      <c r="AY9">
        <f>COUNTIF(AX2:AX933,"INVALID")</f>
        <v>16</v>
      </c>
    </row>
    <row r="10" spans="1:56">
      <c r="A10" s="1" t="s">
        <v>138</v>
      </c>
      <c r="B10" s="1">
        <f t="shared" si="0"/>
        <v>1</v>
      </c>
      <c r="C10" s="16">
        <v>45653</v>
      </c>
      <c r="D10" s="16">
        <v>45653</v>
      </c>
      <c r="E10" s="16" t="str">
        <f t="shared" si="19"/>
        <v>Dec</v>
      </c>
      <c r="F10" s="1">
        <f t="shared" si="20"/>
        <v>2024</v>
      </c>
      <c r="G10" t="s">
        <v>101</v>
      </c>
      <c r="H10" s="17">
        <v>45606</v>
      </c>
      <c r="I10" s="21">
        <f t="shared" si="21"/>
        <v>-47</v>
      </c>
      <c r="J10" s="6" t="str">
        <f t="shared" si="22"/>
        <v>INVALID_SHIPPING</v>
      </c>
      <c r="K10" s="1" t="s">
        <v>140</v>
      </c>
      <c r="L10" s="1" t="s">
        <v>141</v>
      </c>
      <c r="M10" s="1" t="str">
        <f t="shared" si="1"/>
        <v>Rahul Verma</v>
      </c>
      <c r="N10" s="1" t="s">
        <v>25</v>
      </c>
      <c r="O10" s="1" t="str">
        <f t="shared" si="2"/>
        <v>Consumer</v>
      </c>
      <c r="P10" s="1" t="s">
        <v>71</v>
      </c>
      <c r="Q10" s="1" t="str">
        <f t="shared" si="3"/>
        <v>West</v>
      </c>
      <c r="R10" s="1" t="str">
        <f t="shared" si="4"/>
        <v>OK</v>
      </c>
      <c r="S10" s="1" t="s">
        <v>27</v>
      </c>
      <c r="T10" s="1" t="str">
        <f t="shared" si="5"/>
        <v>Rajasthan</v>
      </c>
      <c r="U10" s="1" t="s">
        <v>129</v>
      </c>
      <c r="V10" s="1" t="str">
        <f t="shared" si="6"/>
        <v>Udaipur</v>
      </c>
      <c r="W10" s="1" t="s">
        <v>83</v>
      </c>
      <c r="X10" s="1" t="str">
        <f t="shared" si="7"/>
        <v>Technology</v>
      </c>
      <c r="Y10" s="1" t="s">
        <v>91</v>
      </c>
      <c r="Z10" s="1" t="str">
        <f t="shared" si="8"/>
        <v>Copiers</v>
      </c>
      <c r="AA10" s="1" t="s">
        <v>142</v>
      </c>
      <c r="AB10" s="1" t="s">
        <v>65</v>
      </c>
      <c r="AC10" s="1" t="str">
        <f t="shared" si="9"/>
        <v>Standard Class</v>
      </c>
      <c r="AD10" s="1" t="str">
        <f t="shared" si="10"/>
        <v>OK</v>
      </c>
      <c r="AE10" s="1">
        <v>2</v>
      </c>
      <c r="AF10" s="1">
        <v>2737.83</v>
      </c>
      <c r="AG10" s="9">
        <v>0.25</v>
      </c>
      <c r="AH10" s="9">
        <f t="shared" si="11"/>
        <v>0.25</v>
      </c>
      <c r="AI10" s="1" t="str">
        <f t="shared" si="12"/>
        <v>OK</v>
      </c>
      <c r="AJ10" s="1">
        <v>4106.74</v>
      </c>
      <c r="AK10" s="1">
        <v>2666.3</v>
      </c>
      <c r="AL10" s="1">
        <v>1440.44</v>
      </c>
      <c r="AM10" s="13">
        <f t="shared" si="13"/>
        <v>4106.7449999999999</v>
      </c>
      <c r="AN10" s="9">
        <f t="shared" si="14"/>
        <v>1440.4449999999997</v>
      </c>
      <c r="AO10" s="9">
        <f t="shared" si="23"/>
        <v>0.35075102057712365</v>
      </c>
      <c r="AP10" s="1" t="s">
        <v>33</v>
      </c>
      <c r="AQ10" s="1" t="str">
        <f t="shared" si="15"/>
        <v>Paid</v>
      </c>
      <c r="AR10" s="1" t="str">
        <f t="shared" si="16"/>
        <v>OK</v>
      </c>
      <c r="AS10" s="1" t="s">
        <v>34</v>
      </c>
      <c r="AT10" s="3" t="str">
        <f t="shared" si="17"/>
        <v>Completed</v>
      </c>
      <c r="AU10" s="3" t="str">
        <f t="shared" si="18"/>
        <v>OK</v>
      </c>
      <c r="AV10" s="3" t="str">
        <f t="shared" si="24"/>
        <v>INVALID</v>
      </c>
      <c r="AW10" t="str">
        <f t="shared" si="25"/>
        <v>MISMATCH</v>
      </c>
      <c r="AX10" t="str">
        <f t="shared" si="26"/>
        <v>MISMATCH</v>
      </c>
    </row>
    <row r="11" spans="1:56" hidden="1">
      <c r="A11" s="1" t="s">
        <v>143</v>
      </c>
      <c r="B11" s="1">
        <f t="shared" si="0"/>
        <v>1</v>
      </c>
      <c r="C11" s="16">
        <v>45542</v>
      </c>
      <c r="D11" s="16">
        <v>45542</v>
      </c>
      <c r="E11" s="16" t="str">
        <f t="shared" si="19"/>
        <v>Sep</v>
      </c>
      <c r="F11" s="1">
        <f t="shared" si="20"/>
        <v>2024</v>
      </c>
      <c r="G11" t="s">
        <v>108</v>
      </c>
      <c r="H11" s="17">
        <v>45912</v>
      </c>
      <c r="I11" s="21">
        <f t="shared" si="21"/>
        <v>370</v>
      </c>
      <c r="J11" s="6" t="str">
        <f t="shared" si="22"/>
        <v>OK</v>
      </c>
      <c r="K11" s="1" t="s">
        <v>145</v>
      </c>
      <c r="L11" s="1" t="s">
        <v>24</v>
      </c>
      <c r="M11" s="1" t="str">
        <f t="shared" si="1"/>
        <v>Karan Malhotra</v>
      </c>
      <c r="N11" s="1" t="s">
        <v>40</v>
      </c>
      <c r="O11" s="1" t="str">
        <f t="shared" si="2"/>
        <v>Small Business</v>
      </c>
      <c r="P11" s="1" t="s">
        <v>26</v>
      </c>
      <c r="Q11" s="1" t="str">
        <f t="shared" si="3"/>
        <v>North</v>
      </c>
      <c r="R11" s="1" t="str">
        <f t="shared" si="4"/>
        <v>OK</v>
      </c>
      <c r="S11" s="1" t="s">
        <v>146</v>
      </c>
      <c r="T11" s="1" t="str">
        <f t="shared" si="5"/>
        <v>Punjab</v>
      </c>
      <c r="U11" s="1" t="s">
        <v>147</v>
      </c>
      <c r="V11" s="1" t="str">
        <f t="shared" si="6"/>
        <v>Ludhiana</v>
      </c>
      <c r="W11" s="1" t="s">
        <v>29</v>
      </c>
      <c r="X11" s="1" t="str">
        <f t="shared" si="7"/>
        <v>Office Supplies</v>
      </c>
      <c r="Y11" s="1" t="s">
        <v>148</v>
      </c>
      <c r="Z11" s="1" t="str">
        <f t="shared" si="8"/>
        <v>Storage</v>
      </c>
      <c r="AA11" s="1" t="s">
        <v>149</v>
      </c>
      <c r="AB11" s="1" t="s">
        <v>32</v>
      </c>
      <c r="AC11" s="1" t="str">
        <f t="shared" si="9"/>
        <v>Second Class</v>
      </c>
      <c r="AD11" s="1" t="str">
        <f t="shared" si="10"/>
        <v>OK</v>
      </c>
      <c r="AE11" s="1">
        <v>6</v>
      </c>
      <c r="AF11" s="1">
        <v>3965.76</v>
      </c>
      <c r="AG11" s="9">
        <v>0</v>
      </c>
      <c r="AH11" s="9">
        <f t="shared" si="11"/>
        <v>0</v>
      </c>
      <c r="AI11" s="1" t="str">
        <f t="shared" si="12"/>
        <v>OK</v>
      </c>
      <c r="AJ11" s="1">
        <v>23794.560000000001</v>
      </c>
      <c r="AK11" s="1">
        <v>15698.47</v>
      </c>
      <c r="AL11" s="1">
        <v>8096.09</v>
      </c>
      <c r="AM11" s="13">
        <f t="shared" si="13"/>
        <v>23794.560000000001</v>
      </c>
      <c r="AN11" s="9">
        <f t="shared" si="14"/>
        <v>8096.090000000002</v>
      </c>
      <c r="AO11" s="9">
        <f t="shared" si="23"/>
        <v>0.34024962008122872</v>
      </c>
      <c r="AP11" s="1" t="s">
        <v>33</v>
      </c>
      <c r="AQ11" s="1" t="str">
        <f t="shared" si="15"/>
        <v>Paid</v>
      </c>
      <c r="AR11" s="1" t="str">
        <f t="shared" si="16"/>
        <v>OK</v>
      </c>
      <c r="AS11" s="1" t="s">
        <v>34</v>
      </c>
      <c r="AT11" s="3" t="str">
        <f t="shared" si="17"/>
        <v>Completed</v>
      </c>
      <c r="AU11" s="3" t="str">
        <f t="shared" si="18"/>
        <v>OK</v>
      </c>
      <c r="AV11" s="3" t="str">
        <f t="shared" si="24"/>
        <v>CLEAN</v>
      </c>
      <c r="AW11" t="str">
        <f t="shared" si="25"/>
        <v>MATCH</v>
      </c>
      <c r="AX11" t="str">
        <f t="shared" si="26"/>
        <v>MATCH</v>
      </c>
    </row>
    <row r="12" spans="1:56" hidden="1">
      <c r="A12" s="1" t="s">
        <v>150</v>
      </c>
      <c r="B12" s="1">
        <f t="shared" si="0"/>
        <v>1</v>
      </c>
      <c r="C12" s="16">
        <v>45509</v>
      </c>
      <c r="D12" s="16">
        <v>45509</v>
      </c>
      <c r="E12" s="16" t="str">
        <f t="shared" si="19"/>
        <v>Aug</v>
      </c>
      <c r="F12" s="1">
        <f t="shared" si="20"/>
        <v>2024</v>
      </c>
      <c r="G12" t="s">
        <v>114</v>
      </c>
      <c r="H12" s="17">
        <v>45797</v>
      </c>
      <c r="I12" s="21">
        <f t="shared" si="21"/>
        <v>288</v>
      </c>
      <c r="J12" s="6" t="str">
        <f t="shared" si="22"/>
        <v>OK</v>
      </c>
      <c r="K12" s="1" t="s">
        <v>152</v>
      </c>
      <c r="L12" s="1" t="s">
        <v>153</v>
      </c>
      <c r="M12" s="1" t="str">
        <f t="shared" si="1"/>
        <v>Aarav Sharma</v>
      </c>
      <c r="N12" s="1" t="s">
        <v>25</v>
      </c>
      <c r="O12" s="1" t="str">
        <f t="shared" si="2"/>
        <v>Consumer</v>
      </c>
      <c r="P12" s="1" t="s">
        <v>60</v>
      </c>
      <c r="Q12" s="1" t="str">
        <f t="shared" si="3"/>
        <v>South</v>
      </c>
      <c r="R12" s="1" t="str">
        <f t="shared" si="4"/>
        <v>OK</v>
      </c>
      <c r="S12" s="1" t="s">
        <v>61</v>
      </c>
      <c r="T12" s="1" t="str">
        <f t="shared" si="5"/>
        <v>Telangana</v>
      </c>
      <c r="U12" s="1" t="s">
        <v>62</v>
      </c>
      <c r="V12" s="1" t="str">
        <f t="shared" si="6"/>
        <v>Hyderabad</v>
      </c>
      <c r="W12" s="1" t="s">
        <v>29</v>
      </c>
      <c r="X12" s="1" t="str">
        <f t="shared" si="7"/>
        <v>Office Supplies</v>
      </c>
      <c r="Y12" s="1" t="s">
        <v>53</v>
      </c>
      <c r="Z12" s="1" t="str">
        <f t="shared" si="8"/>
        <v>Art</v>
      </c>
      <c r="AA12" s="1" t="s">
        <v>154</v>
      </c>
      <c r="AB12" s="1" t="s">
        <v>55</v>
      </c>
      <c r="AC12" s="1" t="str">
        <f t="shared" si="9"/>
        <v>First Class</v>
      </c>
      <c r="AD12" s="1" t="str">
        <f t="shared" si="10"/>
        <v>OK</v>
      </c>
      <c r="AE12" s="1">
        <v>4</v>
      </c>
      <c r="AF12" s="1">
        <v>3323.51</v>
      </c>
      <c r="AG12" s="9">
        <v>0.25</v>
      </c>
      <c r="AH12" s="9">
        <f t="shared" si="11"/>
        <v>0.25</v>
      </c>
      <c r="AI12" s="1" t="str">
        <f t="shared" si="12"/>
        <v>OK</v>
      </c>
      <c r="AJ12" s="1">
        <v>9970.5300000000007</v>
      </c>
      <c r="AK12" s="1">
        <v>5668.17</v>
      </c>
      <c r="AL12" s="1">
        <v>4302.3599999999997</v>
      </c>
      <c r="AM12" s="13">
        <f t="shared" si="13"/>
        <v>9970.5300000000007</v>
      </c>
      <c r="AN12" s="9">
        <f t="shared" si="14"/>
        <v>4302.3600000000006</v>
      </c>
      <c r="AO12" s="9">
        <f t="shared" si="23"/>
        <v>0.43150765305354882</v>
      </c>
      <c r="AP12" s="1" t="s">
        <v>33</v>
      </c>
      <c r="AQ12" s="1" t="str">
        <f t="shared" si="15"/>
        <v>Paid</v>
      </c>
      <c r="AR12" s="1" t="str">
        <f t="shared" si="16"/>
        <v>OK</v>
      </c>
      <c r="AS12" s="1" t="s">
        <v>34</v>
      </c>
      <c r="AT12" s="3" t="str">
        <f t="shared" si="17"/>
        <v>Completed</v>
      </c>
      <c r="AU12" s="3" t="str">
        <f t="shared" si="18"/>
        <v>OK</v>
      </c>
      <c r="AV12" s="3" t="str">
        <f t="shared" si="24"/>
        <v>CLEAN</v>
      </c>
      <c r="AW12" t="str">
        <f t="shared" si="25"/>
        <v>MATCH</v>
      </c>
      <c r="AX12" t="str">
        <f t="shared" si="26"/>
        <v>MATCH</v>
      </c>
      <c r="BD12" t="b">
        <f>I4&lt;0</f>
        <v>1</v>
      </c>
    </row>
    <row r="13" spans="1:56" hidden="1">
      <c r="A13" s="1" t="s">
        <v>155</v>
      </c>
      <c r="B13" s="1">
        <f t="shared" si="0"/>
        <v>1</v>
      </c>
      <c r="C13" s="16">
        <v>45474</v>
      </c>
      <c r="D13" s="16">
        <v>45474</v>
      </c>
      <c r="E13" s="16" t="str">
        <f t="shared" si="19"/>
        <v>Jul</v>
      </c>
      <c r="F13" s="1">
        <f t="shared" si="20"/>
        <v>2024</v>
      </c>
      <c r="G13" t="s">
        <v>123</v>
      </c>
      <c r="H13" s="17">
        <v>45496</v>
      </c>
      <c r="I13" s="21">
        <f t="shared" si="21"/>
        <v>22</v>
      </c>
      <c r="J13" s="6" t="str">
        <f t="shared" si="22"/>
        <v>OK</v>
      </c>
      <c r="K13" s="1" t="s">
        <v>157</v>
      </c>
      <c r="L13" s="1" t="s">
        <v>158</v>
      </c>
      <c r="M13" s="1" t="str">
        <f t="shared" si="1"/>
        <v>Sneha Kapoor</v>
      </c>
      <c r="N13" s="1" t="s">
        <v>40</v>
      </c>
      <c r="O13" s="1" t="str">
        <f t="shared" si="2"/>
        <v>Small Business</v>
      </c>
      <c r="P13" s="1" t="s">
        <v>26</v>
      </c>
      <c r="Q13" s="1" t="str">
        <f t="shared" si="3"/>
        <v>North</v>
      </c>
      <c r="R13" s="1" t="str">
        <f t="shared" si="4"/>
        <v>OK</v>
      </c>
      <c r="S13" s="1" t="s">
        <v>27</v>
      </c>
      <c r="T13" s="1" t="str">
        <f t="shared" si="5"/>
        <v>Rajasthan</v>
      </c>
      <c r="U13" s="1" t="s">
        <v>28</v>
      </c>
      <c r="V13" s="1" t="str">
        <f t="shared" si="6"/>
        <v>Jaipur</v>
      </c>
      <c r="W13" s="1" t="s">
        <v>44</v>
      </c>
      <c r="X13" s="1" t="str">
        <f t="shared" si="7"/>
        <v>Furniture</v>
      </c>
      <c r="Y13" s="1" t="s">
        <v>63</v>
      </c>
      <c r="Z13" s="1" t="str">
        <f t="shared" si="8"/>
        <v>Furnishings</v>
      </c>
      <c r="AA13" s="1" t="s">
        <v>159</v>
      </c>
      <c r="AB13" s="1" t="s">
        <v>47</v>
      </c>
      <c r="AC13" s="1" t="str">
        <f t="shared" si="9"/>
        <v>Same Day</v>
      </c>
      <c r="AD13" s="1" t="str">
        <f t="shared" si="10"/>
        <v>OK</v>
      </c>
      <c r="AE13" s="1">
        <v>5</v>
      </c>
      <c r="AF13" s="1">
        <v>1526.78</v>
      </c>
      <c r="AG13" s="9">
        <v>0</v>
      </c>
      <c r="AH13" s="9">
        <f t="shared" si="11"/>
        <v>0</v>
      </c>
      <c r="AI13" s="1" t="str">
        <f t="shared" si="12"/>
        <v>OK</v>
      </c>
      <c r="AJ13" s="1">
        <v>7633.9</v>
      </c>
      <c r="AK13" s="1">
        <v>4706.91</v>
      </c>
      <c r="AL13" s="1">
        <v>2926.99</v>
      </c>
      <c r="AM13" s="13">
        <f t="shared" si="13"/>
        <v>7633.9</v>
      </c>
      <c r="AN13" s="9">
        <f t="shared" si="14"/>
        <v>2926.99</v>
      </c>
      <c r="AO13" s="9">
        <f t="shared" si="23"/>
        <v>0.38342000812166782</v>
      </c>
      <c r="AP13" s="1" t="s">
        <v>33</v>
      </c>
      <c r="AQ13" s="1" t="str">
        <f t="shared" si="15"/>
        <v>Paid</v>
      </c>
      <c r="AR13" s="1" t="str">
        <f t="shared" si="16"/>
        <v>OK</v>
      </c>
      <c r="AS13" s="1" t="s">
        <v>34</v>
      </c>
      <c r="AT13" s="3" t="str">
        <f t="shared" si="17"/>
        <v>Completed</v>
      </c>
      <c r="AU13" s="3" t="str">
        <f t="shared" si="18"/>
        <v>OK</v>
      </c>
      <c r="AV13" s="3" t="str">
        <f t="shared" si="24"/>
        <v>CLEAN</v>
      </c>
      <c r="AW13" t="str">
        <f t="shared" si="25"/>
        <v>MATCH</v>
      </c>
      <c r="AX13" t="str">
        <f t="shared" si="26"/>
        <v>MATCH</v>
      </c>
    </row>
    <row r="14" spans="1:56">
      <c r="A14" s="1" t="s">
        <v>166</v>
      </c>
      <c r="B14" s="1">
        <f t="shared" si="0"/>
        <v>1</v>
      </c>
      <c r="C14" s="16">
        <v>45500</v>
      </c>
      <c r="D14" s="16">
        <v>45500</v>
      </c>
      <c r="E14" s="16" t="str">
        <f t="shared" si="19"/>
        <v>Jul</v>
      </c>
      <c r="F14" s="1">
        <f t="shared" si="20"/>
        <v>2024</v>
      </c>
      <c r="G14" t="s">
        <v>127</v>
      </c>
      <c r="H14" s="17">
        <v>45647</v>
      </c>
      <c r="I14" s="21">
        <f t="shared" si="21"/>
        <v>147</v>
      </c>
      <c r="J14" s="6" t="str">
        <f t="shared" si="22"/>
        <v>OK</v>
      </c>
      <c r="K14" s="1" t="s">
        <v>168</v>
      </c>
      <c r="L14" s="1" t="s">
        <v>169</v>
      </c>
      <c r="M14" s="1" t="str">
        <f t="shared" si="1"/>
        <v>Rohan Mehta</v>
      </c>
      <c r="N14" s="1" t="s">
        <v>110</v>
      </c>
      <c r="O14" s="1" t="str">
        <f t="shared" si="2"/>
        <v>Home Office</v>
      </c>
      <c r="P14" s="1" t="s">
        <v>71</v>
      </c>
      <c r="Q14" s="1" t="str">
        <f t="shared" si="3"/>
        <v>West</v>
      </c>
      <c r="R14" s="1" t="str">
        <f t="shared" si="4"/>
        <v>OK</v>
      </c>
      <c r="S14" s="1" t="s">
        <v>81</v>
      </c>
      <c r="T14" s="1" t="str">
        <f t="shared" si="5"/>
        <v>Madhya Pradesh</v>
      </c>
      <c r="U14" s="1" t="s">
        <v>82</v>
      </c>
      <c r="V14" s="1" t="str">
        <f t="shared" si="6"/>
        <v>Indore</v>
      </c>
      <c r="W14" s="1" t="s">
        <v>29</v>
      </c>
      <c r="X14" s="1" t="str">
        <f t="shared" si="7"/>
        <v>Office Supplies</v>
      </c>
      <c r="Y14" s="1" t="s">
        <v>148</v>
      </c>
      <c r="Z14" s="1" t="str">
        <f t="shared" si="8"/>
        <v>Storage</v>
      </c>
      <c r="AA14" s="1" t="s">
        <v>170</v>
      </c>
      <c r="AB14" s="1" t="s">
        <v>32</v>
      </c>
      <c r="AC14" s="1" t="str">
        <f t="shared" si="9"/>
        <v>Second Class</v>
      </c>
      <c r="AD14" s="1" t="str">
        <f t="shared" si="10"/>
        <v>OK</v>
      </c>
      <c r="AE14" s="1">
        <v>3</v>
      </c>
      <c r="AF14" s="1">
        <v>3887.94</v>
      </c>
      <c r="AG14" s="9">
        <v>-0.19</v>
      </c>
      <c r="AH14" s="9">
        <f t="shared" si="11"/>
        <v>-0.19</v>
      </c>
      <c r="AI14" s="1" t="str">
        <f t="shared" si="12"/>
        <v>Invalid Negative Discount</v>
      </c>
      <c r="AJ14" s="1">
        <v>9331.06</v>
      </c>
      <c r="AK14" s="1">
        <v>7529.31</v>
      </c>
      <c r="AL14" s="1">
        <v>1801.75</v>
      </c>
      <c r="AM14" s="13" t="str">
        <f t="shared" si="13"/>
        <v>INVALID</v>
      </c>
      <c r="AN14" s="9" t="str">
        <f t="shared" si="14"/>
        <v>INVALID</v>
      </c>
      <c r="AO14" s="9" t="str">
        <f t="shared" si="23"/>
        <v/>
      </c>
      <c r="AP14" s="1" t="s">
        <v>33</v>
      </c>
      <c r="AQ14" s="1" t="str">
        <f t="shared" si="15"/>
        <v>Paid</v>
      </c>
      <c r="AR14" s="1" t="str">
        <f t="shared" si="16"/>
        <v>OK</v>
      </c>
      <c r="AS14" s="1" t="s">
        <v>34</v>
      </c>
      <c r="AT14" s="3" t="str">
        <f t="shared" si="17"/>
        <v>Completed</v>
      </c>
      <c r="AU14" s="3" t="str">
        <f t="shared" si="18"/>
        <v>OK</v>
      </c>
      <c r="AV14" s="3" t="str">
        <f t="shared" si="24"/>
        <v>INVALID</v>
      </c>
      <c r="AW14" t="str">
        <f t="shared" si="25"/>
        <v>INVALID</v>
      </c>
      <c r="AX14" t="str">
        <f t="shared" si="26"/>
        <v>INVALID</v>
      </c>
    </row>
    <row r="15" spans="1:56" hidden="1">
      <c r="A15" s="1" t="s">
        <v>192</v>
      </c>
      <c r="B15" s="1">
        <f t="shared" si="0"/>
        <v>1</v>
      </c>
      <c r="C15" s="16">
        <v>45385</v>
      </c>
      <c r="D15" s="16">
        <v>45385</v>
      </c>
      <c r="E15" s="16" t="str">
        <f t="shared" si="19"/>
        <v>Apr</v>
      </c>
      <c r="F15" s="1">
        <f t="shared" si="20"/>
        <v>2024</v>
      </c>
      <c r="G15" t="s">
        <v>134</v>
      </c>
      <c r="H15" s="17">
        <v>45946</v>
      </c>
      <c r="I15" s="21">
        <f t="shared" si="21"/>
        <v>561</v>
      </c>
      <c r="J15" s="6" t="str">
        <f t="shared" si="22"/>
        <v>OK</v>
      </c>
      <c r="K15" s="1" t="s">
        <v>195</v>
      </c>
      <c r="L15" s="1" t="s">
        <v>196</v>
      </c>
      <c r="M15" s="1" t="str">
        <f t="shared" si="1"/>
        <v>Diya Patel</v>
      </c>
      <c r="N15" s="1" t="s">
        <v>25</v>
      </c>
      <c r="O15" s="1" t="str">
        <f t="shared" si="2"/>
        <v>Consumer</v>
      </c>
      <c r="P15" s="1" t="s">
        <v>26</v>
      </c>
      <c r="Q15" s="1" t="str">
        <f t="shared" si="3"/>
        <v>North</v>
      </c>
      <c r="R15" s="1" t="str">
        <f t="shared" si="4"/>
        <v>OK</v>
      </c>
      <c r="S15" s="1" t="s">
        <v>146</v>
      </c>
      <c r="T15" s="1" t="str">
        <f t="shared" si="5"/>
        <v>Punjab</v>
      </c>
      <c r="U15" s="1" t="s">
        <v>147</v>
      </c>
      <c r="V15" s="1" t="str">
        <f t="shared" si="6"/>
        <v>Ludhiana</v>
      </c>
      <c r="W15" s="1" t="s">
        <v>29</v>
      </c>
      <c r="X15" s="1" t="str">
        <f t="shared" si="7"/>
        <v>Office Supplies</v>
      </c>
      <c r="Y15" s="1" t="s">
        <v>53</v>
      </c>
      <c r="Z15" s="1" t="str">
        <f t="shared" si="8"/>
        <v>Art</v>
      </c>
      <c r="AA15" s="1" t="s">
        <v>197</v>
      </c>
      <c r="AB15" s="1" t="s">
        <v>65</v>
      </c>
      <c r="AC15" s="1" t="str">
        <f t="shared" si="9"/>
        <v>Standard Class</v>
      </c>
      <c r="AD15" s="1" t="str">
        <f t="shared" si="10"/>
        <v>OK</v>
      </c>
      <c r="AE15" s="1">
        <v>4</v>
      </c>
      <c r="AF15" s="1">
        <v>4492.9399999999996</v>
      </c>
      <c r="AG15" s="9">
        <v>0.25</v>
      </c>
      <c r="AH15" s="9">
        <f t="shared" si="11"/>
        <v>0.25</v>
      </c>
      <c r="AI15" s="1" t="str">
        <f t="shared" si="12"/>
        <v>OK</v>
      </c>
      <c r="AJ15" s="1">
        <v>13478.82</v>
      </c>
      <c r="AK15" s="1">
        <v>10937.35</v>
      </c>
      <c r="AL15" s="1">
        <v>2541.4699999999998</v>
      </c>
      <c r="AM15" s="13">
        <f t="shared" si="13"/>
        <v>13478.82</v>
      </c>
      <c r="AN15" s="9">
        <f t="shared" si="14"/>
        <v>2541.4699999999993</v>
      </c>
      <c r="AO15" s="9">
        <f t="shared" si="23"/>
        <v>0.18855285551702591</v>
      </c>
      <c r="AP15" s="1" t="s">
        <v>131</v>
      </c>
      <c r="AQ15" s="1" t="str">
        <f t="shared" si="15"/>
        <v>Pending</v>
      </c>
      <c r="AR15" s="1" t="str">
        <f t="shared" si="16"/>
        <v>OK</v>
      </c>
      <c r="AS15" s="1" t="s">
        <v>76</v>
      </c>
      <c r="AT15" s="3" t="str">
        <f t="shared" si="17"/>
        <v>Cancelled</v>
      </c>
      <c r="AU15" s="3" t="str">
        <f t="shared" si="18"/>
        <v>EXCLUDE_FROM_SALES</v>
      </c>
      <c r="AV15" s="3" t="str">
        <f t="shared" si="24"/>
        <v>CLEAN</v>
      </c>
      <c r="AW15" t="str">
        <f t="shared" si="25"/>
        <v>MATCH</v>
      </c>
      <c r="AX15" t="str">
        <f t="shared" si="26"/>
        <v>MATCH</v>
      </c>
    </row>
    <row r="16" spans="1:56" hidden="1">
      <c r="A16" s="1" t="s">
        <v>198</v>
      </c>
      <c r="B16" s="1">
        <f t="shared" si="0"/>
        <v>1</v>
      </c>
      <c r="C16" s="16">
        <v>45576</v>
      </c>
      <c r="D16" s="16">
        <v>45576</v>
      </c>
      <c r="E16" s="16" t="str">
        <f t="shared" si="19"/>
        <v>Oct</v>
      </c>
      <c r="F16" s="1">
        <f t="shared" si="20"/>
        <v>2024</v>
      </c>
      <c r="G16" t="s">
        <v>139</v>
      </c>
      <c r="H16" s="17">
        <v>45654</v>
      </c>
      <c r="I16" s="21">
        <f t="shared" si="21"/>
        <v>78</v>
      </c>
      <c r="J16" s="6" t="str">
        <f t="shared" si="22"/>
        <v>OK</v>
      </c>
      <c r="K16" s="1" t="s">
        <v>200</v>
      </c>
      <c r="L16" s="1" t="s">
        <v>59</v>
      </c>
      <c r="M16" s="1" t="str">
        <f t="shared" si="1"/>
        <v>Arjun Bose</v>
      </c>
      <c r="N16" s="1" t="s">
        <v>104</v>
      </c>
      <c r="O16" s="1" t="str">
        <f t="shared" si="2"/>
        <v>Corporate</v>
      </c>
      <c r="P16" s="1" t="s">
        <v>41</v>
      </c>
      <c r="Q16" s="1" t="str">
        <f t="shared" si="3"/>
        <v>East</v>
      </c>
      <c r="R16" s="1" t="str">
        <f t="shared" si="4"/>
        <v>OK</v>
      </c>
      <c r="S16" s="1" t="s">
        <v>201</v>
      </c>
      <c r="T16" s="1" t="str">
        <f t="shared" si="5"/>
        <v>Assam</v>
      </c>
      <c r="U16" s="1" t="s">
        <v>202</v>
      </c>
      <c r="V16" s="1" t="str">
        <f t="shared" si="6"/>
        <v>Guwahati</v>
      </c>
      <c r="W16" s="1" t="s">
        <v>83</v>
      </c>
      <c r="X16" s="1" t="str">
        <f t="shared" si="7"/>
        <v>Technology</v>
      </c>
      <c r="Y16" s="1" t="s">
        <v>84</v>
      </c>
      <c r="Z16" s="1" t="str">
        <f t="shared" si="8"/>
        <v>Accessories</v>
      </c>
      <c r="AA16" s="1" t="s">
        <v>203</v>
      </c>
      <c r="AB16" s="1" t="s">
        <v>55</v>
      </c>
      <c r="AC16" s="1" t="str">
        <f t="shared" si="9"/>
        <v>First Class</v>
      </c>
      <c r="AD16" s="1" t="str">
        <f t="shared" si="10"/>
        <v>OK</v>
      </c>
      <c r="AE16" s="1">
        <v>2</v>
      </c>
      <c r="AF16" s="1">
        <v>4315.2</v>
      </c>
      <c r="AG16" s="9">
        <v>0.15</v>
      </c>
      <c r="AH16" s="9">
        <f t="shared" si="11"/>
        <v>0.15</v>
      </c>
      <c r="AI16" s="1" t="str">
        <f t="shared" si="12"/>
        <v>OK</v>
      </c>
      <c r="AJ16" s="1">
        <v>7335.84</v>
      </c>
      <c r="AK16" s="1">
        <v>4968.41</v>
      </c>
      <c r="AL16" s="1">
        <v>2367.4299999999998</v>
      </c>
      <c r="AM16" s="13">
        <f t="shared" si="13"/>
        <v>7335.8399999999992</v>
      </c>
      <c r="AN16" s="9">
        <f t="shared" si="14"/>
        <v>2367.4299999999994</v>
      </c>
      <c r="AO16" s="9">
        <f t="shared" si="23"/>
        <v>0.32272105171323251</v>
      </c>
      <c r="AP16" s="1" t="s">
        <v>33</v>
      </c>
      <c r="AQ16" s="1" t="str">
        <f t="shared" si="15"/>
        <v>Paid</v>
      </c>
      <c r="AR16" s="1" t="str">
        <f t="shared" si="16"/>
        <v>OK</v>
      </c>
      <c r="AS16" s="1" t="s">
        <v>34</v>
      </c>
      <c r="AT16" s="3" t="str">
        <f t="shared" si="17"/>
        <v>Completed</v>
      </c>
      <c r="AU16" s="3" t="str">
        <f t="shared" si="18"/>
        <v>OK</v>
      </c>
      <c r="AV16" s="3" t="str">
        <f t="shared" si="24"/>
        <v>CLEAN</v>
      </c>
      <c r="AW16" t="str">
        <f t="shared" si="25"/>
        <v>MATCH</v>
      </c>
      <c r="AX16" t="str">
        <f t="shared" si="26"/>
        <v>MATCH</v>
      </c>
    </row>
    <row r="17" spans="1:50">
      <c r="A17" s="1" t="s">
        <v>204</v>
      </c>
      <c r="B17" s="1">
        <f t="shared" si="0"/>
        <v>1</v>
      </c>
      <c r="C17" s="16">
        <v>45619</v>
      </c>
      <c r="D17" s="16">
        <v>45619</v>
      </c>
      <c r="E17" s="16" t="str">
        <f t="shared" si="19"/>
        <v>Nov</v>
      </c>
      <c r="F17" s="1">
        <f t="shared" si="20"/>
        <v>2024</v>
      </c>
      <c r="G17" t="s">
        <v>144</v>
      </c>
      <c r="H17" s="17">
        <v>45482</v>
      </c>
      <c r="I17" s="21">
        <f t="shared" si="21"/>
        <v>-137</v>
      </c>
      <c r="J17" s="6" t="str">
        <f t="shared" si="22"/>
        <v>INVALID_SHIPPING</v>
      </c>
      <c r="K17" s="1" t="s">
        <v>206</v>
      </c>
      <c r="L17" s="1" t="s">
        <v>196</v>
      </c>
      <c r="M17" s="1" t="str">
        <f t="shared" si="1"/>
        <v>Diya Patel</v>
      </c>
      <c r="N17" s="1" t="s">
        <v>104</v>
      </c>
      <c r="O17" s="1" t="str">
        <f t="shared" si="2"/>
        <v>Corporate</v>
      </c>
      <c r="P17" s="1" t="s">
        <v>26</v>
      </c>
      <c r="Q17" s="1" t="str">
        <f t="shared" si="3"/>
        <v>North</v>
      </c>
      <c r="R17" s="1" t="str">
        <f t="shared" si="4"/>
        <v>OK</v>
      </c>
      <c r="S17" s="1" t="s">
        <v>163</v>
      </c>
      <c r="T17" s="1" t="str">
        <f t="shared" si="5"/>
        <v>Uttar Pradesh</v>
      </c>
      <c r="U17" s="1" t="s">
        <v>164</v>
      </c>
      <c r="V17" s="1" t="str">
        <f t="shared" si="6"/>
        <v>Noida</v>
      </c>
      <c r="W17" s="1" t="s">
        <v>83</v>
      </c>
      <c r="X17" s="1" t="str">
        <f t="shared" si="7"/>
        <v>Technology</v>
      </c>
      <c r="Y17" s="1" t="s">
        <v>207</v>
      </c>
      <c r="Z17" s="1" t="str">
        <f t="shared" si="8"/>
        <v>Phones</v>
      </c>
      <c r="AA17" s="1" t="s">
        <v>208</v>
      </c>
      <c r="AB17" s="1" t="s">
        <v>65</v>
      </c>
      <c r="AC17" s="1" t="str">
        <f t="shared" si="9"/>
        <v>Standard Class</v>
      </c>
      <c r="AD17" s="1" t="str">
        <f t="shared" si="10"/>
        <v>OK</v>
      </c>
      <c r="AE17" s="1">
        <v>4</v>
      </c>
      <c r="AF17" s="1">
        <v>716.13</v>
      </c>
      <c r="AG17" s="9">
        <v>0.1</v>
      </c>
      <c r="AH17" s="9">
        <f t="shared" si="11"/>
        <v>0.1</v>
      </c>
      <c r="AI17" s="1" t="str">
        <f t="shared" si="12"/>
        <v>OK</v>
      </c>
      <c r="AJ17" s="1">
        <v>2578.0700000000002</v>
      </c>
      <c r="AK17" s="1">
        <v>1527.55</v>
      </c>
      <c r="AL17" s="1">
        <v>1050.52</v>
      </c>
      <c r="AM17" s="13">
        <f t="shared" si="13"/>
        <v>2578.0680000000002</v>
      </c>
      <c r="AN17" s="9">
        <f t="shared" si="14"/>
        <v>1050.5180000000003</v>
      </c>
      <c r="AO17" s="9">
        <f t="shared" si="23"/>
        <v>0.40748265755596835</v>
      </c>
      <c r="AP17" s="1" t="s">
        <v>33</v>
      </c>
      <c r="AQ17" s="1" t="str">
        <f t="shared" si="15"/>
        <v>Paid</v>
      </c>
      <c r="AR17" s="1" t="str">
        <f t="shared" si="16"/>
        <v>OK</v>
      </c>
      <c r="AS17" s="1" t="s">
        <v>120</v>
      </c>
      <c r="AT17" s="3" t="str">
        <f t="shared" si="17"/>
        <v>Returned</v>
      </c>
      <c r="AU17" s="3" t="str">
        <f t="shared" si="18"/>
        <v>RETURNED_ORDER</v>
      </c>
      <c r="AV17" s="3" t="str">
        <f t="shared" si="24"/>
        <v>INVALID</v>
      </c>
      <c r="AW17" t="str">
        <f t="shared" si="25"/>
        <v>MATCH</v>
      </c>
      <c r="AX17" t="str">
        <f t="shared" si="26"/>
        <v>MATCH</v>
      </c>
    </row>
    <row r="18" spans="1:50">
      <c r="A18" s="1" t="s">
        <v>215</v>
      </c>
      <c r="B18" s="1">
        <f t="shared" si="0"/>
        <v>1</v>
      </c>
      <c r="C18" s="16">
        <v>45576</v>
      </c>
      <c r="D18" s="16">
        <v>45576</v>
      </c>
      <c r="E18" s="16" t="str">
        <f t="shared" si="19"/>
        <v>Oct</v>
      </c>
      <c r="F18" s="1">
        <f t="shared" si="20"/>
        <v>2024</v>
      </c>
      <c r="G18" t="s">
        <v>151</v>
      </c>
      <c r="H18" s="17">
        <v>45427</v>
      </c>
      <c r="I18" s="21">
        <f t="shared" si="21"/>
        <v>-149</v>
      </c>
      <c r="J18" s="6" t="str">
        <f t="shared" si="22"/>
        <v>INVALID_SHIPPING</v>
      </c>
      <c r="K18" s="1" t="s">
        <v>217</v>
      </c>
      <c r="L18" s="1" t="s">
        <v>70</v>
      </c>
      <c r="M18" s="1" t="str">
        <f t="shared" si="1"/>
        <v>Ananya Rao</v>
      </c>
      <c r="N18" s="1" t="s">
        <v>110</v>
      </c>
      <c r="O18" s="1" t="str">
        <f t="shared" si="2"/>
        <v>Home Office</v>
      </c>
      <c r="P18" s="1" t="s">
        <v>71</v>
      </c>
      <c r="Q18" s="1" t="str">
        <f t="shared" si="3"/>
        <v>West</v>
      </c>
      <c r="R18" s="1" t="str">
        <f t="shared" si="4"/>
        <v>OK</v>
      </c>
      <c r="S18" s="1" t="s">
        <v>218</v>
      </c>
      <c r="T18" s="1" t="str">
        <f t="shared" si="5"/>
        <v>Gujarat</v>
      </c>
      <c r="U18" s="1" t="s">
        <v>219</v>
      </c>
      <c r="V18" s="1" t="str">
        <f t="shared" si="6"/>
        <v>Ahmedabad</v>
      </c>
      <c r="W18" s="1" t="s">
        <v>83</v>
      </c>
      <c r="X18" s="1" t="str">
        <f t="shared" si="7"/>
        <v>Technology</v>
      </c>
      <c r="Y18" s="1" t="s">
        <v>207</v>
      </c>
      <c r="Z18" s="1" t="str">
        <f t="shared" si="8"/>
        <v>Phones</v>
      </c>
      <c r="AA18" s="1" t="s">
        <v>220</v>
      </c>
      <c r="AB18" s="1" t="s">
        <v>32</v>
      </c>
      <c r="AC18" s="1" t="str">
        <f t="shared" si="9"/>
        <v>Second Class</v>
      </c>
      <c r="AD18" s="1" t="str">
        <f t="shared" si="10"/>
        <v>OK</v>
      </c>
      <c r="AE18" s="1">
        <v>2</v>
      </c>
      <c r="AF18" s="1">
        <v>1942.22</v>
      </c>
      <c r="AG18" s="9">
        <v>0.25</v>
      </c>
      <c r="AH18" s="9">
        <f t="shared" si="11"/>
        <v>0.25</v>
      </c>
      <c r="AI18" s="1" t="str">
        <f t="shared" si="12"/>
        <v>OK</v>
      </c>
      <c r="AJ18" s="1">
        <v>2913.33</v>
      </c>
      <c r="AK18" s="1">
        <v>2122.33</v>
      </c>
      <c r="AL18" s="1">
        <v>791</v>
      </c>
      <c r="AM18" s="13">
        <f t="shared" si="13"/>
        <v>2913.33</v>
      </c>
      <c r="AN18" s="9">
        <f t="shared" si="14"/>
        <v>791</v>
      </c>
      <c r="AO18" s="9">
        <f t="shared" si="23"/>
        <v>0.27151060813570727</v>
      </c>
      <c r="AP18" s="1" t="s">
        <v>119</v>
      </c>
      <c r="AQ18" s="1" t="str">
        <f t="shared" si="15"/>
        <v>Refunded</v>
      </c>
      <c r="AR18" s="1" t="str">
        <f t="shared" si="16"/>
        <v>REFUNDED_PAYMENT</v>
      </c>
      <c r="AS18" s="1" t="s">
        <v>76</v>
      </c>
      <c r="AT18" s="3" t="str">
        <f t="shared" si="17"/>
        <v>Cancelled</v>
      </c>
      <c r="AU18" s="3" t="str">
        <f t="shared" si="18"/>
        <v>EXCLUDE_FROM_SALES</v>
      </c>
      <c r="AV18" s="3" t="str">
        <f t="shared" si="24"/>
        <v>INVALID</v>
      </c>
      <c r="AW18" t="str">
        <f t="shared" si="25"/>
        <v>MATCH</v>
      </c>
      <c r="AX18" t="str">
        <f t="shared" si="26"/>
        <v>MATCH</v>
      </c>
    </row>
    <row r="19" spans="1:50">
      <c r="A19" s="1" t="s">
        <v>227</v>
      </c>
      <c r="B19" s="1">
        <f t="shared" si="0"/>
        <v>1</v>
      </c>
      <c r="C19" s="16">
        <v>45537</v>
      </c>
      <c r="D19" s="16">
        <v>45537</v>
      </c>
      <c r="E19" s="16" t="str">
        <f t="shared" si="19"/>
        <v>Sep</v>
      </c>
      <c r="F19" s="1">
        <f t="shared" si="20"/>
        <v>2024</v>
      </c>
      <c r="G19" t="s">
        <v>156</v>
      </c>
      <c r="H19" s="17">
        <v>45299</v>
      </c>
      <c r="I19" s="21">
        <f t="shared" si="21"/>
        <v>-238</v>
      </c>
      <c r="J19" s="6" t="str">
        <f t="shared" si="22"/>
        <v>INVALID_SHIPPING</v>
      </c>
      <c r="K19" s="1" t="s">
        <v>229</v>
      </c>
      <c r="L19" s="1" t="s">
        <v>70</v>
      </c>
      <c r="M19" s="1" t="str">
        <f t="shared" si="1"/>
        <v>Ananya Rao</v>
      </c>
      <c r="N19" s="1" t="s">
        <v>104</v>
      </c>
      <c r="O19" s="1" t="str">
        <f t="shared" si="2"/>
        <v>Corporate</v>
      </c>
      <c r="P19" s="1" t="s">
        <v>71</v>
      </c>
      <c r="Q19" s="1" t="str">
        <f t="shared" si="3"/>
        <v>West</v>
      </c>
      <c r="R19" s="1" t="str">
        <f t="shared" si="4"/>
        <v>OK</v>
      </c>
      <c r="S19" s="1" t="s">
        <v>230</v>
      </c>
      <c r="T19" s="1" t="str">
        <f t="shared" si="5"/>
        <v>Goa</v>
      </c>
      <c r="U19" s="1" t="s">
        <v>231</v>
      </c>
      <c r="V19" s="1" t="str">
        <f t="shared" si="6"/>
        <v>Panaji</v>
      </c>
      <c r="W19" s="1" t="s">
        <v>29</v>
      </c>
      <c r="X19" s="1" t="str">
        <f t="shared" si="7"/>
        <v>Office Supplies</v>
      </c>
      <c r="Y19" s="1" t="s">
        <v>105</v>
      </c>
      <c r="Z19" s="1" t="str">
        <f t="shared" si="8"/>
        <v>Labels</v>
      </c>
      <c r="AA19" s="1" t="s">
        <v>232</v>
      </c>
      <c r="AB19" s="1" t="s">
        <v>55</v>
      </c>
      <c r="AC19" s="1" t="str">
        <f t="shared" si="9"/>
        <v>First Class</v>
      </c>
      <c r="AD19" s="1" t="str">
        <f t="shared" si="10"/>
        <v>OK</v>
      </c>
      <c r="AE19" s="1">
        <v>1</v>
      </c>
      <c r="AF19" s="1">
        <v>3421.77</v>
      </c>
      <c r="AG19" s="9">
        <v>0.1</v>
      </c>
      <c r="AH19" s="9">
        <f t="shared" si="11"/>
        <v>0.1</v>
      </c>
      <c r="AI19" s="1" t="str">
        <f t="shared" si="12"/>
        <v>OK</v>
      </c>
      <c r="AJ19" s="1">
        <v>3079.59</v>
      </c>
      <c r="AK19" s="1">
        <v>2001.89</v>
      </c>
      <c r="AL19" s="1">
        <v>1077.7</v>
      </c>
      <c r="AM19" s="13">
        <f t="shared" si="13"/>
        <v>3079.5929999999998</v>
      </c>
      <c r="AN19" s="9">
        <f t="shared" si="14"/>
        <v>1077.7029999999997</v>
      </c>
      <c r="AO19" s="9">
        <f t="shared" si="23"/>
        <v>0.34994981479695525</v>
      </c>
      <c r="AP19" s="1" t="s">
        <v>33</v>
      </c>
      <c r="AQ19" s="1" t="str">
        <f t="shared" si="15"/>
        <v>Paid</v>
      </c>
      <c r="AR19" s="1" t="str">
        <f t="shared" si="16"/>
        <v>OK</v>
      </c>
      <c r="AS19" s="1" t="s">
        <v>34</v>
      </c>
      <c r="AT19" s="3" t="str">
        <f t="shared" si="17"/>
        <v>Completed</v>
      </c>
      <c r="AU19" s="3" t="str">
        <f t="shared" si="18"/>
        <v>OK</v>
      </c>
      <c r="AV19" s="3" t="str">
        <f t="shared" si="24"/>
        <v>INVALID</v>
      </c>
      <c r="AW19" t="str">
        <f t="shared" si="25"/>
        <v>MATCH</v>
      </c>
      <c r="AX19" t="str">
        <f t="shared" si="26"/>
        <v>MATCH</v>
      </c>
    </row>
    <row r="20" spans="1:50">
      <c r="A20" s="1" t="s">
        <v>237</v>
      </c>
      <c r="B20" s="1">
        <f t="shared" si="0"/>
        <v>1</v>
      </c>
      <c r="C20" s="16">
        <v>45618</v>
      </c>
      <c r="D20" s="16">
        <v>45618</v>
      </c>
      <c r="E20" s="16" t="str">
        <f t="shared" si="19"/>
        <v>Nov</v>
      </c>
      <c r="F20" s="1">
        <f t="shared" si="20"/>
        <v>2024</v>
      </c>
      <c r="G20" t="s">
        <v>161</v>
      </c>
      <c r="H20" s="17">
        <v>45855</v>
      </c>
      <c r="I20" s="21">
        <f t="shared" si="21"/>
        <v>237</v>
      </c>
      <c r="J20" s="6" t="str">
        <f t="shared" si="22"/>
        <v>OK</v>
      </c>
      <c r="K20" s="1" t="s">
        <v>239</v>
      </c>
      <c r="L20" s="1" t="s">
        <v>153</v>
      </c>
      <c r="M20" s="1" t="str">
        <f t="shared" si="1"/>
        <v>Aarav Sharma</v>
      </c>
      <c r="N20" s="1" t="s">
        <v>104</v>
      </c>
      <c r="O20" s="1" t="str">
        <f t="shared" si="2"/>
        <v>Corporate</v>
      </c>
      <c r="P20" s="1" t="s">
        <v>60</v>
      </c>
      <c r="Q20" s="1" t="str">
        <f t="shared" si="3"/>
        <v>South</v>
      </c>
      <c r="R20" s="1" t="str">
        <f t="shared" si="4"/>
        <v>OK</v>
      </c>
      <c r="S20" s="1" t="s">
        <v>97</v>
      </c>
      <c r="T20" s="1" t="str">
        <f t="shared" si="5"/>
        <v>Andhra Pradesh</v>
      </c>
      <c r="U20" s="1" t="s">
        <v>98</v>
      </c>
      <c r="V20" s="1" t="str">
        <f t="shared" si="6"/>
        <v>Vijayawada</v>
      </c>
      <c r="W20" s="1" t="s">
        <v>83</v>
      </c>
      <c r="X20" s="1" t="str">
        <f t="shared" si="7"/>
        <v>Technology</v>
      </c>
      <c r="Y20" s="1" t="s">
        <v>207</v>
      </c>
      <c r="Z20" s="1" t="str">
        <f t="shared" si="8"/>
        <v>Phones</v>
      </c>
      <c r="AA20" s="1" t="s">
        <v>240</v>
      </c>
      <c r="AB20" s="1" t="s">
        <v>32</v>
      </c>
      <c r="AC20" s="1" t="str">
        <f t="shared" si="9"/>
        <v>Second Class</v>
      </c>
      <c r="AD20" s="1" t="str">
        <f t="shared" si="10"/>
        <v>OK</v>
      </c>
      <c r="AE20" s="1">
        <v>3</v>
      </c>
      <c r="AF20" s="1">
        <v>4001.25</v>
      </c>
      <c r="AG20" s="9"/>
      <c r="AH20" s="9">
        <f t="shared" si="11"/>
        <v>0</v>
      </c>
      <c r="AI20" s="1" t="str">
        <f t="shared" si="12"/>
        <v>Missing Discount</v>
      </c>
      <c r="AJ20" s="1">
        <v>9002.81</v>
      </c>
      <c r="AK20" s="1">
        <v>7529.92</v>
      </c>
      <c r="AL20" s="1">
        <v>1472.89</v>
      </c>
      <c r="AM20" s="13">
        <f t="shared" si="13"/>
        <v>12003.75</v>
      </c>
      <c r="AN20" s="9">
        <f t="shared" si="14"/>
        <v>4473.83</v>
      </c>
      <c r="AO20" s="9">
        <f t="shared" si="23"/>
        <v>0.37270269707383108</v>
      </c>
      <c r="AP20" s="1" t="s">
        <v>33</v>
      </c>
      <c r="AQ20" s="1" t="str">
        <f t="shared" si="15"/>
        <v>Paid</v>
      </c>
      <c r="AR20" s="1" t="str">
        <f t="shared" si="16"/>
        <v>OK</v>
      </c>
      <c r="AS20" s="1" t="s">
        <v>34</v>
      </c>
      <c r="AT20" s="3" t="str">
        <f t="shared" si="17"/>
        <v>Completed</v>
      </c>
      <c r="AU20" s="3" t="str">
        <f t="shared" si="18"/>
        <v>OK</v>
      </c>
      <c r="AV20" s="3" t="str">
        <f t="shared" si="24"/>
        <v>INVALID</v>
      </c>
      <c r="AW20" t="str">
        <f t="shared" si="25"/>
        <v>MISMATCH</v>
      </c>
      <c r="AX20" t="str">
        <f t="shared" si="26"/>
        <v>MISMATCH</v>
      </c>
    </row>
    <row r="21" spans="1:50" hidden="1">
      <c r="A21" s="1" t="s">
        <v>241</v>
      </c>
      <c r="B21" s="1">
        <f t="shared" si="0"/>
        <v>1</v>
      </c>
      <c r="C21" s="16">
        <v>45495</v>
      </c>
      <c r="D21" s="16">
        <v>45495</v>
      </c>
      <c r="E21" s="16" t="str">
        <f t="shared" si="19"/>
        <v>Jul</v>
      </c>
      <c r="F21" s="1">
        <f t="shared" si="20"/>
        <v>2024</v>
      </c>
      <c r="G21" t="s">
        <v>167</v>
      </c>
      <c r="H21" s="17">
        <v>45504</v>
      </c>
      <c r="I21" s="21">
        <f t="shared" si="21"/>
        <v>9</v>
      </c>
      <c r="J21" s="6" t="str">
        <f t="shared" si="22"/>
        <v>OK</v>
      </c>
      <c r="K21" s="1" t="s">
        <v>244</v>
      </c>
      <c r="L21" s="1" t="s">
        <v>136</v>
      </c>
      <c r="M21" s="1" t="str">
        <f t="shared" si="1"/>
        <v>Priya Menon</v>
      </c>
      <c r="N21" s="1" t="s">
        <v>110</v>
      </c>
      <c r="O21" s="1" t="str">
        <f t="shared" si="2"/>
        <v>Home Office</v>
      </c>
      <c r="P21" s="1" t="s">
        <v>71</v>
      </c>
      <c r="Q21" s="1" t="str">
        <f t="shared" si="3"/>
        <v>West</v>
      </c>
      <c r="R21" s="1" t="str">
        <f t="shared" si="4"/>
        <v>OK</v>
      </c>
      <c r="S21" s="1" t="s">
        <v>230</v>
      </c>
      <c r="T21" s="1" t="str">
        <f t="shared" si="5"/>
        <v>Goa</v>
      </c>
      <c r="U21" s="1" t="s">
        <v>231</v>
      </c>
      <c r="V21" s="1" t="str">
        <f t="shared" si="6"/>
        <v>Panaji</v>
      </c>
      <c r="W21" s="1" t="s">
        <v>44</v>
      </c>
      <c r="X21" s="1" t="str">
        <f t="shared" si="7"/>
        <v>Furniture</v>
      </c>
      <c r="Y21" s="1" t="s">
        <v>45</v>
      </c>
      <c r="Z21" s="1" t="str">
        <f t="shared" si="8"/>
        <v>Tables</v>
      </c>
      <c r="AA21" s="1" t="s">
        <v>245</v>
      </c>
      <c r="AB21" s="1" t="s">
        <v>47</v>
      </c>
      <c r="AC21" s="1" t="str">
        <f t="shared" si="9"/>
        <v>Same Day</v>
      </c>
      <c r="AD21" s="1" t="str">
        <f t="shared" si="10"/>
        <v>OK</v>
      </c>
      <c r="AE21" s="1">
        <v>7</v>
      </c>
      <c r="AF21" s="1">
        <v>492.41</v>
      </c>
      <c r="AG21" s="9">
        <v>0.25</v>
      </c>
      <c r="AH21" s="9">
        <f t="shared" si="11"/>
        <v>0.25</v>
      </c>
      <c r="AI21" s="1" t="str">
        <f t="shared" si="12"/>
        <v>OK</v>
      </c>
      <c r="AJ21" s="1">
        <v>2585.15</v>
      </c>
      <c r="AK21" s="1">
        <v>2070.73</v>
      </c>
      <c r="AL21" s="1">
        <v>514.41999999999996</v>
      </c>
      <c r="AM21" s="13">
        <f t="shared" si="13"/>
        <v>2585.1525000000001</v>
      </c>
      <c r="AN21" s="9">
        <f t="shared" si="14"/>
        <v>514.42250000000013</v>
      </c>
      <c r="AO21" s="9">
        <f t="shared" si="23"/>
        <v>0.19899116203009304</v>
      </c>
      <c r="AP21" s="1" t="s">
        <v>33</v>
      </c>
      <c r="AQ21" s="1" t="str">
        <f t="shared" si="15"/>
        <v>Paid</v>
      </c>
      <c r="AR21" s="1" t="str">
        <f t="shared" si="16"/>
        <v>OK</v>
      </c>
      <c r="AS21" s="1" t="s">
        <v>34</v>
      </c>
      <c r="AT21" s="3" t="str">
        <f t="shared" si="17"/>
        <v>Completed</v>
      </c>
      <c r="AU21" s="3" t="str">
        <f t="shared" si="18"/>
        <v>OK</v>
      </c>
      <c r="AV21" s="3" t="str">
        <f t="shared" si="24"/>
        <v>CLEAN</v>
      </c>
      <c r="AW21" t="str">
        <f t="shared" si="25"/>
        <v>MATCH</v>
      </c>
      <c r="AX21" t="str">
        <f t="shared" si="26"/>
        <v>MATCH</v>
      </c>
    </row>
    <row r="22" spans="1:50" hidden="1">
      <c r="A22" s="1" t="s">
        <v>250</v>
      </c>
      <c r="B22" s="1">
        <f t="shared" si="0"/>
        <v>1</v>
      </c>
      <c r="C22" s="16">
        <v>45441</v>
      </c>
      <c r="D22" s="16">
        <v>45441</v>
      </c>
      <c r="E22" s="16" t="str">
        <f t="shared" si="19"/>
        <v>May</v>
      </c>
      <c r="F22" s="1">
        <f t="shared" si="20"/>
        <v>2024</v>
      </c>
      <c r="G22" t="s">
        <v>172</v>
      </c>
      <c r="H22" s="17">
        <v>45680</v>
      </c>
      <c r="I22" s="21">
        <f t="shared" si="21"/>
        <v>239</v>
      </c>
      <c r="J22" s="6" t="str">
        <f t="shared" si="22"/>
        <v>OK</v>
      </c>
      <c r="K22" s="1" t="s">
        <v>253</v>
      </c>
      <c r="L22" s="1" t="s">
        <v>158</v>
      </c>
      <c r="M22" s="1" t="str">
        <f t="shared" si="1"/>
        <v>Sneha Kapoor</v>
      </c>
      <c r="N22" s="1" t="s">
        <v>40</v>
      </c>
      <c r="O22" s="1" t="str">
        <f t="shared" si="2"/>
        <v>Small Business</v>
      </c>
      <c r="P22" s="1" t="s">
        <v>71</v>
      </c>
      <c r="Q22" s="1" t="str">
        <f t="shared" si="3"/>
        <v>West</v>
      </c>
      <c r="R22" s="1" t="str">
        <f t="shared" si="4"/>
        <v>OK</v>
      </c>
      <c r="S22" s="1" t="s">
        <v>218</v>
      </c>
      <c r="T22" s="1" t="str">
        <f t="shared" si="5"/>
        <v>Gujarat</v>
      </c>
      <c r="U22" s="1" t="s">
        <v>219</v>
      </c>
      <c r="V22" s="1" t="str">
        <f t="shared" si="6"/>
        <v>Ahmedabad</v>
      </c>
      <c r="W22" s="1" t="s">
        <v>44</v>
      </c>
      <c r="X22" s="1" t="str">
        <f t="shared" si="7"/>
        <v>Furniture</v>
      </c>
      <c r="Y22" s="1" t="s">
        <v>190</v>
      </c>
      <c r="Z22" s="1" t="str">
        <f t="shared" si="8"/>
        <v>Bookcases</v>
      </c>
      <c r="AA22" s="1" t="s">
        <v>254</v>
      </c>
      <c r="AB22" s="1" t="s">
        <v>32</v>
      </c>
      <c r="AC22" s="1" t="str">
        <f t="shared" si="9"/>
        <v>Second Class</v>
      </c>
      <c r="AD22" s="1" t="str">
        <f t="shared" si="10"/>
        <v>OK</v>
      </c>
      <c r="AE22" s="1">
        <v>8</v>
      </c>
      <c r="AF22" s="1">
        <v>2507.12</v>
      </c>
      <c r="AG22" s="9">
        <v>0.05</v>
      </c>
      <c r="AH22" s="9">
        <f t="shared" si="11"/>
        <v>0.05</v>
      </c>
      <c r="AI22" s="1" t="str">
        <f t="shared" si="12"/>
        <v>OK</v>
      </c>
      <c r="AJ22" s="1">
        <v>19054.11</v>
      </c>
      <c r="AK22" s="1">
        <v>15313.83</v>
      </c>
      <c r="AL22" s="1">
        <v>3740.28</v>
      </c>
      <c r="AM22" s="13">
        <f t="shared" si="13"/>
        <v>19054.111999999997</v>
      </c>
      <c r="AN22" s="9">
        <f t="shared" si="14"/>
        <v>3740.2819999999974</v>
      </c>
      <c r="AO22" s="9">
        <f t="shared" si="23"/>
        <v>0.19629789097492437</v>
      </c>
      <c r="AP22" s="1" t="s">
        <v>131</v>
      </c>
      <c r="AQ22" s="1" t="str">
        <f t="shared" si="15"/>
        <v>Pending</v>
      </c>
      <c r="AR22" s="1" t="str">
        <f t="shared" si="16"/>
        <v>OK</v>
      </c>
      <c r="AS22" s="1" t="s">
        <v>120</v>
      </c>
      <c r="AT22" s="3" t="str">
        <f t="shared" si="17"/>
        <v>Returned</v>
      </c>
      <c r="AU22" s="3" t="str">
        <f t="shared" si="18"/>
        <v>RETURNED_ORDER</v>
      </c>
      <c r="AV22" s="3" t="str">
        <f t="shared" si="24"/>
        <v>CLEAN</v>
      </c>
      <c r="AW22" t="str">
        <f t="shared" si="25"/>
        <v>MATCH</v>
      </c>
      <c r="AX22" t="str">
        <f t="shared" si="26"/>
        <v>MATCH</v>
      </c>
    </row>
    <row r="23" spans="1:50" hidden="1">
      <c r="A23" s="1" t="s">
        <v>255</v>
      </c>
      <c r="B23" s="1">
        <f t="shared" si="0"/>
        <v>1</v>
      </c>
      <c r="C23" s="16">
        <v>45590</v>
      </c>
      <c r="D23" s="16">
        <v>45590</v>
      </c>
      <c r="E23" s="16" t="str">
        <f t="shared" si="19"/>
        <v>Oct</v>
      </c>
      <c r="F23" s="1">
        <f t="shared" si="20"/>
        <v>2024</v>
      </c>
      <c r="G23" t="s">
        <v>178</v>
      </c>
      <c r="H23" s="17">
        <v>45687</v>
      </c>
      <c r="I23" s="21">
        <f t="shared" si="21"/>
        <v>97</v>
      </c>
      <c r="J23" s="6" t="str">
        <f t="shared" si="22"/>
        <v>OK</v>
      </c>
      <c r="K23" s="1" t="s">
        <v>257</v>
      </c>
      <c r="L23" s="1" t="s">
        <v>169</v>
      </c>
      <c r="M23" s="1" t="str">
        <f t="shared" si="1"/>
        <v>Rohan Mehta</v>
      </c>
      <c r="N23" s="1" t="s">
        <v>104</v>
      </c>
      <c r="O23" s="1" t="str">
        <f t="shared" si="2"/>
        <v>Corporate</v>
      </c>
      <c r="P23" s="1" t="s">
        <v>71</v>
      </c>
      <c r="Q23" s="1" t="str">
        <f t="shared" si="3"/>
        <v>West</v>
      </c>
      <c r="R23" s="1" t="str">
        <f t="shared" si="4"/>
        <v>OK</v>
      </c>
      <c r="S23" s="1" t="s">
        <v>72</v>
      </c>
      <c r="T23" s="1" t="str">
        <f t="shared" si="5"/>
        <v>Maharashtra</v>
      </c>
      <c r="U23" s="1" t="s">
        <v>73</v>
      </c>
      <c r="V23" s="1" t="str">
        <f t="shared" si="6"/>
        <v>Mumbai</v>
      </c>
      <c r="W23" s="1" t="s">
        <v>44</v>
      </c>
      <c r="X23" s="1" t="str">
        <f t="shared" si="7"/>
        <v>Furniture</v>
      </c>
      <c r="Y23" s="1" t="s">
        <v>190</v>
      </c>
      <c r="Z23" s="1" t="str">
        <f t="shared" si="8"/>
        <v>Bookcases</v>
      </c>
      <c r="AA23" s="1" t="s">
        <v>258</v>
      </c>
      <c r="AB23" s="1" t="s">
        <v>32</v>
      </c>
      <c r="AC23" s="1" t="str">
        <f t="shared" si="9"/>
        <v>Second Class</v>
      </c>
      <c r="AD23" s="1" t="str">
        <f t="shared" si="10"/>
        <v>OK</v>
      </c>
      <c r="AE23" s="1">
        <v>3</v>
      </c>
      <c r="AF23" s="1">
        <v>3126.47</v>
      </c>
      <c r="AG23" s="9">
        <v>0</v>
      </c>
      <c r="AH23" s="9">
        <f t="shared" si="11"/>
        <v>0</v>
      </c>
      <c r="AI23" s="1" t="str">
        <f t="shared" si="12"/>
        <v>OK</v>
      </c>
      <c r="AJ23" s="1">
        <v>9379.41</v>
      </c>
      <c r="AK23" s="1">
        <v>6670.85</v>
      </c>
      <c r="AL23" s="1">
        <v>2708.56</v>
      </c>
      <c r="AM23" s="13">
        <f t="shared" si="13"/>
        <v>9379.41</v>
      </c>
      <c r="AN23" s="9">
        <f t="shared" si="14"/>
        <v>2708.5599999999995</v>
      </c>
      <c r="AO23" s="9">
        <f t="shared" si="23"/>
        <v>0.28877722585962223</v>
      </c>
      <c r="AP23" s="1" t="s">
        <v>33</v>
      </c>
      <c r="AQ23" s="1" t="str">
        <f t="shared" si="15"/>
        <v>Paid</v>
      </c>
      <c r="AR23" s="1" t="str">
        <f t="shared" si="16"/>
        <v>OK</v>
      </c>
      <c r="AS23" s="1" t="s">
        <v>120</v>
      </c>
      <c r="AT23" s="3" t="str">
        <f t="shared" si="17"/>
        <v>Returned</v>
      </c>
      <c r="AU23" s="3" t="str">
        <f t="shared" si="18"/>
        <v>RETURNED_ORDER</v>
      </c>
      <c r="AV23" s="3" t="str">
        <f t="shared" si="24"/>
        <v>CLEAN</v>
      </c>
      <c r="AW23" t="str">
        <f t="shared" si="25"/>
        <v>MATCH</v>
      </c>
      <c r="AX23" t="str">
        <f t="shared" si="26"/>
        <v>MATCH</v>
      </c>
    </row>
    <row r="24" spans="1:50" hidden="1">
      <c r="A24" s="1" t="s">
        <v>264</v>
      </c>
      <c r="B24" s="1">
        <f t="shared" si="0"/>
        <v>1</v>
      </c>
      <c r="C24" s="16">
        <v>45460</v>
      </c>
      <c r="D24" s="16">
        <v>45460</v>
      </c>
      <c r="E24" s="16" t="str">
        <f t="shared" si="19"/>
        <v>Jun</v>
      </c>
      <c r="F24" s="1">
        <f t="shared" si="20"/>
        <v>2024</v>
      </c>
      <c r="G24" t="s">
        <v>182</v>
      </c>
      <c r="H24" s="17">
        <v>45678</v>
      </c>
      <c r="I24" s="21">
        <f t="shared" si="21"/>
        <v>218</v>
      </c>
      <c r="J24" s="6" t="str">
        <f t="shared" si="22"/>
        <v>OK</v>
      </c>
      <c r="K24" s="1" t="s">
        <v>266</v>
      </c>
      <c r="L24" s="1" t="s">
        <v>153</v>
      </c>
      <c r="M24" s="1" t="str">
        <f t="shared" si="1"/>
        <v>Aarav Sharma</v>
      </c>
      <c r="N24" s="1" t="s">
        <v>104</v>
      </c>
      <c r="O24" s="1" t="str">
        <f t="shared" si="2"/>
        <v>Corporate</v>
      </c>
      <c r="P24" s="1" t="s">
        <v>71</v>
      </c>
      <c r="Q24" s="1" t="str">
        <f t="shared" si="3"/>
        <v>West</v>
      </c>
      <c r="R24" s="1" t="str">
        <f t="shared" si="4"/>
        <v>OK</v>
      </c>
      <c r="S24" s="1" t="s">
        <v>218</v>
      </c>
      <c r="T24" s="1" t="str">
        <f t="shared" si="5"/>
        <v>Gujarat</v>
      </c>
      <c r="U24" s="1" t="s">
        <v>219</v>
      </c>
      <c r="V24" s="1" t="str">
        <f t="shared" si="6"/>
        <v>Ahmedabad</v>
      </c>
      <c r="W24" s="1" t="s">
        <v>83</v>
      </c>
      <c r="X24" s="1" t="str">
        <f t="shared" si="7"/>
        <v>Technology</v>
      </c>
      <c r="Y24" s="1" t="s">
        <v>207</v>
      </c>
      <c r="Z24" s="1" t="str">
        <f t="shared" si="8"/>
        <v>Phones</v>
      </c>
      <c r="AA24" s="1" t="s">
        <v>267</v>
      </c>
      <c r="AB24" s="1" t="s">
        <v>55</v>
      </c>
      <c r="AC24" s="1" t="str">
        <f t="shared" si="9"/>
        <v>First Class</v>
      </c>
      <c r="AD24" s="1" t="str">
        <f t="shared" si="10"/>
        <v>OK</v>
      </c>
      <c r="AE24" s="1">
        <v>7</v>
      </c>
      <c r="AF24" s="1">
        <v>2210.6799999999998</v>
      </c>
      <c r="AG24" s="9">
        <v>0.1</v>
      </c>
      <c r="AH24" s="9">
        <f t="shared" si="11"/>
        <v>0.1</v>
      </c>
      <c r="AI24" s="1" t="str">
        <f t="shared" si="12"/>
        <v>OK</v>
      </c>
      <c r="AJ24" s="1">
        <v>13927.28</v>
      </c>
      <c r="AK24" s="1">
        <v>10504.87</v>
      </c>
      <c r="AL24" s="1">
        <v>3422.41</v>
      </c>
      <c r="AM24" s="13">
        <f t="shared" si="13"/>
        <v>13927.284</v>
      </c>
      <c r="AN24" s="9">
        <f t="shared" si="14"/>
        <v>3422.4139999999989</v>
      </c>
      <c r="AO24" s="9">
        <f t="shared" si="23"/>
        <v>0.24573448778670692</v>
      </c>
      <c r="AP24" s="1" t="s">
        <v>33</v>
      </c>
      <c r="AQ24" s="1" t="str">
        <f t="shared" si="15"/>
        <v>Paid</v>
      </c>
      <c r="AR24" s="1" t="str">
        <f t="shared" si="16"/>
        <v>OK</v>
      </c>
      <c r="AS24" s="1" t="s">
        <v>34</v>
      </c>
      <c r="AT24" s="3" t="str">
        <f t="shared" si="17"/>
        <v>Completed</v>
      </c>
      <c r="AU24" s="3" t="str">
        <f t="shared" si="18"/>
        <v>OK</v>
      </c>
      <c r="AV24" s="3" t="str">
        <f t="shared" si="24"/>
        <v>CLEAN</v>
      </c>
      <c r="AW24" t="str">
        <f t="shared" si="25"/>
        <v>MATCH</v>
      </c>
      <c r="AX24" t="str">
        <f t="shared" si="26"/>
        <v>MATCH</v>
      </c>
    </row>
    <row r="25" spans="1:50" hidden="1">
      <c r="A25" s="1" t="s">
        <v>268</v>
      </c>
      <c r="B25" s="1">
        <f t="shared" si="0"/>
        <v>1</v>
      </c>
      <c r="C25" s="16">
        <v>45608</v>
      </c>
      <c r="D25" s="16">
        <v>45608</v>
      </c>
      <c r="E25" s="16" t="str">
        <f t="shared" si="19"/>
        <v>Nov</v>
      </c>
      <c r="F25" s="1">
        <f t="shared" si="20"/>
        <v>2024</v>
      </c>
      <c r="G25" t="s">
        <v>188</v>
      </c>
      <c r="H25" s="17">
        <v>45900</v>
      </c>
      <c r="I25" s="21">
        <f t="shared" si="21"/>
        <v>292</v>
      </c>
      <c r="J25" s="6" t="str">
        <f t="shared" si="22"/>
        <v>OK</v>
      </c>
      <c r="K25" s="1" t="s">
        <v>270</v>
      </c>
      <c r="L25" s="1" t="s">
        <v>39</v>
      </c>
      <c r="M25" s="1" t="str">
        <f t="shared" si="1"/>
        <v>Mira Das</v>
      </c>
      <c r="N25" s="1" t="s">
        <v>40</v>
      </c>
      <c r="O25" s="1" t="str">
        <f t="shared" si="2"/>
        <v>Small Business</v>
      </c>
      <c r="P25" s="1" t="s">
        <v>71</v>
      </c>
      <c r="Q25" s="1" t="str">
        <f t="shared" si="3"/>
        <v>West</v>
      </c>
      <c r="R25" s="1" t="str">
        <f t="shared" si="4"/>
        <v>OK</v>
      </c>
      <c r="S25" s="1" t="s">
        <v>81</v>
      </c>
      <c r="T25" s="1" t="str">
        <f t="shared" si="5"/>
        <v>Madhya Pradesh</v>
      </c>
      <c r="U25" s="1" t="s">
        <v>82</v>
      </c>
      <c r="V25" s="1" t="str">
        <f t="shared" si="6"/>
        <v>Indore</v>
      </c>
      <c r="W25" s="1" t="s">
        <v>83</v>
      </c>
      <c r="X25" s="1" t="str">
        <f t="shared" si="7"/>
        <v>Technology</v>
      </c>
      <c r="Y25" s="1" t="s">
        <v>91</v>
      </c>
      <c r="Z25" s="1" t="str">
        <f t="shared" si="8"/>
        <v>Copiers</v>
      </c>
      <c r="AA25" s="1" t="s">
        <v>271</v>
      </c>
      <c r="AB25" s="1" t="s">
        <v>55</v>
      </c>
      <c r="AC25" s="1" t="str">
        <f t="shared" si="9"/>
        <v>First Class</v>
      </c>
      <c r="AD25" s="1" t="str">
        <f t="shared" si="10"/>
        <v>OK</v>
      </c>
      <c r="AE25" s="1">
        <v>4</v>
      </c>
      <c r="AF25" s="1">
        <v>1370.92</v>
      </c>
      <c r="AG25" s="9">
        <v>0.1</v>
      </c>
      <c r="AH25" s="9">
        <f t="shared" si="11"/>
        <v>0.1</v>
      </c>
      <c r="AI25" s="1" t="str">
        <f t="shared" si="12"/>
        <v>OK</v>
      </c>
      <c r="AJ25" s="1">
        <v>4935.3100000000004</v>
      </c>
      <c r="AK25" s="1">
        <v>3374.77</v>
      </c>
      <c r="AL25" s="1">
        <v>1560.54</v>
      </c>
      <c r="AM25" s="13">
        <f t="shared" si="13"/>
        <v>4935.3120000000008</v>
      </c>
      <c r="AN25" s="9">
        <f t="shared" si="14"/>
        <v>1560.5420000000008</v>
      </c>
      <c r="AO25" s="9">
        <f t="shared" si="23"/>
        <v>0.31619925954022776</v>
      </c>
      <c r="AP25" s="1" t="s">
        <v>131</v>
      </c>
      <c r="AQ25" s="1" t="str">
        <f t="shared" si="15"/>
        <v>Pending</v>
      </c>
      <c r="AR25" s="1" t="str">
        <f t="shared" si="16"/>
        <v>OK</v>
      </c>
      <c r="AS25" s="1" t="s">
        <v>120</v>
      </c>
      <c r="AT25" s="3" t="str">
        <f t="shared" si="17"/>
        <v>Returned</v>
      </c>
      <c r="AU25" s="3" t="str">
        <f t="shared" si="18"/>
        <v>RETURNED_ORDER</v>
      </c>
      <c r="AV25" s="3" t="str">
        <f t="shared" si="24"/>
        <v>CLEAN</v>
      </c>
      <c r="AW25" t="str">
        <f t="shared" si="25"/>
        <v>MATCH</v>
      </c>
      <c r="AX25" t="str">
        <f t="shared" si="26"/>
        <v>MATCH</v>
      </c>
    </row>
    <row r="26" spans="1:50">
      <c r="A26" s="1" t="s">
        <v>272</v>
      </c>
      <c r="B26" s="1">
        <f t="shared" si="0"/>
        <v>1</v>
      </c>
      <c r="C26" s="16">
        <v>45575</v>
      </c>
      <c r="D26" s="16">
        <v>45575</v>
      </c>
      <c r="E26" s="16" t="str">
        <f t="shared" si="19"/>
        <v>Oct</v>
      </c>
      <c r="F26" s="1">
        <f t="shared" si="20"/>
        <v>2024</v>
      </c>
      <c r="G26" t="s">
        <v>194</v>
      </c>
      <c r="H26" s="17">
        <v>45352</v>
      </c>
      <c r="I26" s="21">
        <f t="shared" si="21"/>
        <v>-223</v>
      </c>
      <c r="J26" s="6" t="str">
        <f t="shared" si="22"/>
        <v>INVALID_SHIPPING</v>
      </c>
      <c r="K26" s="1" t="s">
        <v>274</v>
      </c>
      <c r="L26" s="1" t="s">
        <v>52</v>
      </c>
      <c r="M26" s="1" t="str">
        <f t="shared" si="1"/>
        <v>Isha Nair</v>
      </c>
      <c r="N26" s="1" t="s">
        <v>110</v>
      </c>
      <c r="O26" s="1" t="str">
        <f t="shared" si="2"/>
        <v>Home Office</v>
      </c>
      <c r="P26" s="1" t="s">
        <v>71</v>
      </c>
      <c r="Q26" s="1" t="str">
        <f t="shared" si="3"/>
        <v>West</v>
      </c>
      <c r="R26" s="1" t="str">
        <f t="shared" si="4"/>
        <v>OK</v>
      </c>
      <c r="S26" s="1" t="s">
        <v>27</v>
      </c>
      <c r="T26" s="1" t="str">
        <f t="shared" si="5"/>
        <v>Rajasthan</v>
      </c>
      <c r="U26" s="1" t="s">
        <v>129</v>
      </c>
      <c r="V26" s="1" t="str">
        <f t="shared" si="6"/>
        <v>Udaipur</v>
      </c>
      <c r="W26" s="1" t="s">
        <v>83</v>
      </c>
      <c r="X26" s="1" t="str">
        <f t="shared" si="7"/>
        <v>Technology</v>
      </c>
      <c r="Y26" s="1" t="s">
        <v>91</v>
      </c>
      <c r="Z26" s="1" t="str">
        <f t="shared" si="8"/>
        <v>Copiers</v>
      </c>
      <c r="AA26" s="1" t="s">
        <v>275</v>
      </c>
      <c r="AB26" s="1" t="s">
        <v>65</v>
      </c>
      <c r="AC26" s="1" t="str">
        <f t="shared" si="9"/>
        <v>Standard Class</v>
      </c>
      <c r="AD26" s="1" t="str">
        <f t="shared" si="10"/>
        <v>OK</v>
      </c>
      <c r="AE26" s="1">
        <v>7</v>
      </c>
      <c r="AF26" s="1">
        <v>2509.27</v>
      </c>
      <c r="AG26" s="9">
        <v>0.2</v>
      </c>
      <c r="AH26" s="9">
        <f t="shared" si="11"/>
        <v>0.2</v>
      </c>
      <c r="AI26" s="1" t="str">
        <f t="shared" si="12"/>
        <v>OK</v>
      </c>
      <c r="AJ26" s="1">
        <v>14051.91</v>
      </c>
      <c r="AK26" s="1">
        <v>11990.37</v>
      </c>
      <c r="AL26" s="1">
        <v>2061.54</v>
      </c>
      <c r="AM26" s="13">
        <f t="shared" si="13"/>
        <v>14051.912</v>
      </c>
      <c r="AN26" s="9">
        <f t="shared" si="14"/>
        <v>2061.5419999999995</v>
      </c>
      <c r="AO26" s="9">
        <f t="shared" si="23"/>
        <v>0.14670900301681361</v>
      </c>
      <c r="AP26" s="1" t="s">
        <v>33</v>
      </c>
      <c r="AQ26" s="1" t="str">
        <f t="shared" si="15"/>
        <v>Paid</v>
      </c>
      <c r="AR26" s="1" t="str">
        <f t="shared" si="16"/>
        <v>OK</v>
      </c>
      <c r="AS26" s="1" t="s">
        <v>34</v>
      </c>
      <c r="AT26" s="3" t="str">
        <f t="shared" si="17"/>
        <v>Completed</v>
      </c>
      <c r="AU26" s="3" t="str">
        <f t="shared" si="18"/>
        <v>OK</v>
      </c>
      <c r="AV26" s="3" t="str">
        <f t="shared" si="24"/>
        <v>INVALID</v>
      </c>
      <c r="AW26" t="str">
        <f t="shared" si="25"/>
        <v>MATCH</v>
      </c>
      <c r="AX26" t="str">
        <f t="shared" si="26"/>
        <v>MATCH</v>
      </c>
    </row>
    <row r="27" spans="1:50">
      <c r="A27" s="1" t="s">
        <v>276</v>
      </c>
      <c r="B27" s="1">
        <f t="shared" si="0"/>
        <v>1</v>
      </c>
      <c r="C27" s="16">
        <v>45629</v>
      </c>
      <c r="D27" s="16">
        <v>45629</v>
      </c>
      <c r="E27" s="16" t="str">
        <f t="shared" si="19"/>
        <v>Dec</v>
      </c>
      <c r="F27" s="1">
        <f t="shared" si="20"/>
        <v>2024</v>
      </c>
      <c r="G27" t="s">
        <v>199</v>
      </c>
      <c r="H27" s="17">
        <v>45584</v>
      </c>
      <c r="I27" s="21">
        <f t="shared" si="21"/>
        <v>-45</v>
      </c>
      <c r="J27" s="6" t="str">
        <f t="shared" si="22"/>
        <v>INVALID_SHIPPING</v>
      </c>
      <c r="K27" s="1" t="s">
        <v>278</v>
      </c>
      <c r="L27" s="1" t="s">
        <v>153</v>
      </c>
      <c r="M27" s="1" t="str">
        <f t="shared" si="1"/>
        <v>Aarav Sharma</v>
      </c>
      <c r="N27" s="1" t="s">
        <v>40</v>
      </c>
      <c r="O27" s="1" t="str">
        <f t="shared" si="2"/>
        <v>Small Business</v>
      </c>
      <c r="P27" s="1" t="s">
        <v>41</v>
      </c>
      <c r="Q27" s="1" t="str">
        <f t="shared" si="3"/>
        <v>East</v>
      </c>
      <c r="R27" s="1" t="str">
        <f t="shared" si="4"/>
        <v>OK</v>
      </c>
      <c r="S27" s="1" t="s">
        <v>42</v>
      </c>
      <c r="T27" s="1" t="str">
        <f t="shared" si="5"/>
        <v>Odisha</v>
      </c>
      <c r="U27" s="1" t="s">
        <v>43</v>
      </c>
      <c r="V27" s="1" t="str">
        <f t="shared" si="6"/>
        <v>Bhubaneswar</v>
      </c>
      <c r="W27" s="1" t="s">
        <v>44</v>
      </c>
      <c r="X27" s="1" t="str">
        <f t="shared" si="7"/>
        <v>Furniture</v>
      </c>
      <c r="Y27" s="1" t="s">
        <v>190</v>
      </c>
      <c r="Z27" s="1" t="str">
        <f t="shared" si="8"/>
        <v>Bookcases</v>
      </c>
      <c r="AA27" s="1" t="s">
        <v>279</v>
      </c>
      <c r="AB27" s="1" t="s">
        <v>47</v>
      </c>
      <c r="AC27" s="1" t="str">
        <f t="shared" si="9"/>
        <v>Same Day</v>
      </c>
      <c r="AD27" s="1" t="str">
        <f t="shared" si="10"/>
        <v>OK</v>
      </c>
      <c r="AE27" s="1">
        <v>8</v>
      </c>
      <c r="AF27" s="1">
        <v>855.81</v>
      </c>
      <c r="AG27" s="9">
        <v>0</v>
      </c>
      <c r="AH27" s="9">
        <f t="shared" si="11"/>
        <v>0</v>
      </c>
      <c r="AI27" s="1" t="str">
        <f t="shared" si="12"/>
        <v>OK</v>
      </c>
      <c r="AJ27" s="1">
        <v>6846.48</v>
      </c>
      <c r="AK27" s="1">
        <v>4239.8900000000003</v>
      </c>
      <c r="AL27" s="1">
        <v>2606.59</v>
      </c>
      <c r="AM27" s="13">
        <f t="shared" si="13"/>
        <v>6846.48</v>
      </c>
      <c r="AN27" s="9">
        <f t="shared" si="14"/>
        <v>2606.5899999999992</v>
      </c>
      <c r="AO27" s="9">
        <f t="shared" si="23"/>
        <v>0.38071972750961069</v>
      </c>
      <c r="AP27" s="1" t="s">
        <v>131</v>
      </c>
      <c r="AQ27" s="1" t="str">
        <f t="shared" si="15"/>
        <v>Pending</v>
      </c>
      <c r="AR27" s="1" t="str">
        <f t="shared" si="16"/>
        <v>OK</v>
      </c>
      <c r="AS27" s="1" t="s">
        <v>76</v>
      </c>
      <c r="AT27" s="3" t="str">
        <f t="shared" si="17"/>
        <v>Cancelled</v>
      </c>
      <c r="AU27" s="3" t="str">
        <f t="shared" si="18"/>
        <v>EXCLUDE_FROM_SALES</v>
      </c>
      <c r="AV27" s="3" t="str">
        <f t="shared" si="24"/>
        <v>INVALID</v>
      </c>
      <c r="AW27" t="str">
        <f t="shared" si="25"/>
        <v>MATCH</v>
      </c>
      <c r="AX27" t="str">
        <f t="shared" si="26"/>
        <v>MATCH</v>
      </c>
    </row>
    <row r="28" spans="1:50" hidden="1">
      <c r="A28" s="1" t="s">
        <v>287</v>
      </c>
      <c r="B28" s="1">
        <f t="shared" si="0"/>
        <v>1</v>
      </c>
      <c r="C28" s="16">
        <v>45511</v>
      </c>
      <c r="D28" s="16">
        <v>45511</v>
      </c>
      <c r="E28" s="16" t="str">
        <f t="shared" si="19"/>
        <v>Aug</v>
      </c>
      <c r="F28" s="1">
        <f t="shared" si="20"/>
        <v>2024</v>
      </c>
      <c r="G28" t="s">
        <v>205</v>
      </c>
      <c r="H28" s="17">
        <v>45619</v>
      </c>
      <c r="I28" s="21">
        <f t="shared" si="21"/>
        <v>108</v>
      </c>
      <c r="J28" s="6" t="str">
        <f t="shared" si="22"/>
        <v>OK</v>
      </c>
      <c r="K28" s="1" t="s">
        <v>289</v>
      </c>
      <c r="L28" s="1" t="s">
        <v>136</v>
      </c>
      <c r="M28" s="1" t="str">
        <f t="shared" si="1"/>
        <v>Priya Menon</v>
      </c>
      <c r="N28" s="1" t="s">
        <v>40</v>
      </c>
      <c r="O28" s="1" t="str">
        <f t="shared" si="2"/>
        <v>Small Business</v>
      </c>
      <c r="P28" s="1" t="s">
        <v>41</v>
      </c>
      <c r="Q28" s="1" t="str">
        <f t="shared" si="3"/>
        <v>East</v>
      </c>
      <c r="R28" s="1" t="str">
        <f t="shared" si="4"/>
        <v>OK</v>
      </c>
      <c r="S28" s="1" t="s">
        <v>42</v>
      </c>
      <c r="T28" s="1" t="str">
        <f t="shared" si="5"/>
        <v>Odisha</v>
      </c>
      <c r="U28" s="1" t="s">
        <v>43</v>
      </c>
      <c r="V28" s="1" t="str">
        <f t="shared" si="6"/>
        <v>Bhubaneswar</v>
      </c>
      <c r="W28" s="1" t="s">
        <v>44</v>
      </c>
      <c r="X28" s="1" t="str">
        <f t="shared" si="7"/>
        <v>Furniture</v>
      </c>
      <c r="Y28" s="1" t="s">
        <v>63</v>
      </c>
      <c r="Z28" s="1" t="str">
        <f t="shared" si="8"/>
        <v>Furnishings</v>
      </c>
      <c r="AA28" s="1" t="s">
        <v>290</v>
      </c>
      <c r="AB28" s="1" t="s">
        <v>47</v>
      </c>
      <c r="AC28" s="1" t="str">
        <f t="shared" si="9"/>
        <v>Same Day</v>
      </c>
      <c r="AD28" s="1" t="str">
        <f t="shared" si="10"/>
        <v>OK</v>
      </c>
      <c r="AE28" s="1">
        <v>3</v>
      </c>
      <c r="AF28" s="1">
        <v>1010.23</v>
      </c>
      <c r="AG28" s="9">
        <v>0</v>
      </c>
      <c r="AH28" s="9">
        <f t="shared" si="11"/>
        <v>0</v>
      </c>
      <c r="AI28" s="1" t="str">
        <f t="shared" si="12"/>
        <v>OK</v>
      </c>
      <c r="AJ28" s="1">
        <v>3030.69</v>
      </c>
      <c r="AK28" s="1">
        <v>1721.08</v>
      </c>
      <c r="AL28" s="1">
        <v>1309.6099999999999</v>
      </c>
      <c r="AM28" s="13">
        <f t="shared" si="13"/>
        <v>3030.69</v>
      </c>
      <c r="AN28" s="9">
        <f t="shared" si="14"/>
        <v>1309.6100000000001</v>
      </c>
      <c r="AO28" s="9">
        <f t="shared" si="23"/>
        <v>0.43211611877163292</v>
      </c>
      <c r="AP28" s="1" t="s">
        <v>33</v>
      </c>
      <c r="AQ28" s="1" t="str">
        <f t="shared" si="15"/>
        <v>Paid</v>
      </c>
      <c r="AR28" s="1" t="str">
        <f t="shared" si="16"/>
        <v>OK</v>
      </c>
      <c r="AS28" s="1" t="s">
        <v>34</v>
      </c>
      <c r="AT28" s="3" t="str">
        <f t="shared" si="17"/>
        <v>Completed</v>
      </c>
      <c r="AU28" s="3" t="str">
        <f t="shared" si="18"/>
        <v>OK</v>
      </c>
      <c r="AV28" s="3" t="str">
        <f t="shared" si="24"/>
        <v>CLEAN</v>
      </c>
      <c r="AW28" t="str">
        <f t="shared" si="25"/>
        <v>MATCH</v>
      </c>
      <c r="AX28" t="str">
        <f t="shared" si="26"/>
        <v>MATCH</v>
      </c>
    </row>
    <row r="29" spans="1:50" hidden="1">
      <c r="A29" s="1" t="s">
        <v>291</v>
      </c>
      <c r="B29" s="1">
        <f t="shared" si="0"/>
        <v>1</v>
      </c>
      <c r="C29" s="16">
        <v>45465</v>
      </c>
      <c r="D29" s="16">
        <v>45465</v>
      </c>
      <c r="E29" s="16" t="str">
        <f t="shared" si="19"/>
        <v>Jun</v>
      </c>
      <c r="F29" s="1">
        <f t="shared" si="20"/>
        <v>2024</v>
      </c>
      <c r="G29" t="s">
        <v>210</v>
      </c>
      <c r="H29" s="17">
        <v>45787</v>
      </c>
      <c r="I29" s="21">
        <f t="shared" si="21"/>
        <v>322</v>
      </c>
      <c r="J29" s="6" t="str">
        <f t="shared" si="22"/>
        <v>OK</v>
      </c>
      <c r="K29" s="1" t="s">
        <v>293</v>
      </c>
      <c r="L29" s="1" t="s">
        <v>169</v>
      </c>
      <c r="M29" s="1" t="str">
        <f t="shared" si="1"/>
        <v>Rohan Mehta</v>
      </c>
      <c r="N29" s="1" t="s">
        <v>40</v>
      </c>
      <c r="O29" s="1" t="str">
        <f t="shared" si="2"/>
        <v>Small Business</v>
      </c>
      <c r="P29" s="1" t="s">
        <v>26</v>
      </c>
      <c r="Q29" s="1" t="str">
        <f t="shared" si="3"/>
        <v>North</v>
      </c>
      <c r="R29" s="1" t="str">
        <f t="shared" si="4"/>
        <v>OK</v>
      </c>
      <c r="S29" s="1" t="s">
        <v>294</v>
      </c>
      <c r="T29" s="1" t="str">
        <f t="shared" si="5"/>
        <v>Haryana</v>
      </c>
      <c r="U29" s="1" t="s">
        <v>295</v>
      </c>
      <c r="V29" s="1" t="str">
        <f t="shared" si="6"/>
        <v>Gurugram</v>
      </c>
      <c r="W29" s="1" t="s">
        <v>44</v>
      </c>
      <c r="X29" s="1" t="str">
        <f t="shared" si="7"/>
        <v>Furniture</v>
      </c>
      <c r="Y29" s="1" t="s">
        <v>74</v>
      </c>
      <c r="Z29" s="1" t="str">
        <f t="shared" si="8"/>
        <v>Chairs</v>
      </c>
      <c r="AA29" s="1" t="s">
        <v>296</v>
      </c>
      <c r="AB29" s="1" t="s">
        <v>65</v>
      </c>
      <c r="AC29" s="1" t="str">
        <f t="shared" si="9"/>
        <v>Standard Class</v>
      </c>
      <c r="AD29" s="1" t="str">
        <f t="shared" si="10"/>
        <v>OK</v>
      </c>
      <c r="AE29" s="1">
        <v>9</v>
      </c>
      <c r="AF29" s="1">
        <v>3329.77</v>
      </c>
      <c r="AG29" s="9">
        <v>0.1</v>
      </c>
      <c r="AH29" s="9">
        <f t="shared" si="11"/>
        <v>0.1</v>
      </c>
      <c r="AI29" s="1" t="str">
        <f t="shared" si="12"/>
        <v>OK</v>
      </c>
      <c r="AJ29" s="1">
        <v>26971.14</v>
      </c>
      <c r="AK29" s="1">
        <v>17376.2</v>
      </c>
      <c r="AL29" s="1">
        <v>9594.94</v>
      </c>
      <c r="AM29" s="13">
        <f t="shared" si="13"/>
        <v>26971.137000000002</v>
      </c>
      <c r="AN29" s="9">
        <f t="shared" si="14"/>
        <v>9594.9370000000017</v>
      </c>
      <c r="AO29" s="9">
        <f t="shared" si="23"/>
        <v>0.35574833200394929</v>
      </c>
      <c r="AP29" s="1" t="s">
        <v>33</v>
      </c>
      <c r="AQ29" s="1" t="str">
        <f t="shared" si="15"/>
        <v>Paid</v>
      </c>
      <c r="AR29" s="1" t="str">
        <f t="shared" si="16"/>
        <v>OK</v>
      </c>
      <c r="AS29" s="1" t="s">
        <v>34</v>
      </c>
      <c r="AT29" s="3" t="str">
        <f t="shared" si="17"/>
        <v>Completed</v>
      </c>
      <c r="AU29" s="3" t="str">
        <f t="shared" si="18"/>
        <v>OK</v>
      </c>
      <c r="AV29" s="3" t="str">
        <f t="shared" si="24"/>
        <v>CLEAN</v>
      </c>
      <c r="AW29" t="str">
        <f t="shared" si="25"/>
        <v>MATCH</v>
      </c>
      <c r="AX29" t="str">
        <f t="shared" si="26"/>
        <v>MATCH</v>
      </c>
    </row>
    <row r="30" spans="1:50" hidden="1">
      <c r="A30" s="1" t="s">
        <v>297</v>
      </c>
      <c r="B30" s="1">
        <f t="shared" si="0"/>
        <v>1</v>
      </c>
      <c r="C30" s="16">
        <v>45309</v>
      </c>
      <c r="D30" s="16">
        <v>45309</v>
      </c>
      <c r="E30" s="16" t="str">
        <f t="shared" si="19"/>
        <v>Jan</v>
      </c>
      <c r="F30" s="1">
        <f t="shared" si="20"/>
        <v>2024</v>
      </c>
      <c r="G30" t="s">
        <v>216</v>
      </c>
      <c r="H30" s="17">
        <v>45583</v>
      </c>
      <c r="I30" s="21">
        <f t="shared" si="21"/>
        <v>274</v>
      </c>
      <c r="J30" s="6" t="str">
        <f t="shared" si="22"/>
        <v>OK</v>
      </c>
      <c r="K30" s="1" t="s">
        <v>300</v>
      </c>
      <c r="L30" s="1" t="s">
        <v>52</v>
      </c>
      <c r="M30" s="1" t="str">
        <f t="shared" si="1"/>
        <v>Isha Nair</v>
      </c>
      <c r="N30" s="1" t="s">
        <v>110</v>
      </c>
      <c r="O30" s="1" t="str">
        <f t="shared" si="2"/>
        <v>Home Office</v>
      </c>
      <c r="P30" s="1" t="s">
        <v>41</v>
      </c>
      <c r="Q30" s="1" t="str">
        <f t="shared" si="3"/>
        <v>East</v>
      </c>
      <c r="R30" s="1" t="str">
        <f t="shared" si="4"/>
        <v>OK</v>
      </c>
      <c r="S30" s="1" t="s">
        <v>174</v>
      </c>
      <c r="T30" s="1" t="str">
        <f t="shared" si="5"/>
        <v>Bihar</v>
      </c>
      <c r="U30" s="1" t="s">
        <v>175</v>
      </c>
      <c r="V30" s="1" t="str">
        <f t="shared" si="6"/>
        <v>Patna</v>
      </c>
      <c r="W30" s="1" t="s">
        <v>29</v>
      </c>
      <c r="X30" s="1" t="str">
        <f t="shared" si="7"/>
        <v>Office Supplies</v>
      </c>
      <c r="Y30" s="1" t="s">
        <v>53</v>
      </c>
      <c r="Z30" s="1" t="str">
        <f t="shared" si="8"/>
        <v>Art</v>
      </c>
      <c r="AA30" s="1" t="s">
        <v>301</v>
      </c>
      <c r="AB30" s="1" t="s">
        <v>32</v>
      </c>
      <c r="AC30" s="1" t="str">
        <f t="shared" si="9"/>
        <v>Second Class</v>
      </c>
      <c r="AD30" s="1" t="str">
        <f t="shared" si="10"/>
        <v>OK</v>
      </c>
      <c r="AE30" s="1">
        <v>8</v>
      </c>
      <c r="AF30" s="1">
        <v>3927.82</v>
      </c>
      <c r="AG30" s="9">
        <v>0.05</v>
      </c>
      <c r="AH30" s="9">
        <f t="shared" si="11"/>
        <v>0.05</v>
      </c>
      <c r="AI30" s="1" t="str">
        <f t="shared" si="12"/>
        <v>OK</v>
      </c>
      <c r="AJ30" s="1">
        <v>29851.43</v>
      </c>
      <c r="AK30" s="1">
        <v>17487.48</v>
      </c>
      <c r="AL30" s="1">
        <v>12363.95</v>
      </c>
      <c r="AM30" s="13">
        <f t="shared" si="13"/>
        <v>29851.432000000001</v>
      </c>
      <c r="AN30" s="9">
        <f t="shared" si="14"/>
        <v>12363.952000000001</v>
      </c>
      <c r="AO30" s="9">
        <f t="shared" si="23"/>
        <v>0.41418287739094062</v>
      </c>
      <c r="AP30" s="1" t="s">
        <v>131</v>
      </c>
      <c r="AQ30" s="1" t="str">
        <f t="shared" si="15"/>
        <v>Pending</v>
      </c>
      <c r="AR30" s="1" t="str">
        <f t="shared" si="16"/>
        <v>OK</v>
      </c>
      <c r="AS30" s="1" t="s">
        <v>120</v>
      </c>
      <c r="AT30" s="3" t="str">
        <f t="shared" si="17"/>
        <v>Returned</v>
      </c>
      <c r="AU30" s="3" t="str">
        <f t="shared" si="18"/>
        <v>RETURNED_ORDER</v>
      </c>
      <c r="AV30" s="3" t="str">
        <f t="shared" si="24"/>
        <v>CLEAN</v>
      </c>
      <c r="AW30" t="str">
        <f t="shared" si="25"/>
        <v>MATCH</v>
      </c>
      <c r="AX30" t="str">
        <f t="shared" si="26"/>
        <v>MATCH</v>
      </c>
    </row>
    <row r="31" spans="1:50" hidden="1">
      <c r="A31" s="1" t="s">
        <v>302</v>
      </c>
      <c r="B31" s="1">
        <f t="shared" si="0"/>
        <v>1</v>
      </c>
      <c r="C31" s="16">
        <v>45492</v>
      </c>
      <c r="D31" s="16">
        <v>45492</v>
      </c>
      <c r="E31" s="16" t="str">
        <f t="shared" si="19"/>
        <v>Jul</v>
      </c>
      <c r="F31" s="1">
        <f t="shared" si="20"/>
        <v>2024</v>
      </c>
      <c r="G31" t="s">
        <v>222</v>
      </c>
      <c r="H31" s="17">
        <v>45882</v>
      </c>
      <c r="I31" s="21">
        <f t="shared" si="21"/>
        <v>390</v>
      </c>
      <c r="J31" s="6" t="str">
        <f t="shared" si="22"/>
        <v>OK</v>
      </c>
      <c r="K31" s="1" t="s">
        <v>304</v>
      </c>
      <c r="L31" s="1" t="s">
        <v>70</v>
      </c>
      <c r="M31" s="1" t="str">
        <f t="shared" si="1"/>
        <v>Ananya Rao</v>
      </c>
      <c r="N31" s="1" t="s">
        <v>40</v>
      </c>
      <c r="O31" s="1" t="str">
        <f t="shared" si="2"/>
        <v>Small Business</v>
      </c>
      <c r="P31" s="1" t="s">
        <v>60</v>
      </c>
      <c r="Q31" s="1" t="str">
        <f t="shared" si="3"/>
        <v>South</v>
      </c>
      <c r="R31" s="1" t="str">
        <f t="shared" si="4"/>
        <v>OK</v>
      </c>
      <c r="S31" s="1" t="s">
        <v>224</v>
      </c>
      <c r="T31" s="1" t="str">
        <f t="shared" si="5"/>
        <v>Kerala</v>
      </c>
      <c r="U31" s="1" t="s">
        <v>225</v>
      </c>
      <c r="V31" s="1" t="str">
        <f t="shared" si="6"/>
        <v>Kochi</v>
      </c>
      <c r="W31" s="1" t="s">
        <v>44</v>
      </c>
      <c r="X31" s="1" t="str">
        <f t="shared" si="7"/>
        <v>Furniture</v>
      </c>
      <c r="Y31" s="1" t="s">
        <v>190</v>
      </c>
      <c r="Z31" s="1" t="str">
        <f t="shared" si="8"/>
        <v>Bookcases</v>
      </c>
      <c r="AA31" s="1" t="s">
        <v>305</v>
      </c>
      <c r="AB31" s="1" t="s">
        <v>65</v>
      </c>
      <c r="AC31" s="1" t="str">
        <f t="shared" si="9"/>
        <v>Standard Class</v>
      </c>
      <c r="AD31" s="1" t="str">
        <f t="shared" si="10"/>
        <v>OK</v>
      </c>
      <c r="AE31" s="1">
        <v>9</v>
      </c>
      <c r="AF31" s="1">
        <v>2386.79</v>
      </c>
      <c r="AG31" s="9">
        <v>0.25</v>
      </c>
      <c r="AH31" s="9">
        <f t="shared" si="11"/>
        <v>0.25</v>
      </c>
      <c r="AI31" s="1" t="str">
        <f t="shared" si="12"/>
        <v>OK</v>
      </c>
      <c r="AJ31" s="1">
        <v>16110.83</v>
      </c>
      <c r="AK31" s="1">
        <v>10680.03</v>
      </c>
      <c r="AL31" s="1">
        <v>5430.8</v>
      </c>
      <c r="AM31" s="13">
        <f t="shared" si="13"/>
        <v>16110.8325</v>
      </c>
      <c r="AN31" s="9">
        <f t="shared" si="14"/>
        <v>5430.8024999999998</v>
      </c>
      <c r="AO31" s="9">
        <f t="shared" si="23"/>
        <v>0.33709012243780695</v>
      </c>
      <c r="AP31" s="1" t="s">
        <v>119</v>
      </c>
      <c r="AQ31" s="1" t="str">
        <f t="shared" si="15"/>
        <v>Refunded</v>
      </c>
      <c r="AR31" s="1" t="str">
        <f t="shared" si="16"/>
        <v>REFUNDED_PAYMENT</v>
      </c>
      <c r="AS31" s="1" t="s">
        <v>120</v>
      </c>
      <c r="AT31" s="3" t="str">
        <f t="shared" si="17"/>
        <v>Returned</v>
      </c>
      <c r="AU31" s="3" t="str">
        <f t="shared" si="18"/>
        <v>RETURNED_ORDER</v>
      </c>
      <c r="AV31" s="3" t="str">
        <f t="shared" si="24"/>
        <v>CLEAN</v>
      </c>
      <c r="AW31" t="str">
        <f t="shared" si="25"/>
        <v>MATCH</v>
      </c>
      <c r="AX31" t="str">
        <f t="shared" si="26"/>
        <v>MATCH</v>
      </c>
    </row>
    <row r="32" spans="1:50">
      <c r="A32" s="1" t="s">
        <v>306</v>
      </c>
      <c r="B32" s="1">
        <f t="shared" si="0"/>
        <v>1</v>
      </c>
      <c r="C32" s="16">
        <v>45516</v>
      </c>
      <c r="D32" s="16">
        <v>45516</v>
      </c>
      <c r="E32" s="16" t="str">
        <f t="shared" si="19"/>
        <v>Aug</v>
      </c>
      <c r="F32" s="1">
        <f t="shared" si="20"/>
        <v>2024</v>
      </c>
      <c r="G32" t="s">
        <v>228</v>
      </c>
      <c r="H32" s="17">
        <v>45334</v>
      </c>
      <c r="I32" s="21">
        <f t="shared" si="21"/>
        <v>-182</v>
      </c>
      <c r="J32" s="6" t="str">
        <f t="shared" si="22"/>
        <v>INVALID_SHIPPING</v>
      </c>
      <c r="K32" s="1" t="s">
        <v>308</v>
      </c>
      <c r="L32" s="1" t="s">
        <v>141</v>
      </c>
      <c r="M32" s="1" t="str">
        <f t="shared" si="1"/>
        <v>Rahul Verma</v>
      </c>
      <c r="N32" s="1" t="s">
        <v>104</v>
      </c>
      <c r="O32" s="1" t="str">
        <f t="shared" si="2"/>
        <v>Corporate</v>
      </c>
      <c r="P32" s="1" t="s">
        <v>60</v>
      </c>
      <c r="Q32" s="1" t="str">
        <f t="shared" si="3"/>
        <v>South</v>
      </c>
      <c r="R32" s="1" t="str">
        <f t="shared" si="4"/>
        <v>OK</v>
      </c>
      <c r="S32" s="1" t="s">
        <v>309</v>
      </c>
      <c r="T32" s="1" t="str">
        <f t="shared" si="5"/>
        <v>Tamil Nadu</v>
      </c>
      <c r="U32" s="1" t="s">
        <v>310</v>
      </c>
      <c r="V32" s="1" t="str">
        <f t="shared" si="6"/>
        <v>Chennai</v>
      </c>
      <c r="W32" s="1" t="s">
        <v>29</v>
      </c>
      <c r="X32" s="1" t="str">
        <f t="shared" si="7"/>
        <v>Office Supplies</v>
      </c>
      <c r="Y32" s="1" t="s">
        <v>148</v>
      </c>
      <c r="Z32" s="1" t="str">
        <f t="shared" si="8"/>
        <v>Storage</v>
      </c>
      <c r="AA32" s="1" t="s">
        <v>311</v>
      </c>
      <c r="AB32" s="1" t="s">
        <v>65</v>
      </c>
      <c r="AC32" s="1" t="str">
        <f t="shared" si="9"/>
        <v>Standard Class</v>
      </c>
      <c r="AD32" s="1" t="str">
        <f t="shared" si="10"/>
        <v>OK</v>
      </c>
      <c r="AE32" s="1">
        <v>8</v>
      </c>
      <c r="AF32" s="1">
        <v>2445.31</v>
      </c>
      <c r="AG32" s="9">
        <v>0.1</v>
      </c>
      <c r="AH32" s="9">
        <f t="shared" si="11"/>
        <v>0.1</v>
      </c>
      <c r="AI32" s="1" t="str">
        <f t="shared" si="12"/>
        <v>OK</v>
      </c>
      <c r="AJ32" s="1">
        <v>17606.23</v>
      </c>
      <c r="AK32" s="1">
        <v>12438.96</v>
      </c>
      <c r="AL32" s="1">
        <v>5167.2700000000004</v>
      </c>
      <c r="AM32" s="13">
        <f t="shared" si="13"/>
        <v>17606.232</v>
      </c>
      <c r="AN32" s="9">
        <f t="shared" si="14"/>
        <v>5167.2720000000008</v>
      </c>
      <c r="AO32" s="9">
        <f t="shared" si="23"/>
        <v>0.29349107747756592</v>
      </c>
      <c r="AP32" s="1" t="s">
        <v>33</v>
      </c>
      <c r="AQ32" s="1" t="str">
        <f t="shared" si="15"/>
        <v>Paid</v>
      </c>
      <c r="AR32" s="1" t="str">
        <f t="shared" si="16"/>
        <v>OK</v>
      </c>
      <c r="AS32" s="1" t="s">
        <v>34</v>
      </c>
      <c r="AT32" s="3" t="str">
        <f t="shared" si="17"/>
        <v>Completed</v>
      </c>
      <c r="AU32" s="3" t="str">
        <f t="shared" si="18"/>
        <v>OK</v>
      </c>
      <c r="AV32" s="3" t="str">
        <f t="shared" si="24"/>
        <v>INVALID</v>
      </c>
      <c r="AW32" t="str">
        <f t="shared" si="25"/>
        <v>MATCH</v>
      </c>
      <c r="AX32" t="str">
        <f t="shared" si="26"/>
        <v>MATCH</v>
      </c>
    </row>
    <row r="33" spans="1:50" hidden="1">
      <c r="A33" s="1" t="s">
        <v>317</v>
      </c>
      <c r="B33" s="1">
        <f t="shared" si="0"/>
        <v>1</v>
      </c>
      <c r="C33" s="16">
        <v>45447</v>
      </c>
      <c r="D33" s="16">
        <v>45447</v>
      </c>
      <c r="E33" s="16" t="str">
        <f t="shared" si="19"/>
        <v>Jun</v>
      </c>
      <c r="F33" s="1">
        <f t="shared" si="20"/>
        <v>2024</v>
      </c>
      <c r="G33" t="s">
        <v>234</v>
      </c>
      <c r="H33" s="17">
        <v>45827</v>
      </c>
      <c r="I33" s="21">
        <f t="shared" si="21"/>
        <v>380</v>
      </c>
      <c r="J33" s="6" t="str">
        <f t="shared" si="22"/>
        <v>OK</v>
      </c>
      <c r="K33" s="1" t="s">
        <v>320</v>
      </c>
      <c r="L33" s="1" t="s">
        <v>153</v>
      </c>
      <c r="M33" s="1" t="str">
        <f t="shared" si="1"/>
        <v>Aarav Sharma</v>
      </c>
      <c r="N33" s="1" t="s">
        <v>110</v>
      </c>
      <c r="O33" s="1" t="str">
        <f t="shared" si="2"/>
        <v>Home Office</v>
      </c>
      <c r="P33" s="1" t="s">
        <v>26</v>
      </c>
      <c r="Q33" s="1" t="str">
        <f t="shared" si="3"/>
        <v>North</v>
      </c>
      <c r="R33" s="1" t="str">
        <f t="shared" si="4"/>
        <v>OK</v>
      </c>
      <c r="S33" s="1" t="s">
        <v>163</v>
      </c>
      <c r="T33" s="1" t="str">
        <f t="shared" si="5"/>
        <v>Uttar Pradesh</v>
      </c>
      <c r="U33" s="1" t="s">
        <v>164</v>
      </c>
      <c r="V33" s="1" t="str">
        <f t="shared" si="6"/>
        <v>Noida</v>
      </c>
      <c r="W33" s="1" t="s">
        <v>83</v>
      </c>
      <c r="X33" s="1" t="str">
        <f t="shared" si="7"/>
        <v>Technology</v>
      </c>
      <c r="Y33" s="1" t="s">
        <v>91</v>
      </c>
      <c r="Z33" s="1" t="str">
        <f t="shared" si="8"/>
        <v>Copiers</v>
      </c>
      <c r="AA33" s="1" t="s">
        <v>321</v>
      </c>
      <c r="AB33" s="1" t="s">
        <v>32</v>
      </c>
      <c r="AC33" s="1" t="str">
        <f t="shared" si="9"/>
        <v>Second Class</v>
      </c>
      <c r="AD33" s="1" t="str">
        <f t="shared" si="10"/>
        <v>OK</v>
      </c>
      <c r="AE33" s="1">
        <v>9</v>
      </c>
      <c r="AF33" s="1">
        <v>792.11</v>
      </c>
      <c r="AG33" s="9">
        <v>0.05</v>
      </c>
      <c r="AH33" s="9">
        <f t="shared" si="11"/>
        <v>0.05</v>
      </c>
      <c r="AI33" s="1" t="str">
        <f t="shared" si="12"/>
        <v>OK</v>
      </c>
      <c r="AJ33" s="1">
        <v>6772.54</v>
      </c>
      <c r="AK33" s="1">
        <v>5755.46</v>
      </c>
      <c r="AL33" s="1">
        <v>1017.08</v>
      </c>
      <c r="AM33" s="13">
        <f t="shared" si="13"/>
        <v>6772.5404999999992</v>
      </c>
      <c r="AN33" s="9">
        <f t="shared" si="14"/>
        <v>1017.0804999999991</v>
      </c>
      <c r="AO33" s="9">
        <f t="shared" si="23"/>
        <v>0.15017710119267641</v>
      </c>
      <c r="AP33" s="1" t="s">
        <v>33</v>
      </c>
      <c r="AQ33" s="1" t="str">
        <f t="shared" si="15"/>
        <v>Paid</v>
      </c>
      <c r="AR33" s="1" t="str">
        <f t="shared" si="16"/>
        <v>OK</v>
      </c>
      <c r="AS33" s="1" t="s">
        <v>34</v>
      </c>
      <c r="AT33" s="3" t="str">
        <f t="shared" si="17"/>
        <v>Completed</v>
      </c>
      <c r="AU33" s="3" t="str">
        <f t="shared" si="18"/>
        <v>OK</v>
      </c>
      <c r="AV33" s="3" t="str">
        <f t="shared" si="24"/>
        <v>CLEAN</v>
      </c>
      <c r="AW33" t="str">
        <f t="shared" si="25"/>
        <v>MATCH</v>
      </c>
      <c r="AX33" t="str">
        <f t="shared" si="26"/>
        <v>MATCH</v>
      </c>
    </row>
    <row r="34" spans="1:50" hidden="1">
      <c r="A34" s="1" t="s">
        <v>326</v>
      </c>
      <c r="B34" s="1">
        <f t="shared" si="0"/>
        <v>1</v>
      </c>
      <c r="C34" s="16">
        <v>45406</v>
      </c>
      <c r="D34" s="16">
        <v>45406</v>
      </c>
      <c r="E34" s="16" t="str">
        <f t="shared" si="19"/>
        <v>Apr</v>
      </c>
      <c r="F34" s="1">
        <f t="shared" si="20"/>
        <v>2024</v>
      </c>
      <c r="G34" t="s">
        <v>238</v>
      </c>
      <c r="H34" s="17">
        <v>45622</v>
      </c>
      <c r="I34" s="21">
        <f t="shared" si="21"/>
        <v>216</v>
      </c>
      <c r="J34" s="6" t="str">
        <f t="shared" si="22"/>
        <v>OK</v>
      </c>
      <c r="K34" s="1" t="s">
        <v>329</v>
      </c>
      <c r="L34" s="1" t="s">
        <v>70</v>
      </c>
      <c r="M34" s="1" t="str">
        <f t="shared" si="1"/>
        <v>Ananya Rao</v>
      </c>
      <c r="N34" s="1" t="s">
        <v>104</v>
      </c>
      <c r="O34" s="1" t="str">
        <f t="shared" si="2"/>
        <v>Corporate</v>
      </c>
      <c r="P34" s="1" t="s">
        <v>60</v>
      </c>
      <c r="Q34" s="1" t="str">
        <f t="shared" si="3"/>
        <v>South</v>
      </c>
      <c r="R34" s="1" t="str">
        <f t="shared" si="4"/>
        <v>OK</v>
      </c>
      <c r="S34" s="1" t="s">
        <v>61</v>
      </c>
      <c r="T34" s="1" t="str">
        <f t="shared" si="5"/>
        <v>Telangana</v>
      </c>
      <c r="U34" s="1" t="s">
        <v>62</v>
      </c>
      <c r="V34" s="1" t="str">
        <f t="shared" si="6"/>
        <v>Hyderabad</v>
      </c>
      <c r="W34" s="1" t="s">
        <v>29</v>
      </c>
      <c r="X34" s="1" t="str">
        <f t="shared" si="7"/>
        <v>Office Supplies</v>
      </c>
      <c r="Y34" s="1" t="s">
        <v>53</v>
      </c>
      <c r="Z34" s="1" t="str">
        <f t="shared" si="8"/>
        <v>Art</v>
      </c>
      <c r="AA34" s="1" t="s">
        <v>330</v>
      </c>
      <c r="AB34" s="1" t="s">
        <v>65</v>
      </c>
      <c r="AC34" s="1" t="str">
        <f t="shared" si="9"/>
        <v>Standard Class</v>
      </c>
      <c r="AD34" s="1" t="str">
        <f t="shared" si="10"/>
        <v>OK</v>
      </c>
      <c r="AE34" s="1">
        <v>6</v>
      </c>
      <c r="AF34" s="1">
        <v>1528.08</v>
      </c>
      <c r="AG34" s="9">
        <v>0</v>
      </c>
      <c r="AH34" s="9">
        <f t="shared" si="11"/>
        <v>0</v>
      </c>
      <c r="AI34" s="1" t="str">
        <f t="shared" si="12"/>
        <v>OK</v>
      </c>
      <c r="AJ34" s="1">
        <v>9168.48</v>
      </c>
      <c r="AK34" s="1">
        <v>7439.77</v>
      </c>
      <c r="AL34" s="1">
        <v>1728.71</v>
      </c>
      <c r="AM34" s="13">
        <f t="shared" si="13"/>
        <v>9168.48</v>
      </c>
      <c r="AN34" s="9">
        <f t="shared" si="14"/>
        <v>1728.7099999999991</v>
      </c>
      <c r="AO34" s="9">
        <f t="shared" si="23"/>
        <v>0.18854924698532355</v>
      </c>
      <c r="AP34" s="1" t="s">
        <v>33</v>
      </c>
      <c r="AQ34" s="1" t="str">
        <f t="shared" si="15"/>
        <v>Paid</v>
      </c>
      <c r="AR34" s="1" t="str">
        <f t="shared" si="16"/>
        <v>OK</v>
      </c>
      <c r="AS34" s="1" t="s">
        <v>34</v>
      </c>
      <c r="AT34" s="3" t="str">
        <f t="shared" si="17"/>
        <v>Completed</v>
      </c>
      <c r="AU34" s="3" t="str">
        <f t="shared" si="18"/>
        <v>OK</v>
      </c>
      <c r="AV34" s="3" t="str">
        <f t="shared" si="24"/>
        <v>CLEAN</v>
      </c>
      <c r="AW34" t="str">
        <f t="shared" si="25"/>
        <v>MATCH</v>
      </c>
      <c r="AX34" t="str">
        <f t="shared" si="26"/>
        <v>MATCH</v>
      </c>
    </row>
    <row r="35" spans="1:50">
      <c r="A35" s="1" t="s">
        <v>331</v>
      </c>
      <c r="B35" s="1">
        <f t="shared" si="0"/>
        <v>1</v>
      </c>
      <c r="C35" s="16">
        <v>45591</v>
      </c>
      <c r="D35" s="16">
        <v>45591</v>
      </c>
      <c r="E35" s="16" t="str">
        <f t="shared" si="19"/>
        <v>Oct</v>
      </c>
      <c r="F35" s="1">
        <f t="shared" si="20"/>
        <v>2024</v>
      </c>
      <c r="G35" t="s">
        <v>243</v>
      </c>
      <c r="H35" s="17">
        <v>45500</v>
      </c>
      <c r="I35" s="21">
        <f t="shared" si="21"/>
        <v>-91</v>
      </c>
      <c r="J35" s="6" t="str">
        <f t="shared" si="22"/>
        <v>INVALID_SHIPPING</v>
      </c>
      <c r="K35" s="1" t="s">
        <v>333</v>
      </c>
      <c r="L35" s="1" t="s">
        <v>334</v>
      </c>
      <c r="M35" s="1" t="str">
        <f t="shared" si="1"/>
        <v>Kabir Singh</v>
      </c>
      <c r="N35" s="1" t="s">
        <v>40</v>
      </c>
      <c r="O35" s="1" t="str">
        <f t="shared" si="2"/>
        <v>Small Business</v>
      </c>
      <c r="P35" s="1" t="s">
        <v>26</v>
      </c>
      <c r="Q35" s="1" t="str">
        <f t="shared" si="3"/>
        <v>North</v>
      </c>
      <c r="R35" s="1" t="str">
        <f t="shared" si="4"/>
        <v>OK</v>
      </c>
      <c r="S35" s="1" t="s">
        <v>27</v>
      </c>
      <c r="T35" s="1" t="str">
        <f t="shared" si="5"/>
        <v>Rajasthan</v>
      </c>
      <c r="U35" s="1" t="s">
        <v>28</v>
      </c>
      <c r="V35" s="1" t="str">
        <f t="shared" si="6"/>
        <v>Jaipur</v>
      </c>
      <c r="W35" s="1" t="s">
        <v>44</v>
      </c>
      <c r="X35" s="1" t="str">
        <f t="shared" si="7"/>
        <v>Furniture</v>
      </c>
      <c r="Y35" s="1" t="s">
        <v>74</v>
      </c>
      <c r="Z35" s="1" t="str">
        <f t="shared" si="8"/>
        <v>Chairs</v>
      </c>
      <c r="AA35" s="1" t="s">
        <v>335</v>
      </c>
      <c r="AB35" s="1" t="s">
        <v>55</v>
      </c>
      <c r="AC35" s="1" t="str">
        <f t="shared" si="9"/>
        <v>First Class</v>
      </c>
      <c r="AD35" s="1" t="str">
        <f t="shared" si="10"/>
        <v>OK</v>
      </c>
      <c r="AE35" s="1">
        <v>9</v>
      </c>
      <c r="AF35" s="1">
        <v>1399.63</v>
      </c>
      <c r="AG35" s="9">
        <v>0</v>
      </c>
      <c r="AH35" s="9">
        <f t="shared" si="11"/>
        <v>0</v>
      </c>
      <c r="AI35" s="1" t="str">
        <f t="shared" si="12"/>
        <v>OK</v>
      </c>
      <c r="AJ35" s="1">
        <v>12596.67</v>
      </c>
      <c r="AK35" s="1">
        <v>10603.29</v>
      </c>
      <c r="AL35" s="1">
        <v>1993.38</v>
      </c>
      <c r="AM35" s="13">
        <f t="shared" si="13"/>
        <v>12596.670000000002</v>
      </c>
      <c r="AN35" s="9">
        <f t="shared" si="14"/>
        <v>1993.380000000001</v>
      </c>
      <c r="AO35" s="9">
        <f t="shared" si="23"/>
        <v>0.15824658421630483</v>
      </c>
      <c r="AP35" s="1" t="s">
        <v>186</v>
      </c>
      <c r="AQ35" s="1" t="str">
        <f t="shared" si="15"/>
        <v>Failed</v>
      </c>
      <c r="AR35" s="1" t="str">
        <f t="shared" si="16"/>
        <v>EXCLUDE_FROM_SALES</v>
      </c>
      <c r="AS35" s="1" t="s">
        <v>76</v>
      </c>
      <c r="AT35" s="3" t="str">
        <f t="shared" si="17"/>
        <v>Cancelled</v>
      </c>
      <c r="AU35" s="3" t="str">
        <f t="shared" si="18"/>
        <v>EXCLUDE_FROM_SALES</v>
      </c>
      <c r="AV35" s="3" t="str">
        <f t="shared" si="24"/>
        <v>INVALID</v>
      </c>
      <c r="AW35" t="str">
        <f t="shared" si="25"/>
        <v>MATCH</v>
      </c>
      <c r="AX35" t="str">
        <f t="shared" si="26"/>
        <v>MATCH</v>
      </c>
    </row>
    <row r="36" spans="1:50" hidden="1">
      <c r="A36" s="1" t="s">
        <v>353</v>
      </c>
      <c r="B36" s="1">
        <f t="shared" si="0"/>
        <v>1</v>
      </c>
      <c r="C36" s="16">
        <v>45475</v>
      </c>
      <c r="D36" s="16">
        <v>45475</v>
      </c>
      <c r="E36" s="16" t="str">
        <f t="shared" si="19"/>
        <v>Jul</v>
      </c>
      <c r="F36" s="1">
        <f t="shared" si="20"/>
        <v>2024</v>
      </c>
      <c r="G36" t="s">
        <v>247</v>
      </c>
      <c r="H36" s="17">
        <v>45693</v>
      </c>
      <c r="I36" s="21">
        <f t="shared" si="21"/>
        <v>218</v>
      </c>
      <c r="J36" s="6" t="str">
        <f t="shared" si="22"/>
        <v>OK</v>
      </c>
      <c r="K36" s="1" t="s">
        <v>355</v>
      </c>
      <c r="L36" s="1" t="s">
        <v>136</v>
      </c>
      <c r="M36" s="1" t="str">
        <f t="shared" si="1"/>
        <v>Priya Menon</v>
      </c>
      <c r="N36" s="1" t="s">
        <v>25</v>
      </c>
      <c r="O36" s="1" t="str">
        <f t="shared" si="2"/>
        <v>Consumer</v>
      </c>
      <c r="P36" s="1" t="s">
        <v>71</v>
      </c>
      <c r="Q36" s="1" t="str">
        <f t="shared" si="3"/>
        <v>West</v>
      </c>
      <c r="R36" s="1" t="str">
        <f t="shared" si="4"/>
        <v>OK</v>
      </c>
      <c r="S36" s="1" t="s">
        <v>230</v>
      </c>
      <c r="T36" s="1" t="str">
        <f t="shared" si="5"/>
        <v>Goa</v>
      </c>
      <c r="U36" s="1" t="s">
        <v>231</v>
      </c>
      <c r="V36" s="1" t="str">
        <f t="shared" si="6"/>
        <v>Panaji</v>
      </c>
      <c r="W36" s="1" t="s">
        <v>44</v>
      </c>
      <c r="X36" s="1" t="str">
        <f t="shared" si="7"/>
        <v>Furniture</v>
      </c>
      <c r="Y36" s="1" t="s">
        <v>74</v>
      </c>
      <c r="Z36" s="1" t="str">
        <f t="shared" si="8"/>
        <v>Chairs</v>
      </c>
      <c r="AA36" s="1" t="s">
        <v>356</v>
      </c>
      <c r="AB36" s="1" t="s">
        <v>47</v>
      </c>
      <c r="AC36" s="1" t="str">
        <f t="shared" si="9"/>
        <v>Same Day</v>
      </c>
      <c r="AD36" s="1" t="str">
        <f t="shared" si="10"/>
        <v>OK</v>
      </c>
      <c r="AE36" s="1">
        <v>5</v>
      </c>
      <c r="AF36" s="1">
        <v>255.87</v>
      </c>
      <c r="AG36" s="9">
        <v>0</v>
      </c>
      <c r="AH36" s="9">
        <f t="shared" si="11"/>
        <v>0</v>
      </c>
      <c r="AI36" s="1" t="str">
        <f t="shared" si="12"/>
        <v>OK</v>
      </c>
      <c r="AJ36" s="1">
        <v>1279.3499999999999</v>
      </c>
      <c r="AK36" s="1">
        <v>1091.54</v>
      </c>
      <c r="AL36" s="1">
        <v>187.81</v>
      </c>
      <c r="AM36" s="13">
        <f t="shared" si="13"/>
        <v>1279.3499999999999</v>
      </c>
      <c r="AN36" s="9">
        <f t="shared" si="14"/>
        <v>187.80999999999995</v>
      </c>
      <c r="AO36" s="9">
        <f t="shared" si="23"/>
        <v>0.14680110993864068</v>
      </c>
      <c r="AP36" s="1" t="s">
        <v>33</v>
      </c>
      <c r="AQ36" s="1" t="str">
        <f t="shared" si="15"/>
        <v>Paid</v>
      </c>
      <c r="AR36" s="1" t="str">
        <f t="shared" si="16"/>
        <v>OK</v>
      </c>
      <c r="AS36" s="1" t="s">
        <v>34</v>
      </c>
      <c r="AT36" s="3" t="str">
        <f t="shared" si="17"/>
        <v>Completed</v>
      </c>
      <c r="AU36" s="3" t="str">
        <f t="shared" si="18"/>
        <v>OK</v>
      </c>
      <c r="AV36" s="3" t="str">
        <f t="shared" si="24"/>
        <v>CLEAN</v>
      </c>
      <c r="AW36" t="str">
        <f t="shared" si="25"/>
        <v>MATCH</v>
      </c>
      <c r="AX36" t="str">
        <f t="shared" si="26"/>
        <v>MATCH</v>
      </c>
    </row>
    <row r="37" spans="1:50" hidden="1">
      <c r="A37" s="1" t="s">
        <v>357</v>
      </c>
      <c r="B37" s="1">
        <f t="shared" si="0"/>
        <v>1</v>
      </c>
      <c r="C37" s="16">
        <v>45300</v>
      </c>
      <c r="D37" s="16">
        <v>45300</v>
      </c>
      <c r="E37" s="16" t="str">
        <f t="shared" si="19"/>
        <v>Jan</v>
      </c>
      <c r="F37" s="1">
        <f t="shared" si="20"/>
        <v>2024</v>
      </c>
      <c r="G37" t="s">
        <v>252</v>
      </c>
      <c r="H37" s="17">
        <v>45441</v>
      </c>
      <c r="I37" s="21">
        <f t="shared" si="21"/>
        <v>141</v>
      </c>
      <c r="J37" s="6" t="str">
        <f t="shared" si="22"/>
        <v>OK</v>
      </c>
      <c r="K37" s="1" t="s">
        <v>360</v>
      </c>
      <c r="L37" s="1" t="s">
        <v>52</v>
      </c>
      <c r="M37" s="1" t="str">
        <f t="shared" si="1"/>
        <v>Isha Nair</v>
      </c>
      <c r="N37" s="1" t="s">
        <v>110</v>
      </c>
      <c r="O37" s="1" t="str">
        <f t="shared" si="2"/>
        <v>Home Office</v>
      </c>
      <c r="P37" s="1" t="s">
        <v>26</v>
      </c>
      <c r="Q37" s="1" t="str">
        <f t="shared" si="3"/>
        <v>North</v>
      </c>
      <c r="R37" s="1" t="str">
        <f t="shared" si="4"/>
        <v>OK</v>
      </c>
      <c r="S37" s="1" t="s">
        <v>27</v>
      </c>
      <c r="T37" s="1" t="str">
        <f t="shared" si="5"/>
        <v>Rajasthan</v>
      </c>
      <c r="U37" s="1" t="s">
        <v>28</v>
      </c>
      <c r="V37" s="1" t="str">
        <f t="shared" si="6"/>
        <v>Jaipur</v>
      </c>
      <c r="W37" s="1" t="s">
        <v>29</v>
      </c>
      <c r="X37" s="1" t="str">
        <f t="shared" si="7"/>
        <v>Office Supplies</v>
      </c>
      <c r="Y37" s="1" t="s">
        <v>148</v>
      </c>
      <c r="Z37" s="1" t="str">
        <f t="shared" si="8"/>
        <v>Storage</v>
      </c>
      <c r="AA37" s="1" t="s">
        <v>361</v>
      </c>
      <c r="AB37" s="1"/>
      <c r="AC37" s="1" t="str">
        <f t="shared" si="9"/>
        <v>Unknown</v>
      </c>
      <c r="AD37" s="1" t="str">
        <f t="shared" si="10"/>
        <v>MISSING_SHIP_MODE</v>
      </c>
      <c r="AE37" s="1">
        <v>9</v>
      </c>
      <c r="AF37" s="1">
        <v>1389.48</v>
      </c>
      <c r="AG37" s="9">
        <v>0.1</v>
      </c>
      <c r="AH37" s="9">
        <f t="shared" si="11"/>
        <v>0.1</v>
      </c>
      <c r="AI37" s="1" t="str">
        <f t="shared" si="12"/>
        <v>OK</v>
      </c>
      <c r="AJ37" s="1">
        <v>11254.79</v>
      </c>
      <c r="AK37" s="1">
        <v>6578.06</v>
      </c>
      <c r="AL37" s="1">
        <v>4676.7299999999996</v>
      </c>
      <c r="AM37" s="13">
        <f t="shared" si="13"/>
        <v>11254.788</v>
      </c>
      <c r="AN37" s="9">
        <f t="shared" si="14"/>
        <v>4676.7280000000001</v>
      </c>
      <c r="AO37" s="9">
        <f t="shared" si="23"/>
        <v>0.41553230500654476</v>
      </c>
      <c r="AP37" s="1" t="s">
        <v>131</v>
      </c>
      <c r="AQ37" s="1" t="str">
        <f t="shared" si="15"/>
        <v>Pending</v>
      </c>
      <c r="AR37" s="1" t="str">
        <f t="shared" si="16"/>
        <v>OK</v>
      </c>
      <c r="AS37" s="1" t="s">
        <v>120</v>
      </c>
      <c r="AT37" s="3" t="str">
        <f t="shared" si="17"/>
        <v>Returned</v>
      </c>
      <c r="AU37" s="3" t="str">
        <f t="shared" si="18"/>
        <v>RETURNED_ORDER</v>
      </c>
      <c r="AV37" s="3" t="str">
        <f t="shared" si="24"/>
        <v>WARNING</v>
      </c>
      <c r="AW37" t="str">
        <f t="shared" si="25"/>
        <v>MATCH</v>
      </c>
      <c r="AX37" t="str">
        <f t="shared" si="26"/>
        <v>MATCH</v>
      </c>
    </row>
    <row r="38" spans="1:50" hidden="1">
      <c r="A38" s="1" t="s">
        <v>362</v>
      </c>
      <c r="B38" s="1">
        <f t="shared" si="0"/>
        <v>1</v>
      </c>
      <c r="C38" s="16">
        <v>45493</v>
      </c>
      <c r="D38" s="16">
        <v>45493</v>
      </c>
      <c r="E38" s="16" t="str">
        <f t="shared" si="19"/>
        <v>Jul</v>
      </c>
      <c r="F38" s="1">
        <f t="shared" si="20"/>
        <v>2024</v>
      </c>
      <c r="G38" t="s">
        <v>256</v>
      </c>
      <c r="H38" s="17">
        <v>45593</v>
      </c>
      <c r="I38" s="21">
        <f t="shared" si="21"/>
        <v>100</v>
      </c>
      <c r="J38" s="6" t="str">
        <f t="shared" si="22"/>
        <v>OK</v>
      </c>
      <c r="K38" s="1" t="s">
        <v>365</v>
      </c>
      <c r="L38" s="1" t="s">
        <v>136</v>
      </c>
      <c r="M38" s="1" t="str">
        <f t="shared" si="1"/>
        <v>Priya Menon</v>
      </c>
      <c r="N38" s="1" t="s">
        <v>104</v>
      </c>
      <c r="O38" s="1" t="str">
        <f t="shared" si="2"/>
        <v>Corporate</v>
      </c>
      <c r="P38" s="1" t="s">
        <v>41</v>
      </c>
      <c r="Q38" s="1" t="str">
        <f t="shared" si="3"/>
        <v>East</v>
      </c>
      <c r="R38" s="1" t="str">
        <f t="shared" si="4"/>
        <v>OK</v>
      </c>
      <c r="S38" s="1" t="s">
        <v>201</v>
      </c>
      <c r="T38" s="1" t="str">
        <f t="shared" si="5"/>
        <v>Assam</v>
      </c>
      <c r="U38" s="1" t="s">
        <v>202</v>
      </c>
      <c r="V38" s="1" t="str">
        <f t="shared" si="6"/>
        <v>Guwahati</v>
      </c>
      <c r="W38" s="1" t="s">
        <v>29</v>
      </c>
      <c r="X38" s="1" t="str">
        <f t="shared" si="7"/>
        <v>Office Supplies</v>
      </c>
      <c r="Y38" s="1" t="s">
        <v>105</v>
      </c>
      <c r="Z38" s="1" t="str">
        <f t="shared" si="8"/>
        <v>Labels</v>
      </c>
      <c r="AA38" s="1" t="s">
        <v>366</v>
      </c>
      <c r="AB38" s="1" t="s">
        <v>47</v>
      </c>
      <c r="AC38" s="1" t="str">
        <f t="shared" si="9"/>
        <v>Same Day</v>
      </c>
      <c r="AD38" s="1" t="str">
        <f t="shared" si="10"/>
        <v>OK</v>
      </c>
      <c r="AE38" s="1">
        <v>5</v>
      </c>
      <c r="AF38" s="1">
        <v>4133.8500000000004</v>
      </c>
      <c r="AG38" s="9">
        <v>0.2</v>
      </c>
      <c r="AH38" s="9">
        <f t="shared" si="11"/>
        <v>0.2</v>
      </c>
      <c r="AI38" s="1" t="str">
        <f t="shared" si="12"/>
        <v>OK</v>
      </c>
      <c r="AJ38" s="1">
        <v>16535.400000000001</v>
      </c>
      <c r="AK38" s="1">
        <v>12990.21</v>
      </c>
      <c r="AL38" s="1">
        <v>3545.19</v>
      </c>
      <c r="AM38" s="13">
        <f t="shared" si="13"/>
        <v>16535.400000000001</v>
      </c>
      <c r="AN38" s="9">
        <f t="shared" si="14"/>
        <v>3545.1900000000023</v>
      </c>
      <c r="AO38" s="9">
        <f t="shared" si="23"/>
        <v>0.21440001451431487</v>
      </c>
      <c r="AP38" s="1" t="s">
        <v>33</v>
      </c>
      <c r="AQ38" s="1" t="str">
        <f t="shared" si="15"/>
        <v>Paid</v>
      </c>
      <c r="AR38" s="1" t="str">
        <f t="shared" si="16"/>
        <v>OK</v>
      </c>
      <c r="AS38" s="1" t="s">
        <v>76</v>
      </c>
      <c r="AT38" s="3" t="str">
        <f t="shared" si="17"/>
        <v>Cancelled</v>
      </c>
      <c r="AU38" s="3" t="str">
        <f t="shared" si="18"/>
        <v>EXCLUDE_FROM_SALES</v>
      </c>
      <c r="AV38" s="3" t="str">
        <f t="shared" si="24"/>
        <v>CLEAN</v>
      </c>
      <c r="AW38" t="str">
        <f t="shared" si="25"/>
        <v>MATCH</v>
      </c>
      <c r="AX38" t="str">
        <f t="shared" si="26"/>
        <v>MATCH</v>
      </c>
    </row>
    <row r="39" spans="1:50" hidden="1">
      <c r="A39" s="1" t="s">
        <v>367</v>
      </c>
      <c r="B39" s="1">
        <f t="shared" si="0"/>
        <v>1</v>
      </c>
      <c r="C39" s="16">
        <v>45486</v>
      </c>
      <c r="D39" s="16">
        <v>45486</v>
      </c>
      <c r="E39" s="16" t="str">
        <f t="shared" si="19"/>
        <v>Jul</v>
      </c>
      <c r="F39" s="1">
        <f t="shared" si="20"/>
        <v>2024</v>
      </c>
      <c r="G39" t="s">
        <v>260</v>
      </c>
      <c r="H39" s="17">
        <v>45867</v>
      </c>
      <c r="I39" s="21">
        <f t="shared" si="21"/>
        <v>381</v>
      </c>
      <c r="J39" s="6" t="str">
        <f t="shared" si="22"/>
        <v>OK</v>
      </c>
      <c r="K39" s="1" t="s">
        <v>369</v>
      </c>
      <c r="L39" s="1" t="s">
        <v>70</v>
      </c>
      <c r="M39" s="1" t="str">
        <f t="shared" si="1"/>
        <v>Ananya Rao</v>
      </c>
      <c r="N39" s="1" t="s">
        <v>104</v>
      </c>
      <c r="O39" s="1" t="str">
        <f t="shared" si="2"/>
        <v>Corporate</v>
      </c>
      <c r="P39" s="1" t="s">
        <v>41</v>
      </c>
      <c r="Q39" s="1" t="str">
        <f t="shared" si="3"/>
        <v>East</v>
      </c>
      <c r="R39" s="1" t="str">
        <f t="shared" si="4"/>
        <v>OK</v>
      </c>
      <c r="S39" s="1" t="s">
        <v>201</v>
      </c>
      <c r="T39" s="1" t="str">
        <f t="shared" si="5"/>
        <v>Assam</v>
      </c>
      <c r="U39" s="1" t="s">
        <v>202</v>
      </c>
      <c r="V39" s="1" t="str">
        <f t="shared" si="6"/>
        <v>Guwahati</v>
      </c>
      <c r="W39" s="1" t="s">
        <v>29</v>
      </c>
      <c r="X39" s="1" t="str">
        <f t="shared" si="7"/>
        <v>Office Supplies</v>
      </c>
      <c r="Y39" s="1" t="s">
        <v>105</v>
      </c>
      <c r="Z39" s="1" t="str">
        <f t="shared" si="8"/>
        <v>Labels</v>
      </c>
      <c r="AA39" s="1" t="s">
        <v>370</v>
      </c>
      <c r="AB39" s="1" t="s">
        <v>47</v>
      </c>
      <c r="AC39" s="1" t="str">
        <f t="shared" si="9"/>
        <v>Same Day</v>
      </c>
      <c r="AD39" s="1" t="str">
        <f t="shared" si="10"/>
        <v>OK</v>
      </c>
      <c r="AE39" s="1">
        <v>3</v>
      </c>
      <c r="AF39" s="1">
        <v>275.76</v>
      </c>
      <c r="AG39" s="9">
        <v>0.2</v>
      </c>
      <c r="AH39" s="9">
        <f t="shared" si="11"/>
        <v>0.2</v>
      </c>
      <c r="AI39" s="1" t="str">
        <f t="shared" si="12"/>
        <v>OK</v>
      </c>
      <c r="AJ39" s="1">
        <v>661.82</v>
      </c>
      <c r="AK39" s="1">
        <v>481.47</v>
      </c>
      <c r="AL39" s="1">
        <v>180.35</v>
      </c>
      <c r="AM39" s="13">
        <f t="shared" si="13"/>
        <v>661.82400000000007</v>
      </c>
      <c r="AN39" s="9">
        <f t="shared" si="14"/>
        <v>180.35400000000004</v>
      </c>
      <c r="AO39" s="9">
        <f t="shared" si="23"/>
        <v>0.27251051639106472</v>
      </c>
      <c r="AP39" s="1" t="s">
        <v>119</v>
      </c>
      <c r="AQ39" s="1" t="str">
        <f t="shared" si="15"/>
        <v>Refunded</v>
      </c>
      <c r="AR39" s="1" t="str">
        <f t="shared" si="16"/>
        <v>REFUNDED_PAYMENT</v>
      </c>
      <c r="AS39" s="1" t="s">
        <v>76</v>
      </c>
      <c r="AT39" s="3" t="str">
        <f t="shared" si="17"/>
        <v>Cancelled</v>
      </c>
      <c r="AU39" s="3" t="str">
        <f t="shared" si="18"/>
        <v>EXCLUDE_FROM_SALES</v>
      </c>
      <c r="AV39" s="3" t="str">
        <f t="shared" si="24"/>
        <v>CLEAN</v>
      </c>
      <c r="AW39" t="str">
        <f t="shared" si="25"/>
        <v>MATCH</v>
      </c>
      <c r="AX39" t="str">
        <f t="shared" si="26"/>
        <v>MATCH</v>
      </c>
    </row>
    <row r="40" spans="1:50" hidden="1">
      <c r="A40" s="1" t="s">
        <v>371</v>
      </c>
      <c r="B40" s="1">
        <f t="shared" si="0"/>
        <v>1</v>
      </c>
      <c r="C40" s="16">
        <v>45398</v>
      </c>
      <c r="D40" s="16">
        <v>45398</v>
      </c>
      <c r="E40" s="16" t="str">
        <f t="shared" si="19"/>
        <v>Apr</v>
      </c>
      <c r="F40" s="1">
        <f t="shared" si="20"/>
        <v>2024</v>
      </c>
      <c r="G40" t="s">
        <v>265</v>
      </c>
      <c r="H40" s="17">
        <v>45465</v>
      </c>
      <c r="I40" s="21">
        <f t="shared" si="21"/>
        <v>67</v>
      </c>
      <c r="J40" s="6" t="str">
        <f t="shared" si="22"/>
        <v>OK</v>
      </c>
      <c r="K40" s="1" t="s">
        <v>373</v>
      </c>
      <c r="L40" s="1" t="s">
        <v>80</v>
      </c>
      <c r="M40" s="1" t="str">
        <f t="shared" si="1"/>
        <v>Vikram Iyer</v>
      </c>
      <c r="N40" s="1" t="s">
        <v>110</v>
      </c>
      <c r="O40" s="1" t="str">
        <f t="shared" si="2"/>
        <v>Home Office</v>
      </c>
      <c r="P40" s="1" t="s">
        <v>41</v>
      </c>
      <c r="Q40" s="1" t="str">
        <f t="shared" si="3"/>
        <v>East</v>
      </c>
      <c r="R40" s="1" t="str">
        <f t="shared" si="4"/>
        <v>OK</v>
      </c>
      <c r="S40" s="1" t="s">
        <v>174</v>
      </c>
      <c r="T40" s="1" t="str">
        <f t="shared" si="5"/>
        <v>Bihar</v>
      </c>
      <c r="U40" s="1" t="s">
        <v>175</v>
      </c>
      <c r="V40" s="1" t="str">
        <f t="shared" si="6"/>
        <v>Patna</v>
      </c>
      <c r="W40" s="1" t="s">
        <v>44</v>
      </c>
      <c r="X40" s="1" t="str">
        <f t="shared" si="7"/>
        <v>Furniture</v>
      </c>
      <c r="Y40" s="1" t="s">
        <v>190</v>
      </c>
      <c r="Z40" s="1" t="str">
        <f t="shared" si="8"/>
        <v>Bookcases</v>
      </c>
      <c r="AA40" s="1" t="s">
        <v>374</v>
      </c>
      <c r="AB40" s="1" t="s">
        <v>65</v>
      </c>
      <c r="AC40" s="1" t="str">
        <f t="shared" si="9"/>
        <v>Standard Class</v>
      </c>
      <c r="AD40" s="1" t="str">
        <f t="shared" si="10"/>
        <v>OK</v>
      </c>
      <c r="AE40" s="1">
        <v>1</v>
      </c>
      <c r="AF40" s="1">
        <v>949.59</v>
      </c>
      <c r="AG40" s="9">
        <v>0</v>
      </c>
      <c r="AH40" s="9">
        <f t="shared" si="11"/>
        <v>0</v>
      </c>
      <c r="AI40" s="1" t="str">
        <f t="shared" si="12"/>
        <v>OK</v>
      </c>
      <c r="AJ40" s="1">
        <v>949.59</v>
      </c>
      <c r="AK40" s="1">
        <v>751.25</v>
      </c>
      <c r="AL40" s="1">
        <v>198.34</v>
      </c>
      <c r="AM40" s="13">
        <f t="shared" si="13"/>
        <v>949.59</v>
      </c>
      <c r="AN40" s="9">
        <f t="shared" si="14"/>
        <v>198.34000000000003</v>
      </c>
      <c r="AO40" s="9">
        <f t="shared" si="23"/>
        <v>0.20886909087079689</v>
      </c>
      <c r="AP40" s="1" t="s">
        <v>33</v>
      </c>
      <c r="AQ40" s="1" t="str">
        <f t="shared" si="15"/>
        <v>Paid</v>
      </c>
      <c r="AR40" s="1" t="str">
        <f t="shared" si="16"/>
        <v>OK</v>
      </c>
      <c r="AS40" s="1" t="s">
        <v>34</v>
      </c>
      <c r="AT40" s="3" t="str">
        <f t="shared" si="17"/>
        <v>Completed</v>
      </c>
      <c r="AU40" s="3" t="str">
        <f t="shared" si="18"/>
        <v>OK</v>
      </c>
      <c r="AV40" s="3" t="str">
        <f t="shared" si="24"/>
        <v>CLEAN</v>
      </c>
      <c r="AW40" t="str">
        <f t="shared" si="25"/>
        <v>MATCH</v>
      </c>
      <c r="AX40" t="str">
        <f t="shared" si="26"/>
        <v>MATCH</v>
      </c>
    </row>
    <row r="41" spans="1:50" hidden="1">
      <c r="A41" s="1" t="s">
        <v>375</v>
      </c>
      <c r="B41" s="1">
        <f t="shared" si="0"/>
        <v>1</v>
      </c>
      <c r="C41" s="16">
        <v>45595</v>
      </c>
      <c r="D41" s="16">
        <v>45595</v>
      </c>
      <c r="E41" s="16" t="str">
        <f t="shared" si="19"/>
        <v>Oct</v>
      </c>
      <c r="F41" s="1">
        <f t="shared" si="20"/>
        <v>2024</v>
      </c>
      <c r="G41" t="s">
        <v>269</v>
      </c>
      <c r="H41" s="17">
        <v>45637</v>
      </c>
      <c r="I41" s="21">
        <f t="shared" si="21"/>
        <v>42</v>
      </c>
      <c r="J41" s="6" t="str">
        <f t="shared" si="22"/>
        <v>OK</v>
      </c>
      <c r="K41" s="1" t="s">
        <v>377</v>
      </c>
      <c r="L41" s="1" t="s">
        <v>158</v>
      </c>
      <c r="M41" s="1" t="str">
        <f t="shared" si="1"/>
        <v>Sneha Kapoor</v>
      </c>
      <c r="N41" s="1" t="s">
        <v>110</v>
      </c>
      <c r="O41" s="1" t="str">
        <f t="shared" si="2"/>
        <v>Home Office</v>
      </c>
      <c r="P41" s="1" t="s">
        <v>26</v>
      </c>
      <c r="Q41" s="1" t="str">
        <f t="shared" si="3"/>
        <v>North</v>
      </c>
      <c r="R41" s="1" t="str">
        <f t="shared" si="4"/>
        <v>OK</v>
      </c>
      <c r="S41" s="1" t="s">
        <v>27</v>
      </c>
      <c r="T41" s="1" t="str">
        <f t="shared" si="5"/>
        <v>Rajasthan</v>
      </c>
      <c r="U41" s="1" t="s">
        <v>28</v>
      </c>
      <c r="V41" s="1" t="str">
        <f t="shared" si="6"/>
        <v>Jaipur</v>
      </c>
      <c r="W41" s="1" t="s">
        <v>83</v>
      </c>
      <c r="X41" s="1" t="str">
        <f t="shared" si="7"/>
        <v>Technology</v>
      </c>
      <c r="Y41" s="1" t="s">
        <v>207</v>
      </c>
      <c r="Z41" s="1" t="str">
        <f t="shared" si="8"/>
        <v>Phones</v>
      </c>
      <c r="AA41" s="1" t="s">
        <v>378</v>
      </c>
      <c r="AB41" s="1" t="s">
        <v>65</v>
      </c>
      <c r="AC41" s="1" t="str">
        <f t="shared" si="9"/>
        <v>Standard Class</v>
      </c>
      <c r="AD41" s="1" t="str">
        <f t="shared" si="10"/>
        <v>OK</v>
      </c>
      <c r="AE41" s="1">
        <v>9</v>
      </c>
      <c r="AF41" s="1">
        <v>3042.29</v>
      </c>
      <c r="AG41" s="9">
        <v>0.2</v>
      </c>
      <c r="AH41" s="9">
        <f t="shared" si="11"/>
        <v>0.2</v>
      </c>
      <c r="AI41" s="1" t="str">
        <f t="shared" si="12"/>
        <v>OK</v>
      </c>
      <c r="AJ41" s="1">
        <v>21904.49</v>
      </c>
      <c r="AK41" s="1">
        <v>13570.55</v>
      </c>
      <c r="AL41" s="1">
        <v>8333.94</v>
      </c>
      <c r="AM41" s="13">
        <f t="shared" si="13"/>
        <v>21904.488000000001</v>
      </c>
      <c r="AN41" s="9">
        <f t="shared" si="14"/>
        <v>8333.9380000000019</v>
      </c>
      <c r="AO41" s="9">
        <f t="shared" si="23"/>
        <v>0.38046714445003244</v>
      </c>
      <c r="AP41" s="1" t="s">
        <v>33</v>
      </c>
      <c r="AQ41" s="1" t="str">
        <f t="shared" si="15"/>
        <v>Paid</v>
      </c>
      <c r="AR41" s="1" t="str">
        <f t="shared" si="16"/>
        <v>OK</v>
      </c>
      <c r="AS41" s="1" t="s">
        <v>34</v>
      </c>
      <c r="AT41" s="3" t="str">
        <f t="shared" si="17"/>
        <v>Completed</v>
      </c>
      <c r="AU41" s="3" t="str">
        <f t="shared" si="18"/>
        <v>OK</v>
      </c>
      <c r="AV41" s="3" t="str">
        <f t="shared" si="24"/>
        <v>CLEAN</v>
      </c>
      <c r="AW41" t="str">
        <f t="shared" si="25"/>
        <v>MATCH</v>
      </c>
      <c r="AX41" t="str">
        <f t="shared" si="26"/>
        <v>MATCH</v>
      </c>
    </row>
    <row r="42" spans="1:50" hidden="1">
      <c r="A42" s="1" t="s">
        <v>379</v>
      </c>
      <c r="B42" s="1">
        <f t="shared" si="0"/>
        <v>1</v>
      </c>
      <c r="C42" s="16">
        <v>45316</v>
      </c>
      <c r="D42" s="16">
        <v>45316</v>
      </c>
      <c r="E42" s="16" t="str">
        <f t="shared" si="19"/>
        <v>Jan</v>
      </c>
      <c r="F42" s="1">
        <f t="shared" si="20"/>
        <v>2024</v>
      </c>
      <c r="G42" t="s">
        <v>273</v>
      </c>
      <c r="H42" s="17">
        <v>45581</v>
      </c>
      <c r="I42" s="21">
        <f t="shared" si="21"/>
        <v>265</v>
      </c>
      <c r="J42" s="6" t="str">
        <f t="shared" si="22"/>
        <v>OK</v>
      </c>
      <c r="K42" s="1" t="s">
        <v>381</v>
      </c>
      <c r="L42" s="1" t="s">
        <v>158</v>
      </c>
      <c r="M42" s="1" t="str">
        <f t="shared" si="1"/>
        <v>Sneha Kapoor</v>
      </c>
      <c r="N42" s="1" t="s">
        <v>110</v>
      </c>
      <c r="O42" s="1" t="str">
        <f t="shared" si="2"/>
        <v>Home Office</v>
      </c>
      <c r="P42" s="1" t="s">
        <v>26</v>
      </c>
      <c r="Q42" s="1" t="str">
        <f t="shared" si="3"/>
        <v>North</v>
      </c>
      <c r="R42" s="1" t="str">
        <f t="shared" si="4"/>
        <v>OK</v>
      </c>
      <c r="S42" s="1" t="s">
        <v>294</v>
      </c>
      <c r="T42" s="1" t="str">
        <f t="shared" si="5"/>
        <v>Haryana</v>
      </c>
      <c r="U42" s="1" t="s">
        <v>295</v>
      </c>
      <c r="V42" s="1" t="str">
        <f t="shared" si="6"/>
        <v>Gurugram</v>
      </c>
      <c r="W42" s="1" t="s">
        <v>29</v>
      </c>
      <c r="X42" s="1" t="str">
        <f t="shared" si="7"/>
        <v>Office Supplies</v>
      </c>
      <c r="Y42" s="1" t="s">
        <v>184</v>
      </c>
      <c r="Z42" s="1" t="str">
        <f t="shared" si="8"/>
        <v>Binders</v>
      </c>
      <c r="AA42" s="1" t="s">
        <v>382</v>
      </c>
      <c r="AB42" s="1" t="s">
        <v>47</v>
      </c>
      <c r="AC42" s="1" t="str">
        <f t="shared" si="9"/>
        <v>Same Day</v>
      </c>
      <c r="AD42" s="1" t="str">
        <f t="shared" si="10"/>
        <v>OK</v>
      </c>
      <c r="AE42" s="1">
        <v>2</v>
      </c>
      <c r="AF42" s="1">
        <v>2832.77</v>
      </c>
      <c r="AG42" s="9">
        <v>0.15</v>
      </c>
      <c r="AH42" s="9">
        <f t="shared" si="11"/>
        <v>0.15</v>
      </c>
      <c r="AI42" s="1" t="str">
        <f t="shared" si="12"/>
        <v>OK</v>
      </c>
      <c r="AJ42" s="1">
        <v>4815.71</v>
      </c>
      <c r="AK42" s="1">
        <v>3027.75</v>
      </c>
      <c r="AL42" s="1">
        <v>1917.47</v>
      </c>
      <c r="AM42" s="13">
        <f t="shared" si="13"/>
        <v>4815.7089999999998</v>
      </c>
      <c r="AN42" s="9">
        <f t="shared" si="14"/>
        <v>1787.9589999999998</v>
      </c>
      <c r="AO42" s="9">
        <f t="shared" si="23"/>
        <v>0.37127637903369992</v>
      </c>
      <c r="AP42" s="1" t="s">
        <v>33</v>
      </c>
      <c r="AQ42" s="1" t="str">
        <f t="shared" si="15"/>
        <v>Paid</v>
      </c>
      <c r="AR42" s="1" t="str">
        <f t="shared" si="16"/>
        <v>OK</v>
      </c>
      <c r="AS42" s="1" t="s">
        <v>34</v>
      </c>
      <c r="AT42" s="3" t="str">
        <f t="shared" si="17"/>
        <v>Completed</v>
      </c>
      <c r="AU42" s="3" t="str">
        <f t="shared" si="18"/>
        <v>OK</v>
      </c>
      <c r="AV42" s="3" t="str">
        <f t="shared" si="24"/>
        <v>CLEAN</v>
      </c>
      <c r="AW42" t="str">
        <f t="shared" si="25"/>
        <v>MATCH</v>
      </c>
      <c r="AX42" t="str">
        <f t="shared" si="26"/>
        <v>MISMATCH</v>
      </c>
    </row>
    <row r="43" spans="1:50">
      <c r="A43" s="1" t="s">
        <v>383</v>
      </c>
      <c r="B43" s="1">
        <f t="shared" si="0"/>
        <v>1</v>
      </c>
      <c r="C43" s="16">
        <v>45649</v>
      </c>
      <c r="D43" s="16">
        <v>45649</v>
      </c>
      <c r="E43" s="16" t="str">
        <f t="shared" si="19"/>
        <v>Dec</v>
      </c>
      <c r="F43" s="1">
        <f t="shared" si="20"/>
        <v>2024</v>
      </c>
      <c r="G43" t="s">
        <v>277</v>
      </c>
      <c r="H43" s="17">
        <v>45368</v>
      </c>
      <c r="I43" s="21">
        <f t="shared" si="21"/>
        <v>-281</v>
      </c>
      <c r="J43" s="6" t="str">
        <f t="shared" si="22"/>
        <v>INVALID_SHIPPING</v>
      </c>
      <c r="K43" s="1" t="s">
        <v>385</v>
      </c>
      <c r="L43" s="1" t="s">
        <v>153</v>
      </c>
      <c r="M43" s="1" t="str">
        <f t="shared" si="1"/>
        <v>Aarav Sharma</v>
      </c>
      <c r="N43" s="1" t="s">
        <v>104</v>
      </c>
      <c r="O43" s="1" t="str">
        <f t="shared" si="2"/>
        <v>Corporate</v>
      </c>
      <c r="P43" s="1" t="s">
        <v>41</v>
      </c>
      <c r="Q43" s="1" t="str">
        <f t="shared" si="3"/>
        <v>East</v>
      </c>
      <c r="R43" s="1" t="str">
        <f t="shared" si="4"/>
        <v>OK</v>
      </c>
      <c r="S43" s="1" t="s">
        <v>284</v>
      </c>
      <c r="T43" s="1" t="str">
        <f t="shared" si="5"/>
        <v>Jharkhand</v>
      </c>
      <c r="U43" s="1" t="s">
        <v>285</v>
      </c>
      <c r="V43" s="1" t="str">
        <f t="shared" si="6"/>
        <v>Ranchi</v>
      </c>
      <c r="W43" s="1" t="s">
        <v>29</v>
      </c>
      <c r="X43" s="1" t="str">
        <f t="shared" si="7"/>
        <v>Office Supplies</v>
      </c>
      <c r="Y43" s="1" t="s">
        <v>30</v>
      </c>
      <c r="Z43" s="1" t="str">
        <f t="shared" si="8"/>
        <v>Paper</v>
      </c>
      <c r="AA43" s="1" t="s">
        <v>386</v>
      </c>
      <c r="AB43" s="1" t="s">
        <v>55</v>
      </c>
      <c r="AC43" s="1" t="str">
        <f t="shared" si="9"/>
        <v>First Class</v>
      </c>
      <c r="AD43" s="1" t="str">
        <f t="shared" si="10"/>
        <v>OK</v>
      </c>
      <c r="AE43" s="1">
        <v>7</v>
      </c>
      <c r="AF43" s="1">
        <v>447.84</v>
      </c>
      <c r="AG43" s="9">
        <v>0</v>
      </c>
      <c r="AH43" s="9">
        <f t="shared" si="11"/>
        <v>0</v>
      </c>
      <c r="AI43" s="1" t="str">
        <f t="shared" si="12"/>
        <v>OK</v>
      </c>
      <c r="AJ43" s="1">
        <v>3134.88</v>
      </c>
      <c r="AK43" s="1">
        <v>2367.63</v>
      </c>
      <c r="AL43" s="1">
        <v>767.25</v>
      </c>
      <c r="AM43" s="13">
        <f t="shared" si="13"/>
        <v>3134.8799999999997</v>
      </c>
      <c r="AN43" s="9">
        <f t="shared" si="14"/>
        <v>767.24999999999955</v>
      </c>
      <c r="AO43" s="9">
        <f t="shared" si="23"/>
        <v>0.24474621038125849</v>
      </c>
      <c r="AP43" s="1" t="s">
        <v>119</v>
      </c>
      <c r="AQ43" s="1" t="str">
        <f t="shared" si="15"/>
        <v>Refunded</v>
      </c>
      <c r="AR43" s="1" t="str">
        <f t="shared" si="16"/>
        <v>REFUNDED_PAYMENT</v>
      </c>
      <c r="AS43" s="1" t="s">
        <v>120</v>
      </c>
      <c r="AT43" s="3" t="str">
        <f t="shared" si="17"/>
        <v>Returned</v>
      </c>
      <c r="AU43" s="3" t="str">
        <f t="shared" si="18"/>
        <v>RETURNED_ORDER</v>
      </c>
      <c r="AV43" s="3" t="str">
        <f t="shared" si="24"/>
        <v>INVALID</v>
      </c>
      <c r="AW43" t="str">
        <f t="shared" si="25"/>
        <v>MATCH</v>
      </c>
      <c r="AX43" t="str">
        <f t="shared" si="26"/>
        <v>MATCH</v>
      </c>
    </row>
    <row r="44" spans="1:50" hidden="1">
      <c r="A44" s="1" t="s">
        <v>387</v>
      </c>
      <c r="B44" s="1">
        <f t="shared" si="0"/>
        <v>1</v>
      </c>
      <c r="C44" s="16">
        <v>45404</v>
      </c>
      <c r="D44" s="16">
        <v>45404</v>
      </c>
      <c r="E44" s="16" t="str">
        <f t="shared" si="19"/>
        <v>Apr</v>
      </c>
      <c r="F44" s="1">
        <f t="shared" si="20"/>
        <v>2024</v>
      </c>
      <c r="G44" t="s">
        <v>282</v>
      </c>
      <c r="H44" s="17">
        <v>45945</v>
      </c>
      <c r="I44" s="21">
        <f t="shared" si="21"/>
        <v>541</v>
      </c>
      <c r="J44" s="6" t="str">
        <f t="shared" si="22"/>
        <v>OK</v>
      </c>
      <c r="K44" s="1" t="s">
        <v>389</v>
      </c>
      <c r="L44" s="1" t="s">
        <v>39</v>
      </c>
      <c r="M44" s="1" t="str">
        <f t="shared" si="1"/>
        <v>Mira Das</v>
      </c>
      <c r="N44" s="1" t="s">
        <v>110</v>
      </c>
      <c r="O44" s="1" t="str">
        <f t="shared" si="2"/>
        <v>Home Office</v>
      </c>
      <c r="P44" s="1" t="s">
        <v>71</v>
      </c>
      <c r="Q44" s="1" t="str">
        <f t="shared" si="3"/>
        <v>West</v>
      </c>
      <c r="R44" s="1" t="str">
        <f t="shared" si="4"/>
        <v>OK</v>
      </c>
      <c r="S44" s="1" t="s">
        <v>72</v>
      </c>
      <c r="T44" s="1" t="str">
        <f t="shared" si="5"/>
        <v>Maharashtra</v>
      </c>
      <c r="U44" s="1" t="s">
        <v>73</v>
      </c>
      <c r="V44" s="1" t="str">
        <f t="shared" si="6"/>
        <v>Mumbai</v>
      </c>
      <c r="W44" s="1" t="s">
        <v>29</v>
      </c>
      <c r="X44" s="1" t="str">
        <f t="shared" si="7"/>
        <v>Office Supplies</v>
      </c>
      <c r="Y44" s="1" t="s">
        <v>30</v>
      </c>
      <c r="Z44" s="1" t="str">
        <f t="shared" si="8"/>
        <v>Paper</v>
      </c>
      <c r="AA44" s="1" t="s">
        <v>390</v>
      </c>
      <c r="AB44" s="1" t="s">
        <v>32</v>
      </c>
      <c r="AC44" s="1" t="str">
        <f t="shared" si="9"/>
        <v>Second Class</v>
      </c>
      <c r="AD44" s="1" t="str">
        <f t="shared" si="10"/>
        <v>OK</v>
      </c>
      <c r="AE44" s="1">
        <v>1</v>
      </c>
      <c r="AF44" s="1">
        <v>4280.1899999999996</v>
      </c>
      <c r="AG44" s="9">
        <v>0.05</v>
      </c>
      <c r="AH44" s="9">
        <f t="shared" si="11"/>
        <v>0.05</v>
      </c>
      <c r="AI44" s="1" t="str">
        <f t="shared" si="12"/>
        <v>OK</v>
      </c>
      <c r="AJ44" s="1">
        <v>4066.18</v>
      </c>
      <c r="AK44" s="1">
        <v>2628.92</v>
      </c>
      <c r="AL44" s="1">
        <v>1437.26</v>
      </c>
      <c r="AM44" s="13">
        <f t="shared" si="13"/>
        <v>4066.1804999999995</v>
      </c>
      <c r="AN44" s="9">
        <f t="shared" si="14"/>
        <v>1437.2604999999994</v>
      </c>
      <c r="AO44" s="9">
        <f t="shared" si="23"/>
        <v>0.35346696980126674</v>
      </c>
      <c r="AP44" s="1" t="s">
        <v>33</v>
      </c>
      <c r="AQ44" s="1" t="str">
        <f t="shared" si="15"/>
        <v>Paid</v>
      </c>
      <c r="AR44" s="1" t="str">
        <f t="shared" si="16"/>
        <v>OK</v>
      </c>
      <c r="AS44" s="1" t="s">
        <v>34</v>
      </c>
      <c r="AT44" s="3" t="str">
        <f t="shared" si="17"/>
        <v>Completed</v>
      </c>
      <c r="AU44" s="3" t="str">
        <f t="shared" si="18"/>
        <v>OK</v>
      </c>
      <c r="AV44" s="3" t="str">
        <f t="shared" si="24"/>
        <v>CLEAN</v>
      </c>
      <c r="AW44" t="str">
        <f t="shared" si="25"/>
        <v>MATCH</v>
      </c>
      <c r="AX44" t="str">
        <f t="shared" si="26"/>
        <v>MATCH</v>
      </c>
    </row>
    <row r="45" spans="1:50">
      <c r="A45" s="1" t="s">
        <v>401</v>
      </c>
      <c r="B45" s="1">
        <f t="shared" si="0"/>
        <v>1</v>
      </c>
      <c r="C45" s="16">
        <v>45576</v>
      </c>
      <c r="D45" s="16">
        <v>45576</v>
      </c>
      <c r="E45" s="16" t="str">
        <f t="shared" si="19"/>
        <v>Oct</v>
      </c>
      <c r="F45" s="1">
        <f t="shared" si="20"/>
        <v>2024</v>
      </c>
      <c r="G45" t="s">
        <v>288</v>
      </c>
      <c r="H45" s="17">
        <v>45487</v>
      </c>
      <c r="I45" s="21">
        <f t="shared" si="21"/>
        <v>-89</v>
      </c>
      <c r="J45" s="6" t="str">
        <f t="shared" si="22"/>
        <v>INVALID_SHIPPING</v>
      </c>
      <c r="K45" s="1" t="s">
        <v>403</v>
      </c>
      <c r="L45" s="1" t="s">
        <v>52</v>
      </c>
      <c r="M45" s="1" t="str">
        <f t="shared" si="1"/>
        <v>Isha Nair</v>
      </c>
      <c r="N45" s="1" t="s">
        <v>104</v>
      </c>
      <c r="O45" s="1" t="str">
        <f t="shared" si="2"/>
        <v>Corporate</v>
      </c>
      <c r="P45" s="1" t="s">
        <v>41</v>
      </c>
      <c r="Q45" s="1" t="str">
        <f t="shared" si="3"/>
        <v>East</v>
      </c>
      <c r="R45" s="1" t="str">
        <f t="shared" si="4"/>
        <v>OK</v>
      </c>
      <c r="S45" s="1" t="s">
        <v>284</v>
      </c>
      <c r="T45" s="1" t="str">
        <f t="shared" si="5"/>
        <v>Jharkhand</v>
      </c>
      <c r="U45" s="1" t="s">
        <v>285</v>
      </c>
      <c r="V45" s="1" t="str">
        <f t="shared" si="6"/>
        <v>Ranchi</v>
      </c>
      <c r="W45" s="1" t="s">
        <v>29</v>
      </c>
      <c r="X45" s="1" t="str">
        <f t="shared" si="7"/>
        <v>Office Supplies</v>
      </c>
      <c r="Y45" s="1" t="s">
        <v>148</v>
      </c>
      <c r="Z45" s="1" t="str">
        <f t="shared" si="8"/>
        <v>Storage</v>
      </c>
      <c r="AA45" s="1" t="s">
        <v>404</v>
      </c>
      <c r="AB45" s="1" t="s">
        <v>32</v>
      </c>
      <c r="AC45" s="1" t="str">
        <f t="shared" si="9"/>
        <v>Second Class</v>
      </c>
      <c r="AD45" s="1" t="str">
        <f t="shared" si="10"/>
        <v>OK</v>
      </c>
      <c r="AE45" s="1">
        <v>9</v>
      </c>
      <c r="AF45" s="1">
        <v>2211.12</v>
      </c>
      <c r="AG45" s="9">
        <v>0</v>
      </c>
      <c r="AH45" s="9">
        <f t="shared" si="11"/>
        <v>0</v>
      </c>
      <c r="AI45" s="1" t="str">
        <f t="shared" si="12"/>
        <v>OK</v>
      </c>
      <c r="AJ45" s="1">
        <v>19900.080000000002</v>
      </c>
      <c r="AK45" s="1">
        <v>10962.66</v>
      </c>
      <c r="AL45" s="1">
        <v>8937.42</v>
      </c>
      <c r="AM45" s="13">
        <f t="shared" si="13"/>
        <v>19900.079999999998</v>
      </c>
      <c r="AN45" s="9">
        <f t="shared" si="14"/>
        <v>8937.4199999999983</v>
      </c>
      <c r="AO45" s="9">
        <f t="shared" si="23"/>
        <v>0.44911477742803041</v>
      </c>
      <c r="AP45" s="1" t="s">
        <v>186</v>
      </c>
      <c r="AQ45" s="1" t="str">
        <f t="shared" si="15"/>
        <v>Failed</v>
      </c>
      <c r="AR45" s="1" t="str">
        <f t="shared" si="16"/>
        <v>EXCLUDE_FROM_SALES</v>
      </c>
      <c r="AS45" s="1" t="s">
        <v>120</v>
      </c>
      <c r="AT45" s="3" t="str">
        <f t="shared" si="17"/>
        <v>Returned</v>
      </c>
      <c r="AU45" s="3" t="str">
        <f t="shared" si="18"/>
        <v>RETURNED_ORDER</v>
      </c>
      <c r="AV45" s="3" t="str">
        <f t="shared" si="24"/>
        <v>INVALID</v>
      </c>
      <c r="AW45" t="str">
        <f t="shared" si="25"/>
        <v>MATCH</v>
      </c>
      <c r="AX45" t="str">
        <f t="shared" si="26"/>
        <v>MATCH</v>
      </c>
    </row>
    <row r="46" spans="1:50">
      <c r="A46" s="1" t="s">
        <v>405</v>
      </c>
      <c r="B46" s="1">
        <f t="shared" si="0"/>
        <v>1</v>
      </c>
      <c r="C46" s="16">
        <v>45539</v>
      </c>
      <c r="D46" s="16">
        <v>45539</v>
      </c>
      <c r="E46" s="16" t="str">
        <f t="shared" si="19"/>
        <v>Sep</v>
      </c>
      <c r="F46" s="1">
        <f t="shared" si="20"/>
        <v>2024</v>
      </c>
      <c r="G46" t="s">
        <v>292</v>
      </c>
      <c r="H46" s="17">
        <v>45468</v>
      </c>
      <c r="I46" s="21">
        <f t="shared" si="21"/>
        <v>-71</v>
      </c>
      <c r="J46" s="6" t="str">
        <f t="shared" si="22"/>
        <v>INVALID_SHIPPING</v>
      </c>
      <c r="K46" s="1" t="s">
        <v>407</v>
      </c>
      <c r="L46" s="1" t="s">
        <v>90</v>
      </c>
      <c r="M46" s="1" t="str">
        <f t="shared" si="1"/>
        <v>Neha Gupta</v>
      </c>
      <c r="N46" s="1" t="s">
        <v>40</v>
      </c>
      <c r="O46" s="1" t="str">
        <f t="shared" si="2"/>
        <v>Small Business</v>
      </c>
      <c r="P46" s="1" t="s">
        <v>71</v>
      </c>
      <c r="Q46" s="1" t="str">
        <f t="shared" si="3"/>
        <v>West</v>
      </c>
      <c r="R46" s="1" t="str">
        <f t="shared" si="4"/>
        <v>OK</v>
      </c>
      <c r="S46" s="1" t="s">
        <v>218</v>
      </c>
      <c r="T46" s="1" t="str">
        <f t="shared" si="5"/>
        <v>Gujarat</v>
      </c>
      <c r="U46" s="1" t="s">
        <v>219</v>
      </c>
      <c r="V46" s="1" t="str">
        <f t="shared" si="6"/>
        <v>Ahmedabad</v>
      </c>
      <c r="W46" s="1" t="s">
        <v>83</v>
      </c>
      <c r="X46" s="1" t="str">
        <f t="shared" si="7"/>
        <v>Technology</v>
      </c>
      <c r="Y46" s="1" t="s">
        <v>347</v>
      </c>
      <c r="Z46" s="1" t="str">
        <f t="shared" si="8"/>
        <v>Machines</v>
      </c>
      <c r="AA46" s="1" t="s">
        <v>408</v>
      </c>
      <c r="AB46" s="1" t="s">
        <v>47</v>
      </c>
      <c r="AC46" s="1" t="str">
        <f t="shared" si="9"/>
        <v>Same Day</v>
      </c>
      <c r="AD46" s="1" t="str">
        <f t="shared" si="10"/>
        <v>OK</v>
      </c>
      <c r="AE46" s="1">
        <v>7</v>
      </c>
      <c r="AF46" s="1">
        <v>3417.09</v>
      </c>
      <c r="AG46" s="9">
        <v>0.1</v>
      </c>
      <c r="AH46" s="9">
        <f t="shared" si="11"/>
        <v>0.1</v>
      </c>
      <c r="AI46" s="1" t="str">
        <f t="shared" si="12"/>
        <v>OK</v>
      </c>
      <c r="AJ46" s="1">
        <v>21527.67</v>
      </c>
      <c r="AK46" s="1">
        <v>18287.580000000002</v>
      </c>
      <c r="AL46" s="1">
        <v>3240.09</v>
      </c>
      <c r="AM46" s="13">
        <f t="shared" si="13"/>
        <v>21527.667000000001</v>
      </c>
      <c r="AN46" s="9">
        <f t="shared" si="14"/>
        <v>3240.0869999999995</v>
      </c>
      <c r="AO46" s="9">
        <f t="shared" si="23"/>
        <v>0.15050804158202555</v>
      </c>
      <c r="AP46" s="1" t="s">
        <v>119</v>
      </c>
      <c r="AQ46" s="1" t="str">
        <f t="shared" si="15"/>
        <v>Refunded</v>
      </c>
      <c r="AR46" s="1" t="str">
        <f t="shared" si="16"/>
        <v>REFUNDED_PAYMENT</v>
      </c>
      <c r="AS46" s="1" t="s">
        <v>120</v>
      </c>
      <c r="AT46" s="3" t="str">
        <f t="shared" si="17"/>
        <v>Returned</v>
      </c>
      <c r="AU46" s="3" t="str">
        <f t="shared" si="18"/>
        <v>RETURNED_ORDER</v>
      </c>
      <c r="AV46" s="3" t="str">
        <f t="shared" si="24"/>
        <v>INVALID</v>
      </c>
      <c r="AW46" t="str">
        <f t="shared" si="25"/>
        <v>MATCH</v>
      </c>
      <c r="AX46" t="str">
        <f t="shared" si="26"/>
        <v>MATCH</v>
      </c>
    </row>
    <row r="47" spans="1:50">
      <c r="A47" s="1" t="s">
        <v>417</v>
      </c>
      <c r="B47" s="1">
        <f t="shared" si="0"/>
        <v>1</v>
      </c>
      <c r="C47" s="16">
        <v>45598</v>
      </c>
      <c r="D47" s="16">
        <v>45598</v>
      </c>
      <c r="E47" s="16" t="str">
        <f t="shared" si="19"/>
        <v>Nov</v>
      </c>
      <c r="F47" s="1">
        <f t="shared" si="20"/>
        <v>2024</v>
      </c>
      <c r="G47" t="s">
        <v>299</v>
      </c>
      <c r="H47" s="17">
        <v>45315</v>
      </c>
      <c r="I47" s="21">
        <f t="shared" si="21"/>
        <v>-283</v>
      </c>
      <c r="J47" s="6" t="str">
        <f t="shared" si="22"/>
        <v>INVALID_SHIPPING</v>
      </c>
      <c r="K47" s="1" t="s">
        <v>419</v>
      </c>
      <c r="L47" s="1" t="s">
        <v>24</v>
      </c>
      <c r="M47" s="1" t="str">
        <f t="shared" si="1"/>
        <v>Karan Malhotra</v>
      </c>
      <c r="N47" s="1" t="s">
        <v>110</v>
      </c>
      <c r="O47" s="1" t="str">
        <f t="shared" si="2"/>
        <v>Home Office</v>
      </c>
      <c r="P47" s="1" t="s">
        <v>60</v>
      </c>
      <c r="Q47" s="1" t="str">
        <f t="shared" si="3"/>
        <v>South</v>
      </c>
      <c r="R47" s="1" t="str">
        <f t="shared" si="4"/>
        <v>OK</v>
      </c>
      <c r="S47" s="1" t="s">
        <v>309</v>
      </c>
      <c r="T47" s="1" t="str">
        <f t="shared" si="5"/>
        <v>Tamil Nadu</v>
      </c>
      <c r="U47" s="1" t="s">
        <v>310</v>
      </c>
      <c r="V47" s="1" t="str">
        <f t="shared" si="6"/>
        <v>Chennai</v>
      </c>
      <c r="W47" s="1" t="s">
        <v>44</v>
      </c>
      <c r="X47" s="1" t="str">
        <f t="shared" si="7"/>
        <v>Furniture</v>
      </c>
      <c r="Y47" s="1" t="s">
        <v>45</v>
      </c>
      <c r="Z47" s="1" t="str">
        <f t="shared" si="8"/>
        <v>Tables</v>
      </c>
      <c r="AA47" s="1" t="s">
        <v>420</v>
      </c>
      <c r="AB47" s="1" t="s">
        <v>55</v>
      </c>
      <c r="AC47" s="1" t="str">
        <f t="shared" si="9"/>
        <v>First Class</v>
      </c>
      <c r="AD47" s="1" t="str">
        <f t="shared" si="10"/>
        <v>OK</v>
      </c>
      <c r="AE47" s="1">
        <v>7</v>
      </c>
      <c r="AF47" s="1">
        <v>2287.4699999999998</v>
      </c>
      <c r="AG47" s="9">
        <v>0.15</v>
      </c>
      <c r="AH47" s="9">
        <f t="shared" si="11"/>
        <v>0.15</v>
      </c>
      <c r="AI47" s="1" t="str">
        <f t="shared" si="12"/>
        <v>OK</v>
      </c>
      <c r="AJ47" s="1">
        <v>13610.45</v>
      </c>
      <c r="AK47" s="1">
        <v>10039.049999999999</v>
      </c>
      <c r="AL47" s="1">
        <v>3571.4</v>
      </c>
      <c r="AM47" s="13">
        <f t="shared" si="13"/>
        <v>13610.446499999998</v>
      </c>
      <c r="AN47" s="9">
        <f t="shared" si="14"/>
        <v>3571.3964999999989</v>
      </c>
      <c r="AO47" s="9">
        <f t="shared" si="23"/>
        <v>0.26240112695788487</v>
      </c>
      <c r="AP47" s="1" t="s">
        <v>33</v>
      </c>
      <c r="AQ47" s="1" t="str">
        <f t="shared" si="15"/>
        <v>Paid</v>
      </c>
      <c r="AR47" s="1" t="str">
        <f t="shared" si="16"/>
        <v>OK</v>
      </c>
      <c r="AS47" s="1" t="s">
        <v>34</v>
      </c>
      <c r="AT47" s="3" t="str">
        <f t="shared" si="17"/>
        <v>Completed</v>
      </c>
      <c r="AU47" s="3" t="str">
        <f t="shared" si="18"/>
        <v>OK</v>
      </c>
      <c r="AV47" s="3" t="str">
        <f t="shared" si="24"/>
        <v>INVALID</v>
      </c>
      <c r="AW47" t="str">
        <f t="shared" si="25"/>
        <v>MATCH</v>
      </c>
      <c r="AX47" t="str">
        <f t="shared" si="26"/>
        <v>MATCH</v>
      </c>
    </row>
    <row r="48" spans="1:50" hidden="1">
      <c r="A48" s="1" t="s">
        <v>433</v>
      </c>
      <c r="B48" s="1">
        <f t="shared" si="0"/>
        <v>1</v>
      </c>
      <c r="C48" s="16">
        <v>45362</v>
      </c>
      <c r="D48" s="16">
        <v>45362</v>
      </c>
      <c r="E48" s="16" t="str">
        <f t="shared" si="19"/>
        <v>Mar</v>
      </c>
      <c r="F48" s="1">
        <f t="shared" si="20"/>
        <v>2024</v>
      </c>
      <c r="G48" t="s">
        <v>303</v>
      </c>
      <c r="H48" s="17">
        <v>45492</v>
      </c>
      <c r="I48" s="21">
        <f t="shared" si="21"/>
        <v>130</v>
      </c>
      <c r="J48" s="6" t="str">
        <f t="shared" si="22"/>
        <v>OK</v>
      </c>
      <c r="K48" s="1" t="s">
        <v>436</v>
      </c>
      <c r="L48" s="1" t="s">
        <v>70</v>
      </c>
      <c r="M48" s="1" t="str">
        <f t="shared" si="1"/>
        <v>Ananya Rao</v>
      </c>
      <c r="N48" s="1" t="s">
        <v>104</v>
      </c>
      <c r="O48" s="1" t="str">
        <f t="shared" si="2"/>
        <v>Corporate</v>
      </c>
      <c r="P48" s="1" t="s">
        <v>41</v>
      </c>
      <c r="Q48" s="1" t="str">
        <f t="shared" si="3"/>
        <v>East</v>
      </c>
      <c r="R48" s="1" t="str">
        <f t="shared" si="4"/>
        <v>OK</v>
      </c>
      <c r="S48" s="1" t="s">
        <v>284</v>
      </c>
      <c r="T48" s="1" t="str">
        <f t="shared" si="5"/>
        <v>Jharkhand</v>
      </c>
      <c r="U48" s="1" t="s">
        <v>285</v>
      </c>
      <c r="V48" s="1" t="str">
        <f t="shared" si="6"/>
        <v>Ranchi</v>
      </c>
      <c r="W48" s="1" t="s">
        <v>29</v>
      </c>
      <c r="X48" s="1" t="str">
        <f t="shared" si="7"/>
        <v>Office Supplies</v>
      </c>
      <c r="Y48" s="1" t="s">
        <v>105</v>
      </c>
      <c r="Z48" s="1" t="str">
        <f t="shared" si="8"/>
        <v>Labels</v>
      </c>
      <c r="AA48" s="1" t="s">
        <v>437</v>
      </c>
      <c r="AB48" s="1" t="s">
        <v>32</v>
      </c>
      <c r="AC48" s="1" t="str">
        <f t="shared" si="9"/>
        <v>Second Class</v>
      </c>
      <c r="AD48" s="1" t="str">
        <f t="shared" si="10"/>
        <v>OK</v>
      </c>
      <c r="AE48" s="1">
        <v>3</v>
      </c>
      <c r="AF48" s="1">
        <v>3406.27</v>
      </c>
      <c r="AG48" s="9">
        <v>0</v>
      </c>
      <c r="AH48" s="9">
        <f t="shared" si="11"/>
        <v>0</v>
      </c>
      <c r="AI48" s="1" t="str">
        <f t="shared" si="12"/>
        <v>OK</v>
      </c>
      <c r="AJ48" s="1">
        <v>10218.81</v>
      </c>
      <c r="AK48" s="1">
        <v>7616.97</v>
      </c>
      <c r="AL48" s="1">
        <v>2601.84</v>
      </c>
      <c r="AM48" s="13">
        <f t="shared" si="13"/>
        <v>10218.81</v>
      </c>
      <c r="AN48" s="9">
        <f t="shared" si="14"/>
        <v>2601.8399999999992</v>
      </c>
      <c r="AO48" s="9">
        <f t="shared" si="23"/>
        <v>0.2546128169522674</v>
      </c>
      <c r="AP48" s="1" t="s">
        <v>33</v>
      </c>
      <c r="AQ48" s="1" t="str">
        <f t="shared" si="15"/>
        <v>Paid</v>
      </c>
      <c r="AR48" s="1" t="str">
        <f t="shared" si="16"/>
        <v>OK</v>
      </c>
      <c r="AS48" s="1" t="s">
        <v>34</v>
      </c>
      <c r="AT48" s="3" t="str">
        <f t="shared" si="17"/>
        <v>Completed</v>
      </c>
      <c r="AU48" s="3" t="str">
        <f t="shared" si="18"/>
        <v>OK</v>
      </c>
      <c r="AV48" s="3" t="str">
        <f t="shared" si="24"/>
        <v>CLEAN</v>
      </c>
      <c r="AW48" t="str">
        <f t="shared" si="25"/>
        <v>MATCH</v>
      </c>
      <c r="AX48" t="str">
        <f t="shared" si="26"/>
        <v>MATCH</v>
      </c>
    </row>
    <row r="49" spans="1:50">
      <c r="A49" s="1" t="s">
        <v>451</v>
      </c>
      <c r="B49" s="1">
        <f t="shared" si="0"/>
        <v>1</v>
      </c>
      <c r="C49" s="16">
        <v>45573</v>
      </c>
      <c r="D49" s="16">
        <v>45573</v>
      </c>
      <c r="E49" s="16" t="str">
        <f t="shared" si="19"/>
        <v>Oct</v>
      </c>
      <c r="F49" s="1">
        <f t="shared" si="20"/>
        <v>2024</v>
      </c>
      <c r="G49" t="s">
        <v>307</v>
      </c>
      <c r="H49" s="17">
        <v>45516</v>
      </c>
      <c r="I49" s="21">
        <f t="shared" si="21"/>
        <v>-57</v>
      </c>
      <c r="J49" s="6" t="str">
        <f t="shared" si="22"/>
        <v>INVALID_SHIPPING</v>
      </c>
      <c r="K49" s="1" t="s">
        <v>453</v>
      </c>
      <c r="L49" s="1" t="s">
        <v>153</v>
      </c>
      <c r="M49" s="1" t="str">
        <f t="shared" si="1"/>
        <v>Aarav Sharma</v>
      </c>
      <c r="N49" s="1" t="s">
        <v>40</v>
      </c>
      <c r="O49" s="1" t="str">
        <f t="shared" si="2"/>
        <v>Small Business</v>
      </c>
      <c r="P49" s="1" t="s">
        <v>26</v>
      </c>
      <c r="Q49" s="1" t="str">
        <f t="shared" si="3"/>
        <v>North</v>
      </c>
      <c r="R49" s="1" t="str">
        <f t="shared" si="4"/>
        <v>OK</v>
      </c>
      <c r="S49" s="1" t="s">
        <v>454</v>
      </c>
      <c r="T49" s="1" t="str">
        <f t="shared" si="5"/>
        <v>Delhi</v>
      </c>
      <c r="U49" s="1" t="s">
        <v>455</v>
      </c>
      <c r="V49" s="1" t="str">
        <f t="shared" si="6"/>
        <v>New Delhi</v>
      </c>
      <c r="W49" s="1" t="s">
        <v>29</v>
      </c>
      <c r="X49" s="1" t="str">
        <f t="shared" si="7"/>
        <v>Office Supplies</v>
      </c>
      <c r="Y49" s="1" t="s">
        <v>148</v>
      </c>
      <c r="Z49" s="1" t="str">
        <f t="shared" si="8"/>
        <v>Storage</v>
      </c>
      <c r="AA49" s="1" t="s">
        <v>456</v>
      </c>
      <c r="AB49" s="1" t="s">
        <v>32</v>
      </c>
      <c r="AC49" s="1" t="str">
        <f t="shared" si="9"/>
        <v>Second Class</v>
      </c>
      <c r="AD49" s="1" t="str">
        <f t="shared" si="10"/>
        <v>OK</v>
      </c>
      <c r="AE49" s="1">
        <v>4</v>
      </c>
      <c r="AF49" s="1">
        <v>1182.32</v>
      </c>
      <c r="AG49" s="9">
        <v>0.1</v>
      </c>
      <c r="AH49" s="9">
        <f t="shared" si="11"/>
        <v>0.1</v>
      </c>
      <c r="AI49" s="1" t="str">
        <f t="shared" si="12"/>
        <v>OK</v>
      </c>
      <c r="AJ49" s="1">
        <v>4256.3500000000004</v>
      </c>
      <c r="AK49" s="1">
        <v>2495.33</v>
      </c>
      <c r="AL49" s="1">
        <v>1761.02</v>
      </c>
      <c r="AM49" s="13">
        <f t="shared" si="13"/>
        <v>4256.3519999999999</v>
      </c>
      <c r="AN49" s="9">
        <f t="shared" si="14"/>
        <v>1761.0219999999999</v>
      </c>
      <c r="AO49" s="9">
        <f t="shared" si="23"/>
        <v>0.41373974708858663</v>
      </c>
      <c r="AP49" s="1" t="s">
        <v>131</v>
      </c>
      <c r="AQ49" s="1" t="str">
        <f t="shared" si="15"/>
        <v>Pending</v>
      </c>
      <c r="AR49" s="1" t="str">
        <f t="shared" si="16"/>
        <v>OK</v>
      </c>
      <c r="AS49" s="1" t="s">
        <v>120</v>
      </c>
      <c r="AT49" s="3" t="str">
        <f t="shared" si="17"/>
        <v>Returned</v>
      </c>
      <c r="AU49" s="3" t="str">
        <f t="shared" si="18"/>
        <v>RETURNED_ORDER</v>
      </c>
      <c r="AV49" s="3" t="str">
        <f t="shared" si="24"/>
        <v>INVALID</v>
      </c>
      <c r="AW49" t="str">
        <f t="shared" si="25"/>
        <v>MATCH</v>
      </c>
      <c r="AX49" t="str">
        <f t="shared" si="26"/>
        <v>MATCH</v>
      </c>
    </row>
    <row r="50" spans="1:50" hidden="1">
      <c r="A50" s="1" t="s">
        <v>461</v>
      </c>
      <c r="B50" s="1">
        <f t="shared" si="0"/>
        <v>1</v>
      </c>
      <c r="C50" s="16">
        <v>45359</v>
      </c>
      <c r="D50" s="16">
        <v>45359</v>
      </c>
      <c r="E50" s="16" t="str">
        <f t="shared" si="19"/>
        <v>Mar</v>
      </c>
      <c r="F50" s="1">
        <f t="shared" si="20"/>
        <v>2024</v>
      </c>
      <c r="G50" t="s">
        <v>314</v>
      </c>
      <c r="H50" s="17">
        <v>45693</v>
      </c>
      <c r="I50" s="21">
        <f t="shared" si="21"/>
        <v>334</v>
      </c>
      <c r="J50" s="6" t="str">
        <f t="shared" si="22"/>
        <v>OK</v>
      </c>
      <c r="K50" s="1" t="s">
        <v>464</v>
      </c>
      <c r="L50" s="1" t="s">
        <v>59</v>
      </c>
      <c r="M50" s="1" t="str">
        <f t="shared" si="1"/>
        <v>Arjun Bose</v>
      </c>
      <c r="N50" s="1" t="s">
        <v>25</v>
      </c>
      <c r="O50" s="1" t="str">
        <f t="shared" si="2"/>
        <v>Consumer</v>
      </c>
      <c r="P50" s="1" t="s">
        <v>26</v>
      </c>
      <c r="Q50" s="1" t="str">
        <f t="shared" si="3"/>
        <v>North</v>
      </c>
      <c r="R50" s="1" t="str">
        <f t="shared" si="4"/>
        <v>OK</v>
      </c>
      <c r="S50" s="1" t="s">
        <v>163</v>
      </c>
      <c r="T50" s="1" t="str">
        <f t="shared" si="5"/>
        <v>Uttar Pradesh</v>
      </c>
      <c r="U50" s="1" t="s">
        <v>164</v>
      </c>
      <c r="V50" s="1" t="str">
        <f t="shared" si="6"/>
        <v>Noida</v>
      </c>
      <c r="W50" s="1" t="s">
        <v>83</v>
      </c>
      <c r="X50" s="1" t="str">
        <f t="shared" si="7"/>
        <v>Technology</v>
      </c>
      <c r="Y50" s="1" t="s">
        <v>91</v>
      </c>
      <c r="Z50" s="1" t="str">
        <f t="shared" si="8"/>
        <v>Copiers</v>
      </c>
      <c r="AA50" s="1" t="s">
        <v>465</v>
      </c>
      <c r="AB50" s="1" t="s">
        <v>32</v>
      </c>
      <c r="AC50" s="1" t="str">
        <f t="shared" si="9"/>
        <v>Second Class</v>
      </c>
      <c r="AD50" s="1" t="str">
        <f t="shared" si="10"/>
        <v>OK</v>
      </c>
      <c r="AE50" s="1">
        <v>6</v>
      </c>
      <c r="AF50" s="1">
        <v>1001.73</v>
      </c>
      <c r="AG50" s="9">
        <v>0</v>
      </c>
      <c r="AH50" s="9">
        <f t="shared" si="11"/>
        <v>0</v>
      </c>
      <c r="AI50" s="1" t="str">
        <f t="shared" si="12"/>
        <v>OK</v>
      </c>
      <c r="AJ50" s="1">
        <v>6010.38</v>
      </c>
      <c r="AK50" s="1">
        <v>3762.85</v>
      </c>
      <c r="AL50" s="1">
        <v>2247.5300000000002</v>
      </c>
      <c r="AM50" s="13">
        <f t="shared" si="13"/>
        <v>6010.38</v>
      </c>
      <c r="AN50" s="9">
        <f t="shared" si="14"/>
        <v>2247.5300000000002</v>
      </c>
      <c r="AO50" s="9">
        <f t="shared" si="23"/>
        <v>0.37394141468592673</v>
      </c>
      <c r="AP50" s="1" t="s">
        <v>186</v>
      </c>
      <c r="AQ50" s="1" t="str">
        <f t="shared" si="15"/>
        <v>Failed</v>
      </c>
      <c r="AR50" s="1" t="str">
        <f t="shared" si="16"/>
        <v>EXCLUDE_FROM_SALES</v>
      </c>
      <c r="AS50" s="1" t="s">
        <v>120</v>
      </c>
      <c r="AT50" s="3" t="str">
        <f t="shared" si="17"/>
        <v>Returned</v>
      </c>
      <c r="AU50" s="3" t="str">
        <f t="shared" si="18"/>
        <v>RETURNED_ORDER</v>
      </c>
      <c r="AV50" s="3" t="str">
        <f t="shared" si="24"/>
        <v>CLEAN</v>
      </c>
      <c r="AW50" t="str">
        <f t="shared" si="25"/>
        <v>MATCH</v>
      </c>
      <c r="AX50" t="str">
        <f t="shared" si="26"/>
        <v>MATCH</v>
      </c>
    </row>
    <row r="51" spans="1:50">
      <c r="A51" s="1" t="s">
        <v>466</v>
      </c>
      <c r="B51" s="1">
        <f t="shared" si="0"/>
        <v>1</v>
      </c>
      <c r="C51" s="16">
        <v>45591</v>
      </c>
      <c r="D51" s="16">
        <v>45591</v>
      </c>
      <c r="E51" s="16" t="str">
        <f t="shared" si="19"/>
        <v>Oct</v>
      </c>
      <c r="F51" s="1">
        <f t="shared" si="20"/>
        <v>2024</v>
      </c>
      <c r="G51" t="s">
        <v>319</v>
      </c>
      <c r="H51" s="17">
        <v>45395</v>
      </c>
      <c r="I51" s="21">
        <f t="shared" si="21"/>
        <v>-196</v>
      </c>
      <c r="J51" s="6" t="str">
        <f t="shared" si="22"/>
        <v>INVALID_SHIPPING</v>
      </c>
      <c r="K51" s="1" t="s">
        <v>468</v>
      </c>
      <c r="L51" s="1" t="s">
        <v>103</v>
      </c>
      <c r="M51" s="1" t="str">
        <f t="shared" si="1"/>
        <v>Aditi Sen</v>
      </c>
      <c r="N51" s="1" t="s">
        <v>110</v>
      </c>
      <c r="O51" s="1" t="str">
        <f t="shared" si="2"/>
        <v>Home Office</v>
      </c>
      <c r="P51" s="1" t="s">
        <v>71</v>
      </c>
      <c r="Q51" s="1" t="str">
        <f t="shared" si="3"/>
        <v>West</v>
      </c>
      <c r="R51" s="1" t="str">
        <f t="shared" si="4"/>
        <v>OK</v>
      </c>
      <c r="S51" s="1" t="s">
        <v>72</v>
      </c>
      <c r="T51" s="1" t="str">
        <f t="shared" si="5"/>
        <v>Maharashtra</v>
      </c>
      <c r="U51" s="1" t="s">
        <v>73</v>
      </c>
      <c r="V51" s="1" t="str">
        <f t="shared" si="6"/>
        <v>Mumbai</v>
      </c>
      <c r="W51" s="1" t="s">
        <v>44</v>
      </c>
      <c r="X51" s="1" t="str">
        <f t="shared" si="7"/>
        <v>Furniture</v>
      </c>
      <c r="Y51" s="1" t="s">
        <v>45</v>
      </c>
      <c r="Z51" s="1" t="str">
        <f t="shared" si="8"/>
        <v>Tables</v>
      </c>
      <c r="AA51" s="1" t="s">
        <v>469</v>
      </c>
      <c r="AB51" s="1" t="s">
        <v>32</v>
      </c>
      <c r="AC51" s="1" t="str">
        <f t="shared" si="9"/>
        <v>Second Class</v>
      </c>
      <c r="AD51" s="1" t="str">
        <f t="shared" si="10"/>
        <v>OK</v>
      </c>
      <c r="AE51" s="1">
        <v>9</v>
      </c>
      <c r="AF51" s="1">
        <v>131.74</v>
      </c>
      <c r="AG51" s="9">
        <v>0.2</v>
      </c>
      <c r="AH51" s="9">
        <f t="shared" si="11"/>
        <v>0.2</v>
      </c>
      <c r="AI51" s="1" t="str">
        <f t="shared" si="12"/>
        <v>OK</v>
      </c>
      <c r="AJ51" s="1">
        <v>948.53</v>
      </c>
      <c r="AK51" s="1">
        <v>674.62</v>
      </c>
      <c r="AL51" s="1">
        <v>273.91000000000003</v>
      </c>
      <c r="AM51" s="13">
        <f t="shared" si="13"/>
        <v>948.52800000000013</v>
      </c>
      <c r="AN51" s="9">
        <f t="shared" si="14"/>
        <v>273.90800000000013</v>
      </c>
      <c r="AO51" s="9">
        <f t="shared" si="23"/>
        <v>0.28877165460587362</v>
      </c>
      <c r="AP51" s="1" t="s">
        <v>33</v>
      </c>
      <c r="AQ51" s="1" t="str">
        <f t="shared" si="15"/>
        <v>Paid</v>
      </c>
      <c r="AR51" s="1" t="str">
        <f t="shared" si="16"/>
        <v>OK</v>
      </c>
      <c r="AS51" s="1" t="s">
        <v>34</v>
      </c>
      <c r="AT51" s="3" t="str">
        <f t="shared" si="17"/>
        <v>Completed</v>
      </c>
      <c r="AU51" s="3" t="str">
        <f t="shared" si="18"/>
        <v>OK</v>
      </c>
      <c r="AV51" s="3" t="str">
        <f t="shared" si="24"/>
        <v>INVALID</v>
      </c>
      <c r="AW51" t="str">
        <f t="shared" si="25"/>
        <v>MATCH</v>
      </c>
      <c r="AX51" t="str">
        <f t="shared" si="26"/>
        <v>MATCH</v>
      </c>
    </row>
    <row r="52" spans="1:50" hidden="1">
      <c r="A52" s="1" t="s">
        <v>470</v>
      </c>
      <c r="B52" s="1">
        <f t="shared" si="0"/>
        <v>1</v>
      </c>
      <c r="C52" s="16">
        <v>45301</v>
      </c>
      <c r="D52" s="16">
        <v>45301</v>
      </c>
      <c r="E52" s="16" t="str">
        <f t="shared" si="19"/>
        <v>Jan</v>
      </c>
      <c r="F52" s="1">
        <f t="shared" si="20"/>
        <v>2024</v>
      </c>
      <c r="G52" t="s">
        <v>323</v>
      </c>
      <c r="H52" s="17">
        <v>45796</v>
      </c>
      <c r="I52" s="21">
        <f t="shared" si="21"/>
        <v>495</v>
      </c>
      <c r="J52" s="6" t="str">
        <f t="shared" si="22"/>
        <v>OK</v>
      </c>
      <c r="K52" s="1" t="s">
        <v>472</v>
      </c>
      <c r="L52" s="1" t="s">
        <v>169</v>
      </c>
      <c r="M52" s="1" t="str">
        <f t="shared" si="1"/>
        <v>Rohan Mehta</v>
      </c>
      <c r="N52" s="1" t="s">
        <v>104</v>
      </c>
      <c r="O52" s="1" t="str">
        <f t="shared" si="2"/>
        <v>Corporate</v>
      </c>
      <c r="P52" s="1" t="s">
        <v>60</v>
      </c>
      <c r="Q52" s="1" t="str">
        <f t="shared" si="3"/>
        <v>South</v>
      </c>
      <c r="R52" s="1" t="str">
        <f t="shared" si="4"/>
        <v>OK</v>
      </c>
      <c r="S52" s="1" t="s">
        <v>309</v>
      </c>
      <c r="T52" s="1" t="str">
        <f t="shared" si="5"/>
        <v>Tamil Nadu</v>
      </c>
      <c r="U52" s="1" t="s">
        <v>310</v>
      </c>
      <c r="V52" s="1" t="str">
        <f t="shared" si="6"/>
        <v>Chennai</v>
      </c>
      <c r="W52" s="1" t="s">
        <v>83</v>
      </c>
      <c r="X52" s="1" t="str">
        <f t="shared" si="7"/>
        <v>Technology</v>
      </c>
      <c r="Y52" s="1" t="s">
        <v>207</v>
      </c>
      <c r="Z52" s="1" t="str">
        <f t="shared" si="8"/>
        <v>Phones</v>
      </c>
      <c r="AA52" s="1" t="s">
        <v>473</v>
      </c>
      <c r="AB52" s="1" t="s">
        <v>32</v>
      </c>
      <c r="AC52" s="1" t="str">
        <f t="shared" si="9"/>
        <v>Second Class</v>
      </c>
      <c r="AD52" s="1" t="str">
        <f t="shared" si="10"/>
        <v>OK</v>
      </c>
      <c r="AE52" s="1">
        <v>6</v>
      </c>
      <c r="AF52" s="1">
        <v>570.28</v>
      </c>
      <c r="AG52" s="9">
        <v>0.2</v>
      </c>
      <c r="AH52" s="9">
        <f t="shared" si="11"/>
        <v>0.2</v>
      </c>
      <c r="AI52" s="1" t="str">
        <f t="shared" si="12"/>
        <v>OK</v>
      </c>
      <c r="AJ52" s="1">
        <v>2737.34</v>
      </c>
      <c r="AK52" s="1">
        <v>2085.44</v>
      </c>
      <c r="AL52" s="1">
        <v>651.9</v>
      </c>
      <c r="AM52" s="13">
        <f t="shared" si="13"/>
        <v>2737.3440000000001</v>
      </c>
      <c r="AN52" s="9">
        <f t="shared" si="14"/>
        <v>651.904</v>
      </c>
      <c r="AO52" s="9">
        <f t="shared" si="23"/>
        <v>0.23815201889130486</v>
      </c>
      <c r="AP52" s="1" t="s">
        <v>33</v>
      </c>
      <c r="AQ52" s="1" t="str">
        <f t="shared" si="15"/>
        <v>Paid</v>
      </c>
      <c r="AR52" s="1" t="str">
        <f t="shared" si="16"/>
        <v>OK</v>
      </c>
      <c r="AS52" s="1" t="s">
        <v>34</v>
      </c>
      <c r="AT52" s="3" t="str">
        <f t="shared" si="17"/>
        <v>Completed</v>
      </c>
      <c r="AU52" s="3" t="str">
        <f t="shared" si="18"/>
        <v>OK</v>
      </c>
      <c r="AV52" s="3" t="str">
        <f t="shared" si="24"/>
        <v>CLEAN</v>
      </c>
      <c r="AW52" t="str">
        <f t="shared" si="25"/>
        <v>MATCH</v>
      </c>
      <c r="AX52" t="str">
        <f t="shared" si="26"/>
        <v>MATCH</v>
      </c>
    </row>
    <row r="53" spans="1:50">
      <c r="A53" s="1" t="s">
        <v>474</v>
      </c>
      <c r="B53" s="1">
        <f t="shared" si="0"/>
        <v>1</v>
      </c>
      <c r="C53" s="16">
        <v>45503</v>
      </c>
      <c r="D53" s="16">
        <v>45503</v>
      </c>
      <c r="E53" s="16" t="str">
        <f t="shared" si="19"/>
        <v>Jul</v>
      </c>
      <c r="F53" s="1">
        <f t="shared" si="20"/>
        <v>2024</v>
      </c>
      <c r="G53" t="s">
        <v>328</v>
      </c>
      <c r="H53" s="17">
        <v>45411</v>
      </c>
      <c r="I53" s="21">
        <f t="shared" si="21"/>
        <v>-92</v>
      </c>
      <c r="J53" s="6" t="str">
        <f t="shared" si="22"/>
        <v>INVALID_SHIPPING</v>
      </c>
      <c r="K53" s="1" t="s">
        <v>477</v>
      </c>
      <c r="L53" s="1" t="s">
        <v>334</v>
      </c>
      <c r="M53" s="1" t="str">
        <f t="shared" si="1"/>
        <v>Kabir Singh</v>
      </c>
      <c r="N53" s="1" t="s">
        <v>104</v>
      </c>
      <c r="O53" s="1" t="str">
        <f t="shared" si="2"/>
        <v>Corporate</v>
      </c>
      <c r="P53" s="1" t="s">
        <v>26</v>
      </c>
      <c r="Q53" s="1" t="str">
        <f t="shared" si="3"/>
        <v>North</v>
      </c>
      <c r="R53" s="1" t="str">
        <f t="shared" si="4"/>
        <v>OK</v>
      </c>
      <c r="S53" s="1" t="s">
        <v>454</v>
      </c>
      <c r="T53" s="1" t="str">
        <f t="shared" si="5"/>
        <v>Delhi</v>
      </c>
      <c r="U53" s="1" t="s">
        <v>455</v>
      </c>
      <c r="V53" s="1" t="str">
        <f t="shared" si="6"/>
        <v>New Delhi</v>
      </c>
      <c r="W53" s="1" t="s">
        <v>29</v>
      </c>
      <c r="X53" s="1" t="str">
        <f t="shared" si="7"/>
        <v>Office Supplies</v>
      </c>
      <c r="Y53" s="1" t="s">
        <v>184</v>
      </c>
      <c r="Z53" s="1" t="str">
        <f t="shared" si="8"/>
        <v>Binders</v>
      </c>
      <c r="AA53" s="1" t="s">
        <v>478</v>
      </c>
      <c r="AB53" s="1" t="s">
        <v>65</v>
      </c>
      <c r="AC53" s="1" t="str">
        <f t="shared" si="9"/>
        <v>Standard Class</v>
      </c>
      <c r="AD53" s="1" t="str">
        <f t="shared" si="10"/>
        <v>OK</v>
      </c>
      <c r="AE53" s="1">
        <v>1</v>
      </c>
      <c r="AF53" s="1">
        <v>608.64</v>
      </c>
      <c r="AG53" s="9">
        <v>0</v>
      </c>
      <c r="AH53" s="9">
        <f t="shared" si="11"/>
        <v>0</v>
      </c>
      <c r="AI53" s="1" t="str">
        <f t="shared" si="12"/>
        <v>OK</v>
      </c>
      <c r="AJ53" s="1">
        <v>608.64</v>
      </c>
      <c r="AK53" s="1">
        <v>343.99</v>
      </c>
      <c r="AL53" s="1">
        <v>264.64999999999998</v>
      </c>
      <c r="AM53" s="13">
        <f t="shared" si="13"/>
        <v>608.64</v>
      </c>
      <c r="AN53" s="9">
        <f t="shared" si="14"/>
        <v>264.64999999999998</v>
      </c>
      <c r="AO53" s="9">
        <f t="shared" si="23"/>
        <v>0.43482189800210302</v>
      </c>
      <c r="AP53" s="1" t="s">
        <v>33</v>
      </c>
      <c r="AQ53" s="1" t="str">
        <f t="shared" si="15"/>
        <v>Paid</v>
      </c>
      <c r="AR53" s="1" t="str">
        <f t="shared" si="16"/>
        <v>OK</v>
      </c>
      <c r="AS53" s="1" t="s">
        <v>76</v>
      </c>
      <c r="AT53" s="3" t="str">
        <f t="shared" si="17"/>
        <v>Cancelled</v>
      </c>
      <c r="AU53" s="3" t="str">
        <f t="shared" si="18"/>
        <v>EXCLUDE_FROM_SALES</v>
      </c>
      <c r="AV53" s="3" t="str">
        <f t="shared" si="24"/>
        <v>INVALID</v>
      </c>
      <c r="AW53" t="str">
        <f t="shared" si="25"/>
        <v>MATCH</v>
      </c>
      <c r="AX53" t="str">
        <f t="shared" si="26"/>
        <v>MATCH</v>
      </c>
    </row>
    <row r="54" spans="1:50" hidden="1">
      <c r="A54" s="1" t="s">
        <v>479</v>
      </c>
      <c r="B54" s="1">
        <f t="shared" si="0"/>
        <v>1</v>
      </c>
      <c r="C54" s="16">
        <v>45298</v>
      </c>
      <c r="D54" s="16">
        <v>45298</v>
      </c>
      <c r="E54" s="16" t="str">
        <f t="shared" si="19"/>
        <v>Jan</v>
      </c>
      <c r="F54" s="1">
        <f t="shared" si="20"/>
        <v>2024</v>
      </c>
      <c r="G54" t="s">
        <v>332</v>
      </c>
      <c r="H54" s="17">
        <v>45593</v>
      </c>
      <c r="I54" s="21">
        <f t="shared" si="21"/>
        <v>295</v>
      </c>
      <c r="J54" s="6" t="str">
        <f t="shared" si="22"/>
        <v>OK</v>
      </c>
      <c r="K54" s="1" t="s">
        <v>481</v>
      </c>
      <c r="L54" s="1" t="s">
        <v>70</v>
      </c>
      <c r="M54" s="1" t="str">
        <f t="shared" si="1"/>
        <v>Ananya Rao</v>
      </c>
      <c r="N54" s="1" t="s">
        <v>40</v>
      </c>
      <c r="O54" s="1" t="str">
        <f t="shared" si="2"/>
        <v>Small Business</v>
      </c>
      <c r="P54" s="1" t="s">
        <v>26</v>
      </c>
      <c r="Q54" s="1" t="str">
        <f t="shared" si="3"/>
        <v>North</v>
      </c>
      <c r="R54" s="1" t="str">
        <f t="shared" si="4"/>
        <v>OK</v>
      </c>
      <c r="S54" s="1" t="s">
        <v>454</v>
      </c>
      <c r="T54" s="1" t="str">
        <f t="shared" si="5"/>
        <v>Delhi</v>
      </c>
      <c r="U54" s="1" t="s">
        <v>455</v>
      </c>
      <c r="V54" s="1" t="str">
        <f t="shared" si="6"/>
        <v>New Delhi</v>
      </c>
      <c r="W54" s="1" t="s">
        <v>83</v>
      </c>
      <c r="X54" s="1" t="str">
        <f t="shared" si="7"/>
        <v>Technology</v>
      </c>
      <c r="Y54" s="1" t="s">
        <v>91</v>
      </c>
      <c r="Z54" s="1" t="str">
        <f t="shared" si="8"/>
        <v>Copiers</v>
      </c>
      <c r="AA54" s="1" t="s">
        <v>482</v>
      </c>
      <c r="AB54" s="1" t="s">
        <v>32</v>
      </c>
      <c r="AC54" s="1" t="str">
        <f t="shared" si="9"/>
        <v>Second Class</v>
      </c>
      <c r="AD54" s="1" t="str">
        <f t="shared" si="10"/>
        <v>OK</v>
      </c>
      <c r="AE54" s="1">
        <v>3</v>
      </c>
      <c r="AF54" s="1">
        <v>885.28</v>
      </c>
      <c r="AG54" s="9">
        <v>0.1</v>
      </c>
      <c r="AH54" s="9">
        <f t="shared" si="11"/>
        <v>0.1</v>
      </c>
      <c r="AI54" s="1" t="str">
        <f t="shared" si="12"/>
        <v>OK</v>
      </c>
      <c r="AJ54" s="1">
        <v>2390.2600000000002</v>
      </c>
      <c r="AK54" s="1">
        <v>1495.94</v>
      </c>
      <c r="AL54" s="1">
        <v>894.32</v>
      </c>
      <c r="AM54" s="13">
        <f t="shared" si="13"/>
        <v>2390.2560000000003</v>
      </c>
      <c r="AN54" s="9">
        <f t="shared" si="14"/>
        <v>894.31600000000026</v>
      </c>
      <c r="AO54" s="9">
        <f t="shared" si="23"/>
        <v>0.37415071858411825</v>
      </c>
      <c r="AP54" s="1" t="s">
        <v>119</v>
      </c>
      <c r="AQ54" s="1" t="str">
        <f t="shared" si="15"/>
        <v>Refunded</v>
      </c>
      <c r="AR54" s="1" t="str">
        <f t="shared" si="16"/>
        <v>REFUNDED_PAYMENT</v>
      </c>
      <c r="AS54" s="1" t="s">
        <v>76</v>
      </c>
      <c r="AT54" s="3" t="str">
        <f t="shared" si="17"/>
        <v>Cancelled</v>
      </c>
      <c r="AU54" s="3" t="str">
        <f t="shared" si="18"/>
        <v>EXCLUDE_FROM_SALES</v>
      </c>
      <c r="AV54" s="3" t="str">
        <f t="shared" si="24"/>
        <v>CLEAN</v>
      </c>
      <c r="AW54" t="str">
        <f t="shared" si="25"/>
        <v>MATCH</v>
      </c>
      <c r="AX54" t="str">
        <f t="shared" si="26"/>
        <v>MATCH</v>
      </c>
    </row>
    <row r="55" spans="1:50" hidden="1">
      <c r="A55" s="1" t="s">
        <v>483</v>
      </c>
      <c r="B55" s="1">
        <f t="shared" si="0"/>
        <v>1</v>
      </c>
      <c r="C55" s="16">
        <v>45506</v>
      </c>
      <c r="D55" s="16">
        <v>45506</v>
      </c>
      <c r="E55" s="16" t="str">
        <f t="shared" si="19"/>
        <v>Aug</v>
      </c>
      <c r="F55" s="1">
        <f t="shared" si="20"/>
        <v>2024</v>
      </c>
      <c r="G55" t="s">
        <v>337</v>
      </c>
      <c r="H55" s="17">
        <v>45747</v>
      </c>
      <c r="I55" s="21">
        <f t="shared" si="21"/>
        <v>241</v>
      </c>
      <c r="J55" s="6" t="str">
        <f t="shared" si="22"/>
        <v>OK</v>
      </c>
      <c r="K55" s="1" t="s">
        <v>485</v>
      </c>
      <c r="L55" s="1" t="s">
        <v>80</v>
      </c>
      <c r="M55" s="1" t="str">
        <f t="shared" si="1"/>
        <v>Vikram Iyer</v>
      </c>
      <c r="N55" s="1" t="s">
        <v>25</v>
      </c>
      <c r="O55" s="1" t="str">
        <f t="shared" si="2"/>
        <v>Consumer</v>
      </c>
      <c r="P55" s="1" t="s">
        <v>41</v>
      </c>
      <c r="Q55" s="1" t="str">
        <f t="shared" si="3"/>
        <v>East</v>
      </c>
      <c r="R55" s="1" t="str">
        <f t="shared" si="4"/>
        <v>OK</v>
      </c>
      <c r="S55" s="1" t="s">
        <v>201</v>
      </c>
      <c r="T55" s="1" t="str">
        <f t="shared" si="5"/>
        <v>Assam</v>
      </c>
      <c r="U55" s="1" t="s">
        <v>202</v>
      </c>
      <c r="V55" s="1" t="str">
        <f t="shared" si="6"/>
        <v>Guwahati</v>
      </c>
      <c r="W55" s="1" t="s">
        <v>29</v>
      </c>
      <c r="X55" s="1" t="str">
        <f t="shared" si="7"/>
        <v>Office Supplies</v>
      </c>
      <c r="Y55" s="1" t="s">
        <v>184</v>
      </c>
      <c r="Z55" s="1" t="str">
        <f t="shared" si="8"/>
        <v>Binders</v>
      </c>
      <c r="AA55" s="1" t="s">
        <v>486</v>
      </c>
      <c r="AB55" s="1" t="s">
        <v>65</v>
      </c>
      <c r="AC55" s="1" t="str">
        <f t="shared" si="9"/>
        <v>Standard Class</v>
      </c>
      <c r="AD55" s="1" t="str">
        <f t="shared" si="10"/>
        <v>OK</v>
      </c>
      <c r="AE55" s="1">
        <v>7</v>
      </c>
      <c r="AF55" s="1">
        <v>3345.22</v>
      </c>
      <c r="AG55" s="9">
        <v>0</v>
      </c>
      <c r="AH55" s="9">
        <f t="shared" si="11"/>
        <v>0</v>
      </c>
      <c r="AI55" s="1" t="str">
        <f t="shared" si="12"/>
        <v>OK</v>
      </c>
      <c r="AJ55" s="1">
        <v>23416.54</v>
      </c>
      <c r="AK55" s="1">
        <v>15490.89</v>
      </c>
      <c r="AL55" s="1">
        <v>7925.65</v>
      </c>
      <c r="AM55" s="13">
        <f t="shared" si="13"/>
        <v>23416.539999999997</v>
      </c>
      <c r="AN55" s="9">
        <f t="shared" si="14"/>
        <v>7925.6499999999978</v>
      </c>
      <c r="AO55" s="9">
        <f t="shared" si="23"/>
        <v>0.33846375254414185</v>
      </c>
      <c r="AP55" s="1" t="s">
        <v>33</v>
      </c>
      <c r="AQ55" s="1" t="str">
        <f t="shared" si="15"/>
        <v>Paid</v>
      </c>
      <c r="AR55" s="1" t="str">
        <f t="shared" si="16"/>
        <v>OK</v>
      </c>
      <c r="AS55" s="1" t="s">
        <v>34</v>
      </c>
      <c r="AT55" s="3" t="str">
        <f t="shared" si="17"/>
        <v>Completed</v>
      </c>
      <c r="AU55" s="3" t="str">
        <f t="shared" si="18"/>
        <v>OK</v>
      </c>
      <c r="AV55" s="3" t="str">
        <f t="shared" si="24"/>
        <v>CLEAN</v>
      </c>
      <c r="AW55" t="str">
        <f t="shared" si="25"/>
        <v>MATCH</v>
      </c>
      <c r="AX55" t="str">
        <f t="shared" si="26"/>
        <v>MATCH</v>
      </c>
    </row>
    <row r="56" spans="1:50" hidden="1">
      <c r="A56" s="1" t="s">
        <v>487</v>
      </c>
      <c r="B56" s="1">
        <f t="shared" si="0"/>
        <v>1</v>
      </c>
      <c r="C56" s="16">
        <v>45375</v>
      </c>
      <c r="D56" s="16">
        <v>45375</v>
      </c>
      <c r="E56" s="16" t="str">
        <f t="shared" si="19"/>
        <v>Mar</v>
      </c>
      <c r="F56" s="1">
        <f t="shared" si="20"/>
        <v>2024</v>
      </c>
      <c r="G56" t="s">
        <v>341</v>
      </c>
      <c r="H56" s="17">
        <v>45810</v>
      </c>
      <c r="I56" s="21">
        <f t="shared" si="21"/>
        <v>435</v>
      </c>
      <c r="J56" s="6" t="str">
        <f t="shared" si="22"/>
        <v>OK</v>
      </c>
      <c r="K56" s="1" t="s">
        <v>489</v>
      </c>
      <c r="L56" s="1" t="s">
        <v>169</v>
      </c>
      <c r="M56" s="1" t="str">
        <f t="shared" si="1"/>
        <v>Rohan Mehta</v>
      </c>
      <c r="N56" s="1" t="s">
        <v>40</v>
      </c>
      <c r="O56" s="1" t="str">
        <f t="shared" si="2"/>
        <v>Small Business</v>
      </c>
      <c r="P56" s="1" t="s">
        <v>71</v>
      </c>
      <c r="Q56" s="1" t="str">
        <f t="shared" si="3"/>
        <v>West</v>
      </c>
      <c r="R56" s="1" t="str">
        <f t="shared" si="4"/>
        <v>OK</v>
      </c>
      <c r="S56" s="1" t="s">
        <v>72</v>
      </c>
      <c r="T56" s="1" t="str">
        <f t="shared" si="5"/>
        <v>Maharashtra</v>
      </c>
      <c r="U56" s="1" t="s">
        <v>73</v>
      </c>
      <c r="V56" s="1" t="str">
        <f t="shared" si="6"/>
        <v>Mumbai</v>
      </c>
      <c r="W56" s="1" t="s">
        <v>44</v>
      </c>
      <c r="X56" s="1" t="str">
        <f t="shared" si="7"/>
        <v>Furniture</v>
      </c>
      <c r="Y56" s="1" t="s">
        <v>190</v>
      </c>
      <c r="Z56" s="1" t="str">
        <f t="shared" si="8"/>
        <v>Bookcases</v>
      </c>
      <c r="AA56" s="1" t="s">
        <v>490</v>
      </c>
      <c r="AB56" s="1" t="s">
        <v>65</v>
      </c>
      <c r="AC56" s="1" t="str">
        <f t="shared" si="9"/>
        <v>Standard Class</v>
      </c>
      <c r="AD56" s="1" t="str">
        <f t="shared" si="10"/>
        <v>OK</v>
      </c>
      <c r="AE56" s="1">
        <v>2</v>
      </c>
      <c r="AF56" s="1">
        <v>3284.75</v>
      </c>
      <c r="AG56" s="9">
        <v>0.05</v>
      </c>
      <c r="AH56" s="9">
        <f t="shared" si="11"/>
        <v>0.05</v>
      </c>
      <c r="AI56" s="1" t="str">
        <f t="shared" si="12"/>
        <v>OK</v>
      </c>
      <c r="AJ56" s="1">
        <v>6241.02</v>
      </c>
      <c r="AK56" s="1">
        <v>5345.88</v>
      </c>
      <c r="AL56" s="1">
        <v>895.14</v>
      </c>
      <c r="AM56" s="13">
        <f t="shared" si="13"/>
        <v>6241.0249999999996</v>
      </c>
      <c r="AN56" s="9">
        <f t="shared" si="14"/>
        <v>895.14499999999953</v>
      </c>
      <c r="AO56" s="9">
        <f t="shared" si="23"/>
        <v>0.14342916427990587</v>
      </c>
      <c r="AP56" s="1" t="s">
        <v>33</v>
      </c>
      <c r="AQ56" s="1" t="str">
        <f t="shared" si="15"/>
        <v>Paid</v>
      </c>
      <c r="AR56" s="1" t="str">
        <f t="shared" si="16"/>
        <v>OK</v>
      </c>
      <c r="AS56" s="1" t="s">
        <v>34</v>
      </c>
      <c r="AT56" s="3" t="str">
        <f t="shared" si="17"/>
        <v>Completed</v>
      </c>
      <c r="AU56" s="3" t="str">
        <f t="shared" si="18"/>
        <v>OK</v>
      </c>
      <c r="AV56" s="3" t="str">
        <f t="shared" si="24"/>
        <v>CLEAN</v>
      </c>
      <c r="AW56" t="str">
        <f t="shared" si="25"/>
        <v>MISMATCH</v>
      </c>
      <c r="AX56" t="str">
        <f t="shared" si="26"/>
        <v>MISMATCH</v>
      </c>
    </row>
    <row r="57" spans="1:50" hidden="1">
      <c r="A57" s="1" t="s">
        <v>491</v>
      </c>
      <c r="B57" s="1">
        <f t="shared" si="0"/>
        <v>1</v>
      </c>
      <c r="C57" s="16">
        <v>45421</v>
      </c>
      <c r="D57" s="16">
        <v>45421</v>
      </c>
      <c r="E57" s="16" t="str">
        <f t="shared" si="19"/>
        <v>May</v>
      </c>
      <c r="F57" s="1">
        <f t="shared" si="20"/>
        <v>2024</v>
      </c>
      <c r="G57" t="s">
        <v>345</v>
      </c>
      <c r="H57" s="17">
        <v>45723</v>
      </c>
      <c r="I57" s="21">
        <f t="shared" si="21"/>
        <v>302</v>
      </c>
      <c r="J57" s="6" t="str">
        <f t="shared" si="22"/>
        <v>OK</v>
      </c>
      <c r="K57" s="1" t="s">
        <v>492</v>
      </c>
      <c r="L57" s="1" t="s">
        <v>334</v>
      </c>
      <c r="M57" s="1" t="str">
        <f t="shared" si="1"/>
        <v>Kabir Singh</v>
      </c>
      <c r="N57" s="1" t="s">
        <v>25</v>
      </c>
      <c r="O57" s="1" t="str">
        <f t="shared" si="2"/>
        <v>Consumer</v>
      </c>
      <c r="P57" s="1" t="s">
        <v>60</v>
      </c>
      <c r="Q57" s="1" t="str">
        <f t="shared" si="3"/>
        <v>South</v>
      </c>
      <c r="R57" s="1" t="str">
        <f t="shared" si="4"/>
        <v>OK</v>
      </c>
      <c r="S57" s="1" t="s">
        <v>97</v>
      </c>
      <c r="T57" s="1" t="str">
        <f t="shared" si="5"/>
        <v>Andhra Pradesh</v>
      </c>
      <c r="U57" s="1" t="s">
        <v>98</v>
      </c>
      <c r="V57" s="1" t="str">
        <f t="shared" si="6"/>
        <v>Vijayawada</v>
      </c>
      <c r="W57" s="1" t="s">
        <v>44</v>
      </c>
      <c r="X57" s="1" t="str">
        <f t="shared" si="7"/>
        <v>Furniture</v>
      </c>
      <c r="Y57" s="1" t="s">
        <v>190</v>
      </c>
      <c r="Z57" s="1" t="str">
        <f t="shared" si="8"/>
        <v>Bookcases</v>
      </c>
      <c r="AA57" s="1" t="s">
        <v>493</v>
      </c>
      <c r="AB57" s="1" t="s">
        <v>65</v>
      </c>
      <c r="AC57" s="1" t="str">
        <f t="shared" si="9"/>
        <v>Standard Class</v>
      </c>
      <c r="AD57" s="1" t="str">
        <f t="shared" si="10"/>
        <v>OK</v>
      </c>
      <c r="AE57" s="1">
        <v>7</v>
      </c>
      <c r="AF57" s="1">
        <v>3761.09</v>
      </c>
      <c r="AG57" s="9">
        <v>0.2</v>
      </c>
      <c r="AH57" s="9">
        <f t="shared" si="11"/>
        <v>0.2</v>
      </c>
      <c r="AI57" s="1" t="str">
        <f t="shared" si="12"/>
        <v>OK</v>
      </c>
      <c r="AJ57" s="1">
        <v>21062.1</v>
      </c>
      <c r="AK57" s="1">
        <v>12057.13</v>
      </c>
      <c r="AL57" s="1">
        <v>9004.9699999999993</v>
      </c>
      <c r="AM57" s="13">
        <f t="shared" si="13"/>
        <v>21062.104000000003</v>
      </c>
      <c r="AN57" s="9">
        <f t="shared" si="14"/>
        <v>9004.9740000000038</v>
      </c>
      <c r="AO57" s="9">
        <f t="shared" si="23"/>
        <v>0.42754389589947911</v>
      </c>
      <c r="AP57" s="1" t="s">
        <v>131</v>
      </c>
      <c r="AQ57" s="1" t="str">
        <f t="shared" si="15"/>
        <v>Pending</v>
      </c>
      <c r="AR57" s="1" t="str">
        <f t="shared" si="16"/>
        <v>OK</v>
      </c>
      <c r="AS57" s="1" t="s">
        <v>76</v>
      </c>
      <c r="AT57" s="3" t="str">
        <f t="shared" si="17"/>
        <v>Cancelled</v>
      </c>
      <c r="AU57" s="3" t="str">
        <f t="shared" si="18"/>
        <v>EXCLUDE_FROM_SALES</v>
      </c>
      <c r="AV57" s="3" t="str">
        <f t="shared" si="24"/>
        <v>CLEAN</v>
      </c>
      <c r="AW57" t="str">
        <f t="shared" si="25"/>
        <v>MATCH</v>
      </c>
      <c r="AX57" t="str">
        <f t="shared" si="26"/>
        <v>MATCH</v>
      </c>
    </row>
    <row r="58" spans="1:50">
      <c r="A58" s="1" t="s">
        <v>505</v>
      </c>
      <c r="B58" s="1">
        <f t="shared" si="0"/>
        <v>1</v>
      </c>
      <c r="C58" s="16">
        <v>45474</v>
      </c>
      <c r="D58" s="16">
        <v>45474</v>
      </c>
      <c r="E58" s="16" t="str">
        <f t="shared" si="19"/>
        <v>Jul</v>
      </c>
      <c r="F58" s="1">
        <f t="shared" si="20"/>
        <v>2024</v>
      </c>
      <c r="G58" t="s">
        <v>350</v>
      </c>
      <c r="H58" s="17">
        <v>45809</v>
      </c>
      <c r="I58" s="21">
        <f t="shared" si="21"/>
        <v>335</v>
      </c>
      <c r="J58" s="6" t="str">
        <f t="shared" si="22"/>
        <v>OK</v>
      </c>
      <c r="K58" s="1" t="s">
        <v>507</v>
      </c>
      <c r="L58" s="1" t="s">
        <v>169</v>
      </c>
      <c r="M58" s="1" t="str">
        <f t="shared" si="1"/>
        <v>Rohan Mehta</v>
      </c>
      <c r="N58" s="1" t="s">
        <v>104</v>
      </c>
      <c r="O58" s="1" t="str">
        <f t="shared" si="2"/>
        <v>Corporate</v>
      </c>
      <c r="P58" s="1" t="s">
        <v>26</v>
      </c>
      <c r="Q58" s="1" t="str">
        <f t="shared" si="3"/>
        <v>North</v>
      </c>
      <c r="R58" s="1" t="str">
        <f t="shared" si="4"/>
        <v>OK</v>
      </c>
      <c r="S58" s="1" t="s">
        <v>163</v>
      </c>
      <c r="T58" s="1" t="str">
        <f t="shared" si="5"/>
        <v>Uttar Pradesh</v>
      </c>
      <c r="U58" s="1" t="s">
        <v>164</v>
      </c>
      <c r="V58" s="1" t="str">
        <f t="shared" si="6"/>
        <v>Noida</v>
      </c>
      <c r="W58" s="1" t="s">
        <v>29</v>
      </c>
      <c r="X58" s="1" t="str">
        <f t="shared" si="7"/>
        <v>Office Supplies</v>
      </c>
      <c r="Y58" s="1" t="s">
        <v>184</v>
      </c>
      <c r="Z58" s="1" t="str">
        <f t="shared" si="8"/>
        <v>Binders</v>
      </c>
      <c r="AA58" s="1" t="s">
        <v>508</v>
      </c>
      <c r="AB58" s="1" t="s">
        <v>65</v>
      </c>
      <c r="AC58" s="1" t="str">
        <f t="shared" si="9"/>
        <v>Standard Class</v>
      </c>
      <c r="AD58" s="1" t="str">
        <f t="shared" si="10"/>
        <v>OK</v>
      </c>
      <c r="AE58" s="1">
        <v>7</v>
      </c>
      <c r="AF58" s="1">
        <v>2788.97</v>
      </c>
      <c r="AG58" s="9">
        <v>-0.09</v>
      </c>
      <c r="AH58" s="9">
        <f t="shared" si="11"/>
        <v>-0.09</v>
      </c>
      <c r="AI58" s="1" t="str">
        <f t="shared" si="12"/>
        <v>Invalid Negative Discount</v>
      </c>
      <c r="AJ58" s="1">
        <v>19522.79</v>
      </c>
      <c r="AK58" s="1">
        <v>12455.78</v>
      </c>
      <c r="AL58" s="1">
        <v>7067.01</v>
      </c>
      <c r="AM58" s="13" t="str">
        <f t="shared" si="13"/>
        <v>INVALID</v>
      </c>
      <c r="AN58" s="9" t="str">
        <f t="shared" si="14"/>
        <v>INVALID</v>
      </c>
      <c r="AO58" s="9" t="str">
        <f t="shared" si="23"/>
        <v/>
      </c>
      <c r="AP58" s="1" t="s">
        <v>33</v>
      </c>
      <c r="AQ58" s="1" t="str">
        <f t="shared" si="15"/>
        <v>Paid</v>
      </c>
      <c r="AR58" s="1" t="str">
        <f t="shared" si="16"/>
        <v>OK</v>
      </c>
      <c r="AS58" s="1" t="s">
        <v>34</v>
      </c>
      <c r="AT58" s="3" t="str">
        <f t="shared" si="17"/>
        <v>Completed</v>
      </c>
      <c r="AU58" s="3" t="str">
        <f t="shared" si="18"/>
        <v>OK</v>
      </c>
      <c r="AV58" s="3" t="str">
        <f t="shared" si="24"/>
        <v>INVALID</v>
      </c>
      <c r="AW58" t="str">
        <f t="shared" si="25"/>
        <v>INVALID</v>
      </c>
      <c r="AX58" t="str">
        <f t="shared" si="26"/>
        <v>INVALID</v>
      </c>
    </row>
    <row r="59" spans="1:50">
      <c r="A59" s="1" t="s">
        <v>509</v>
      </c>
      <c r="B59" s="1">
        <f t="shared" si="0"/>
        <v>1</v>
      </c>
      <c r="C59" s="16">
        <v>45452</v>
      </c>
      <c r="D59" s="16">
        <v>45452</v>
      </c>
      <c r="E59" s="16" t="str">
        <f t="shared" si="19"/>
        <v>Jun</v>
      </c>
      <c r="F59" s="1">
        <f t="shared" si="20"/>
        <v>2024</v>
      </c>
      <c r="G59" t="s">
        <v>354</v>
      </c>
      <c r="H59" s="17">
        <v>45337</v>
      </c>
      <c r="I59" s="21">
        <f t="shared" si="21"/>
        <v>-115</v>
      </c>
      <c r="J59" s="6" t="str">
        <f t="shared" si="22"/>
        <v>INVALID_SHIPPING</v>
      </c>
      <c r="K59" s="1" t="s">
        <v>511</v>
      </c>
      <c r="L59" s="1" t="s">
        <v>196</v>
      </c>
      <c r="M59" s="1" t="str">
        <f t="shared" si="1"/>
        <v>Diya Patel</v>
      </c>
      <c r="N59" s="1" t="s">
        <v>25</v>
      </c>
      <c r="O59" s="1" t="str">
        <f t="shared" si="2"/>
        <v>Consumer</v>
      </c>
      <c r="P59" s="1" t="s">
        <v>26</v>
      </c>
      <c r="Q59" s="1" t="str">
        <f t="shared" si="3"/>
        <v>North</v>
      </c>
      <c r="R59" s="1" t="str">
        <f t="shared" si="4"/>
        <v>OK</v>
      </c>
      <c r="S59" s="1" t="s">
        <v>294</v>
      </c>
      <c r="T59" s="1" t="str">
        <f t="shared" si="5"/>
        <v>Haryana</v>
      </c>
      <c r="U59" s="1" t="s">
        <v>295</v>
      </c>
      <c r="V59" s="1" t="str">
        <f t="shared" si="6"/>
        <v>Gurugram</v>
      </c>
      <c r="W59" s="1" t="s">
        <v>83</v>
      </c>
      <c r="X59" s="1" t="str">
        <f t="shared" si="7"/>
        <v>Technology</v>
      </c>
      <c r="Y59" s="1" t="s">
        <v>207</v>
      </c>
      <c r="Z59" s="1" t="str">
        <f t="shared" si="8"/>
        <v>Phones</v>
      </c>
      <c r="AA59" s="1" t="s">
        <v>512</v>
      </c>
      <c r="AB59" s="1" t="s">
        <v>32</v>
      </c>
      <c r="AC59" s="1" t="str">
        <f t="shared" si="9"/>
        <v>Second Class</v>
      </c>
      <c r="AD59" s="1" t="str">
        <f t="shared" si="10"/>
        <v>OK</v>
      </c>
      <c r="AE59" s="1">
        <v>7</v>
      </c>
      <c r="AF59" s="1">
        <v>3781.53</v>
      </c>
      <c r="AG59" s="9">
        <v>0</v>
      </c>
      <c r="AH59" s="9">
        <f t="shared" si="11"/>
        <v>0</v>
      </c>
      <c r="AI59" s="1" t="str">
        <f t="shared" si="12"/>
        <v>OK</v>
      </c>
      <c r="AJ59" s="1">
        <v>26470.71</v>
      </c>
      <c r="AK59" s="1">
        <v>21367.599999999999</v>
      </c>
      <c r="AL59" s="1">
        <v>5103.1099999999997</v>
      </c>
      <c r="AM59" s="13">
        <f t="shared" si="13"/>
        <v>26470.710000000003</v>
      </c>
      <c r="AN59" s="9">
        <f t="shared" si="14"/>
        <v>5103.1100000000042</v>
      </c>
      <c r="AO59" s="9">
        <f t="shared" si="23"/>
        <v>0.19278326875251944</v>
      </c>
      <c r="AP59" s="1" t="s">
        <v>131</v>
      </c>
      <c r="AQ59" s="1" t="str">
        <f t="shared" si="15"/>
        <v>Pending</v>
      </c>
      <c r="AR59" s="1" t="str">
        <f t="shared" si="16"/>
        <v>OK</v>
      </c>
      <c r="AS59" s="1" t="s">
        <v>76</v>
      </c>
      <c r="AT59" s="3" t="str">
        <f t="shared" si="17"/>
        <v>Cancelled</v>
      </c>
      <c r="AU59" s="3" t="str">
        <f t="shared" si="18"/>
        <v>EXCLUDE_FROM_SALES</v>
      </c>
      <c r="AV59" s="3" t="str">
        <f t="shared" si="24"/>
        <v>INVALID</v>
      </c>
      <c r="AW59" t="str">
        <f t="shared" si="25"/>
        <v>MATCH</v>
      </c>
      <c r="AX59" t="str">
        <f t="shared" si="26"/>
        <v>MATCH</v>
      </c>
    </row>
    <row r="60" spans="1:50" hidden="1">
      <c r="A60" s="1" t="s">
        <v>518</v>
      </c>
      <c r="B60" s="1">
        <f t="shared" si="0"/>
        <v>1</v>
      </c>
      <c r="C60" s="16">
        <v>45418</v>
      </c>
      <c r="D60" s="16">
        <v>45418</v>
      </c>
      <c r="E60" s="16" t="str">
        <f t="shared" si="19"/>
        <v>May</v>
      </c>
      <c r="F60" s="1">
        <f t="shared" si="20"/>
        <v>2024</v>
      </c>
      <c r="G60" t="s">
        <v>359</v>
      </c>
      <c r="H60" s="17">
        <v>45542</v>
      </c>
      <c r="I60" s="21">
        <f t="shared" si="21"/>
        <v>124</v>
      </c>
      <c r="J60" s="6" t="str">
        <f t="shared" si="22"/>
        <v>OK</v>
      </c>
      <c r="K60" s="1" t="s">
        <v>521</v>
      </c>
      <c r="L60" s="1" t="s">
        <v>141</v>
      </c>
      <c r="M60" s="1" t="str">
        <f t="shared" si="1"/>
        <v>Rahul Verma</v>
      </c>
      <c r="N60" s="1" t="s">
        <v>110</v>
      </c>
      <c r="O60" s="1" t="str">
        <f t="shared" si="2"/>
        <v>Home Office</v>
      </c>
      <c r="P60" s="1" t="s">
        <v>41</v>
      </c>
      <c r="Q60" s="1" t="str">
        <f t="shared" si="3"/>
        <v>East</v>
      </c>
      <c r="R60" s="1" t="str">
        <f t="shared" si="4"/>
        <v>OK</v>
      </c>
      <c r="S60" s="1" t="s">
        <v>42</v>
      </c>
      <c r="T60" s="1" t="str">
        <f t="shared" si="5"/>
        <v>Odisha</v>
      </c>
      <c r="U60" s="1" t="s">
        <v>43</v>
      </c>
      <c r="V60" s="1" t="str">
        <f t="shared" si="6"/>
        <v>Bhubaneswar</v>
      </c>
      <c r="W60" s="1" t="s">
        <v>83</v>
      </c>
      <c r="X60" s="1" t="str">
        <f t="shared" si="7"/>
        <v>Technology</v>
      </c>
      <c r="Y60" s="1" t="s">
        <v>91</v>
      </c>
      <c r="Z60" s="1" t="str">
        <f t="shared" si="8"/>
        <v>Copiers</v>
      </c>
      <c r="AA60" s="1" t="s">
        <v>522</v>
      </c>
      <c r="AB60" s="1" t="s">
        <v>32</v>
      </c>
      <c r="AC60" s="1" t="str">
        <f t="shared" si="9"/>
        <v>Second Class</v>
      </c>
      <c r="AD60" s="1" t="str">
        <f t="shared" si="10"/>
        <v>OK</v>
      </c>
      <c r="AE60" s="1">
        <v>2</v>
      </c>
      <c r="AF60" s="1">
        <v>2259.2399999999998</v>
      </c>
      <c r="AG60" s="9">
        <v>0.15</v>
      </c>
      <c r="AH60" s="9">
        <f t="shared" si="11"/>
        <v>0.15</v>
      </c>
      <c r="AI60" s="1" t="str">
        <f t="shared" si="12"/>
        <v>OK</v>
      </c>
      <c r="AJ60" s="1">
        <v>3840.71</v>
      </c>
      <c r="AK60" s="1">
        <v>2516.29</v>
      </c>
      <c r="AL60" s="1">
        <v>1324.42</v>
      </c>
      <c r="AM60" s="13">
        <f t="shared" si="13"/>
        <v>3840.7079999999996</v>
      </c>
      <c r="AN60" s="9">
        <f t="shared" si="14"/>
        <v>1324.4179999999997</v>
      </c>
      <c r="AO60" s="9">
        <f t="shared" si="23"/>
        <v>0.34483694152224009</v>
      </c>
      <c r="AP60" s="1" t="s">
        <v>33</v>
      </c>
      <c r="AQ60" s="1" t="str">
        <f t="shared" si="15"/>
        <v>Paid</v>
      </c>
      <c r="AR60" s="1" t="str">
        <f t="shared" si="16"/>
        <v>OK</v>
      </c>
      <c r="AS60" s="1" t="s">
        <v>34</v>
      </c>
      <c r="AT60" s="3" t="str">
        <f t="shared" si="17"/>
        <v>Completed</v>
      </c>
      <c r="AU60" s="3" t="str">
        <f t="shared" si="18"/>
        <v>OK</v>
      </c>
      <c r="AV60" s="3" t="str">
        <f t="shared" si="24"/>
        <v>CLEAN</v>
      </c>
      <c r="AW60" t="str">
        <f t="shared" si="25"/>
        <v>MATCH</v>
      </c>
      <c r="AX60" t="str">
        <f t="shared" si="26"/>
        <v>MATCH</v>
      </c>
    </row>
    <row r="61" spans="1:50" hidden="1">
      <c r="A61" s="1" t="s">
        <v>527</v>
      </c>
      <c r="B61" s="1">
        <f t="shared" si="0"/>
        <v>1</v>
      </c>
      <c r="C61" s="16">
        <v>45317</v>
      </c>
      <c r="D61" s="16">
        <v>45317</v>
      </c>
      <c r="E61" s="16" t="str">
        <f t="shared" si="19"/>
        <v>Jan</v>
      </c>
      <c r="F61" s="1">
        <f t="shared" si="20"/>
        <v>2024</v>
      </c>
      <c r="G61" t="s">
        <v>364</v>
      </c>
      <c r="H61" s="17">
        <v>45498</v>
      </c>
      <c r="I61" s="21">
        <f t="shared" si="21"/>
        <v>181</v>
      </c>
      <c r="J61" s="6" t="str">
        <f t="shared" si="22"/>
        <v>OK</v>
      </c>
      <c r="K61" s="1" t="s">
        <v>529</v>
      </c>
      <c r="L61" s="1" t="s">
        <v>169</v>
      </c>
      <c r="M61" s="1" t="str">
        <f t="shared" si="1"/>
        <v>Rohan Mehta</v>
      </c>
      <c r="N61" s="1" t="s">
        <v>110</v>
      </c>
      <c r="O61" s="1" t="str">
        <f t="shared" si="2"/>
        <v>Home Office</v>
      </c>
      <c r="P61" s="1" t="s">
        <v>60</v>
      </c>
      <c r="Q61" s="1" t="str">
        <f t="shared" si="3"/>
        <v>South</v>
      </c>
      <c r="R61" s="1" t="str">
        <f t="shared" si="4"/>
        <v>OK</v>
      </c>
      <c r="S61" s="1" t="s">
        <v>224</v>
      </c>
      <c r="T61" s="1" t="str">
        <f t="shared" si="5"/>
        <v>Kerala</v>
      </c>
      <c r="U61" s="1" t="s">
        <v>225</v>
      </c>
      <c r="V61" s="1" t="str">
        <f t="shared" si="6"/>
        <v>Kochi</v>
      </c>
      <c r="W61" s="1" t="s">
        <v>83</v>
      </c>
      <c r="X61" s="1" t="str">
        <f t="shared" si="7"/>
        <v>Technology</v>
      </c>
      <c r="Y61" s="1" t="s">
        <v>91</v>
      </c>
      <c r="Z61" s="1" t="str">
        <f t="shared" si="8"/>
        <v>Copiers</v>
      </c>
      <c r="AA61" s="1" t="s">
        <v>530</v>
      </c>
      <c r="AB61" s="1"/>
      <c r="AC61" s="1" t="str">
        <f t="shared" si="9"/>
        <v>Unknown</v>
      </c>
      <c r="AD61" s="1" t="str">
        <f t="shared" si="10"/>
        <v>MISSING_SHIP_MODE</v>
      </c>
      <c r="AE61" s="1">
        <v>8</v>
      </c>
      <c r="AF61" s="1">
        <v>2108.9299999999998</v>
      </c>
      <c r="AG61" s="9">
        <v>0.1</v>
      </c>
      <c r="AH61" s="9">
        <f t="shared" si="11"/>
        <v>0.1</v>
      </c>
      <c r="AI61" s="1" t="str">
        <f t="shared" si="12"/>
        <v>OK</v>
      </c>
      <c r="AJ61" s="1">
        <v>15184.3</v>
      </c>
      <c r="AK61" s="1">
        <v>11270.74</v>
      </c>
      <c r="AL61" s="1">
        <v>3913.56</v>
      </c>
      <c r="AM61" s="13">
        <f t="shared" si="13"/>
        <v>15184.295999999998</v>
      </c>
      <c r="AN61" s="9">
        <f t="shared" si="14"/>
        <v>3913.5559999999987</v>
      </c>
      <c r="AO61" s="9">
        <f t="shared" si="23"/>
        <v>0.25773707256497103</v>
      </c>
      <c r="AP61" s="1" t="s">
        <v>33</v>
      </c>
      <c r="AQ61" s="1" t="str">
        <f t="shared" si="15"/>
        <v>Paid</v>
      </c>
      <c r="AR61" s="1" t="str">
        <f t="shared" si="16"/>
        <v>OK</v>
      </c>
      <c r="AS61" s="1" t="s">
        <v>34</v>
      </c>
      <c r="AT61" s="3" t="str">
        <f t="shared" si="17"/>
        <v>Completed</v>
      </c>
      <c r="AU61" s="3" t="str">
        <f t="shared" si="18"/>
        <v>OK</v>
      </c>
      <c r="AV61" s="3" t="str">
        <f t="shared" si="24"/>
        <v>WARNING</v>
      </c>
      <c r="AW61" t="str">
        <f t="shared" si="25"/>
        <v>MATCH</v>
      </c>
      <c r="AX61" t="str">
        <f t="shared" si="26"/>
        <v>MATCH</v>
      </c>
    </row>
    <row r="62" spans="1:50" hidden="1">
      <c r="A62" s="1" t="s">
        <v>539</v>
      </c>
      <c r="B62" s="1">
        <f t="shared" si="0"/>
        <v>1</v>
      </c>
      <c r="C62" s="16">
        <v>45465</v>
      </c>
      <c r="D62" s="16">
        <v>45465</v>
      </c>
      <c r="E62" s="16" t="str">
        <f t="shared" si="19"/>
        <v>Jun</v>
      </c>
      <c r="F62" s="1">
        <f t="shared" si="20"/>
        <v>2024</v>
      </c>
      <c r="G62" t="s">
        <v>368</v>
      </c>
      <c r="H62" s="17">
        <v>45492</v>
      </c>
      <c r="I62" s="21">
        <f t="shared" si="21"/>
        <v>27</v>
      </c>
      <c r="J62" s="6" t="str">
        <f t="shared" si="22"/>
        <v>OK</v>
      </c>
      <c r="K62" s="1" t="s">
        <v>541</v>
      </c>
      <c r="L62" s="1" t="s">
        <v>169</v>
      </c>
      <c r="M62" s="1" t="str">
        <f t="shared" si="1"/>
        <v>Rohan Mehta</v>
      </c>
      <c r="N62" s="1" t="s">
        <v>110</v>
      </c>
      <c r="O62" s="1" t="str">
        <f t="shared" si="2"/>
        <v>Home Office</v>
      </c>
      <c r="P62" s="1" t="s">
        <v>41</v>
      </c>
      <c r="Q62" s="1" t="str">
        <f t="shared" si="3"/>
        <v>East</v>
      </c>
      <c r="R62" s="1" t="str">
        <f t="shared" si="4"/>
        <v>OK</v>
      </c>
      <c r="S62" s="1" t="s">
        <v>174</v>
      </c>
      <c r="T62" s="1" t="str">
        <f t="shared" si="5"/>
        <v>Bihar</v>
      </c>
      <c r="U62" s="1" t="s">
        <v>175</v>
      </c>
      <c r="V62" s="1" t="str">
        <f t="shared" si="6"/>
        <v>Patna</v>
      </c>
      <c r="W62" s="1" t="s">
        <v>44</v>
      </c>
      <c r="X62" s="1" t="str">
        <f t="shared" si="7"/>
        <v>Furniture</v>
      </c>
      <c r="Y62" s="1" t="s">
        <v>63</v>
      </c>
      <c r="Z62" s="1" t="str">
        <f t="shared" si="8"/>
        <v>Furnishings</v>
      </c>
      <c r="AA62" s="1" t="s">
        <v>542</v>
      </c>
      <c r="AB62" s="1" t="s">
        <v>55</v>
      </c>
      <c r="AC62" s="1" t="str">
        <f t="shared" si="9"/>
        <v>First Class</v>
      </c>
      <c r="AD62" s="1" t="str">
        <f t="shared" si="10"/>
        <v>OK</v>
      </c>
      <c r="AE62" s="1">
        <v>5</v>
      </c>
      <c r="AF62" s="1">
        <v>4396.5200000000004</v>
      </c>
      <c r="AG62" s="9">
        <v>0.25</v>
      </c>
      <c r="AH62" s="9">
        <f t="shared" si="11"/>
        <v>0.25</v>
      </c>
      <c r="AI62" s="1" t="str">
        <f t="shared" si="12"/>
        <v>OK</v>
      </c>
      <c r="AJ62" s="1">
        <v>16486.95</v>
      </c>
      <c r="AK62" s="1">
        <v>12054.14</v>
      </c>
      <c r="AL62" s="1">
        <v>4432.8100000000004</v>
      </c>
      <c r="AM62" s="13">
        <f t="shared" si="13"/>
        <v>16486.95</v>
      </c>
      <c r="AN62" s="9">
        <f t="shared" si="14"/>
        <v>4432.8100000000013</v>
      </c>
      <c r="AO62" s="9">
        <f t="shared" si="23"/>
        <v>0.26886780150361356</v>
      </c>
      <c r="AP62" s="1" t="s">
        <v>33</v>
      </c>
      <c r="AQ62" s="1" t="str">
        <f t="shared" si="15"/>
        <v>Paid</v>
      </c>
      <c r="AR62" s="1" t="str">
        <f t="shared" si="16"/>
        <v>OK</v>
      </c>
      <c r="AS62" s="1" t="s">
        <v>34</v>
      </c>
      <c r="AT62" s="3" t="str">
        <f t="shared" si="17"/>
        <v>Completed</v>
      </c>
      <c r="AU62" s="3" t="str">
        <f t="shared" si="18"/>
        <v>OK</v>
      </c>
      <c r="AV62" s="3" t="str">
        <f t="shared" si="24"/>
        <v>CLEAN</v>
      </c>
      <c r="AW62" t="str">
        <f t="shared" si="25"/>
        <v>MATCH</v>
      </c>
      <c r="AX62" t="str">
        <f t="shared" si="26"/>
        <v>MATCH</v>
      </c>
    </row>
    <row r="63" spans="1:50">
      <c r="A63" s="1" t="s">
        <v>555</v>
      </c>
      <c r="B63" s="1">
        <f t="shared" si="0"/>
        <v>1</v>
      </c>
      <c r="C63" s="16">
        <v>45467</v>
      </c>
      <c r="D63" s="16">
        <v>45467</v>
      </c>
      <c r="E63" s="16" t="str">
        <f t="shared" si="19"/>
        <v>Jun</v>
      </c>
      <c r="F63" s="1">
        <f t="shared" si="20"/>
        <v>2024</v>
      </c>
      <c r="G63" t="s">
        <v>372</v>
      </c>
      <c r="H63" s="17">
        <v>45398</v>
      </c>
      <c r="I63" s="21">
        <f t="shared" si="21"/>
        <v>-69</v>
      </c>
      <c r="J63" s="6" t="str">
        <f t="shared" si="22"/>
        <v>INVALID_SHIPPING</v>
      </c>
      <c r="K63" s="1" t="s">
        <v>557</v>
      </c>
      <c r="L63" s="1" t="s">
        <v>39</v>
      </c>
      <c r="M63" s="1" t="str">
        <f t="shared" si="1"/>
        <v>Mira Das</v>
      </c>
      <c r="N63" s="1" t="s">
        <v>110</v>
      </c>
      <c r="O63" s="1" t="str">
        <f t="shared" si="2"/>
        <v>Home Office</v>
      </c>
      <c r="P63" s="1" t="s">
        <v>41</v>
      </c>
      <c r="Q63" s="1" t="str">
        <f t="shared" si="3"/>
        <v>East</v>
      </c>
      <c r="R63" s="1" t="str">
        <f t="shared" si="4"/>
        <v>OK</v>
      </c>
      <c r="S63" s="1" t="s">
        <v>116</v>
      </c>
      <c r="T63" s="1" t="str">
        <f t="shared" si="5"/>
        <v>West Bengal</v>
      </c>
      <c r="U63" s="1" t="s">
        <v>117</v>
      </c>
      <c r="V63" s="1" t="str">
        <f t="shared" si="6"/>
        <v>Kolkata</v>
      </c>
      <c r="W63" s="1" t="s">
        <v>44</v>
      </c>
      <c r="X63" s="1" t="str">
        <f t="shared" si="7"/>
        <v>Furniture</v>
      </c>
      <c r="Y63" s="1" t="s">
        <v>45</v>
      </c>
      <c r="Z63" s="1" t="str">
        <f t="shared" si="8"/>
        <v>Tables</v>
      </c>
      <c r="AA63" s="1" t="s">
        <v>558</v>
      </c>
      <c r="AB63" s="1" t="s">
        <v>32</v>
      </c>
      <c r="AC63" s="1" t="str">
        <f t="shared" si="9"/>
        <v>Second Class</v>
      </c>
      <c r="AD63" s="1" t="str">
        <f t="shared" si="10"/>
        <v>OK</v>
      </c>
      <c r="AE63" s="1">
        <v>2</v>
      </c>
      <c r="AF63" s="1">
        <v>685</v>
      </c>
      <c r="AG63" s="9">
        <v>0.1</v>
      </c>
      <c r="AH63" s="9">
        <f t="shared" si="11"/>
        <v>0.1</v>
      </c>
      <c r="AI63" s="1" t="str">
        <f t="shared" si="12"/>
        <v>OK</v>
      </c>
      <c r="AJ63" s="1">
        <v>1233</v>
      </c>
      <c r="AK63" s="1">
        <v>1006.9</v>
      </c>
      <c r="AL63" s="1">
        <v>226.1</v>
      </c>
      <c r="AM63" s="13">
        <f t="shared" si="13"/>
        <v>1233</v>
      </c>
      <c r="AN63" s="9">
        <f t="shared" si="14"/>
        <v>226.10000000000002</v>
      </c>
      <c r="AO63" s="9">
        <f t="shared" si="23"/>
        <v>0.18337388483373887</v>
      </c>
      <c r="AP63" s="1" t="s">
        <v>33</v>
      </c>
      <c r="AQ63" s="1" t="str">
        <f t="shared" si="15"/>
        <v>Paid</v>
      </c>
      <c r="AR63" s="1" t="str">
        <f t="shared" si="16"/>
        <v>OK</v>
      </c>
      <c r="AS63" s="1" t="s">
        <v>34</v>
      </c>
      <c r="AT63" s="3" t="str">
        <f t="shared" si="17"/>
        <v>Completed</v>
      </c>
      <c r="AU63" s="3" t="str">
        <f t="shared" si="18"/>
        <v>OK</v>
      </c>
      <c r="AV63" s="3" t="str">
        <f t="shared" si="24"/>
        <v>INVALID</v>
      </c>
      <c r="AW63" t="str">
        <f t="shared" si="25"/>
        <v>MATCH</v>
      </c>
      <c r="AX63" t="str">
        <f t="shared" si="26"/>
        <v>MATCH</v>
      </c>
    </row>
    <row r="64" spans="1:50">
      <c r="A64" s="1" t="s">
        <v>559</v>
      </c>
      <c r="B64" s="1">
        <f t="shared" si="0"/>
        <v>1</v>
      </c>
      <c r="C64" s="16">
        <v>45342</v>
      </c>
      <c r="D64" s="16">
        <v>45342</v>
      </c>
      <c r="E64" s="16" t="str">
        <f t="shared" si="19"/>
        <v>Feb</v>
      </c>
      <c r="F64" s="1">
        <f t="shared" si="20"/>
        <v>2024</v>
      </c>
      <c r="G64" t="s">
        <v>376</v>
      </c>
      <c r="H64" s="17">
        <v>45333</v>
      </c>
      <c r="I64" s="21">
        <f t="shared" si="21"/>
        <v>-9</v>
      </c>
      <c r="J64" s="6" t="str">
        <f t="shared" si="22"/>
        <v>INVALID_SHIPPING</v>
      </c>
      <c r="K64" s="1" t="s">
        <v>561</v>
      </c>
      <c r="L64" s="1" t="s">
        <v>59</v>
      </c>
      <c r="M64" s="1" t="str">
        <f t="shared" si="1"/>
        <v>Arjun Bose</v>
      </c>
      <c r="N64" s="1" t="s">
        <v>110</v>
      </c>
      <c r="O64" s="1" t="str">
        <f t="shared" si="2"/>
        <v>Home Office</v>
      </c>
      <c r="P64" s="1" t="s">
        <v>41</v>
      </c>
      <c r="Q64" s="1" t="str">
        <f t="shared" si="3"/>
        <v>East</v>
      </c>
      <c r="R64" s="1" t="str">
        <f t="shared" si="4"/>
        <v>OK</v>
      </c>
      <c r="S64" s="1" t="s">
        <v>116</v>
      </c>
      <c r="T64" s="1" t="str">
        <f t="shared" si="5"/>
        <v>West Bengal</v>
      </c>
      <c r="U64" s="1" t="s">
        <v>117</v>
      </c>
      <c r="V64" s="1" t="str">
        <f t="shared" si="6"/>
        <v>Kolkata</v>
      </c>
      <c r="W64" s="1" t="s">
        <v>29</v>
      </c>
      <c r="X64" s="1" t="str">
        <f t="shared" si="7"/>
        <v>Office Supplies</v>
      </c>
      <c r="Y64" s="1" t="s">
        <v>30</v>
      </c>
      <c r="Z64" s="1" t="str">
        <f t="shared" si="8"/>
        <v>Paper</v>
      </c>
      <c r="AA64" s="1" t="s">
        <v>562</v>
      </c>
      <c r="AB64" s="1" t="s">
        <v>65</v>
      </c>
      <c r="AC64" s="1" t="str">
        <f t="shared" si="9"/>
        <v>Standard Class</v>
      </c>
      <c r="AD64" s="1" t="str">
        <f t="shared" si="10"/>
        <v>OK</v>
      </c>
      <c r="AE64" s="1">
        <v>2</v>
      </c>
      <c r="AF64" s="1">
        <v>4004.04</v>
      </c>
      <c r="AG64" s="9"/>
      <c r="AH64" s="9">
        <f t="shared" si="11"/>
        <v>0</v>
      </c>
      <c r="AI64" s="1" t="str">
        <f t="shared" si="12"/>
        <v>Missing Discount</v>
      </c>
      <c r="AJ64" s="1">
        <v>7207.27</v>
      </c>
      <c r="AK64" s="1">
        <v>5709.39</v>
      </c>
      <c r="AL64" s="1">
        <v>1497.88</v>
      </c>
      <c r="AM64" s="13">
        <f t="shared" si="13"/>
        <v>8008.08</v>
      </c>
      <c r="AN64" s="9">
        <f t="shared" si="14"/>
        <v>2298.6899999999996</v>
      </c>
      <c r="AO64" s="9">
        <f t="shared" si="23"/>
        <v>0.28704633320346445</v>
      </c>
      <c r="AP64" s="1" t="s">
        <v>33</v>
      </c>
      <c r="AQ64" s="1" t="str">
        <f t="shared" si="15"/>
        <v>Paid</v>
      </c>
      <c r="AR64" s="1" t="str">
        <f t="shared" si="16"/>
        <v>OK</v>
      </c>
      <c r="AS64" s="1" t="s">
        <v>76</v>
      </c>
      <c r="AT64" s="3" t="str">
        <f t="shared" si="17"/>
        <v>Cancelled</v>
      </c>
      <c r="AU64" s="3" t="str">
        <f t="shared" si="18"/>
        <v>EXCLUDE_FROM_SALES</v>
      </c>
      <c r="AV64" s="3" t="str">
        <f t="shared" si="24"/>
        <v>INVALID</v>
      </c>
      <c r="AW64" t="str">
        <f t="shared" si="25"/>
        <v>MISMATCH</v>
      </c>
      <c r="AX64" t="str">
        <f t="shared" si="26"/>
        <v>MISMATCH</v>
      </c>
    </row>
    <row r="65" spans="1:50">
      <c r="A65" s="1" t="s">
        <v>563</v>
      </c>
      <c r="B65" s="1">
        <f t="shared" si="0"/>
        <v>1</v>
      </c>
      <c r="C65" s="16">
        <v>45594</v>
      </c>
      <c r="D65" s="16">
        <v>45594</v>
      </c>
      <c r="E65" s="16" t="str">
        <f t="shared" si="19"/>
        <v>Oct</v>
      </c>
      <c r="F65" s="1">
        <f t="shared" si="20"/>
        <v>2024</v>
      </c>
      <c r="G65" t="s">
        <v>380</v>
      </c>
      <c r="H65" s="17">
        <v>45293</v>
      </c>
      <c r="I65" s="21">
        <f t="shared" si="21"/>
        <v>-301</v>
      </c>
      <c r="J65" s="6" t="str">
        <f t="shared" si="22"/>
        <v>INVALID_SHIPPING</v>
      </c>
      <c r="K65" s="1" t="s">
        <v>565</v>
      </c>
      <c r="L65" s="1" t="s">
        <v>169</v>
      </c>
      <c r="M65" s="1" t="str">
        <f t="shared" si="1"/>
        <v>Rohan Mehta</v>
      </c>
      <c r="N65" s="1" t="s">
        <v>110</v>
      </c>
      <c r="O65" s="1" t="str">
        <f t="shared" si="2"/>
        <v>Home Office</v>
      </c>
      <c r="P65" s="1" t="s">
        <v>41</v>
      </c>
      <c r="Q65" s="1" t="str">
        <f t="shared" si="3"/>
        <v>East</v>
      </c>
      <c r="R65" s="1" t="str">
        <f t="shared" si="4"/>
        <v>OK</v>
      </c>
      <c r="S65" s="1" t="s">
        <v>116</v>
      </c>
      <c r="T65" s="1" t="str">
        <f t="shared" si="5"/>
        <v>West Bengal</v>
      </c>
      <c r="U65" s="1" t="s">
        <v>117</v>
      </c>
      <c r="V65" s="1" t="str">
        <f t="shared" si="6"/>
        <v>Kolkata</v>
      </c>
      <c r="W65" s="1" t="s">
        <v>44</v>
      </c>
      <c r="X65" s="1" t="str">
        <f t="shared" si="7"/>
        <v>Furniture</v>
      </c>
      <c r="Y65" s="1" t="s">
        <v>63</v>
      </c>
      <c r="Z65" s="1" t="str">
        <f t="shared" si="8"/>
        <v>Furnishings</v>
      </c>
      <c r="AA65" s="1" t="s">
        <v>566</v>
      </c>
      <c r="AB65" s="1" t="s">
        <v>55</v>
      </c>
      <c r="AC65" s="1" t="str">
        <f t="shared" si="9"/>
        <v>First Class</v>
      </c>
      <c r="AD65" s="1" t="str">
        <f t="shared" si="10"/>
        <v>OK</v>
      </c>
      <c r="AE65" s="1">
        <v>3</v>
      </c>
      <c r="AF65" s="1">
        <v>4302.8900000000003</v>
      </c>
      <c r="AG65" s="9">
        <v>0.05</v>
      </c>
      <c r="AH65" s="9">
        <f t="shared" si="11"/>
        <v>0.05</v>
      </c>
      <c r="AI65" s="1" t="str">
        <f t="shared" si="12"/>
        <v>OK</v>
      </c>
      <c r="AJ65" s="1">
        <v>12263.24</v>
      </c>
      <c r="AK65" s="1">
        <v>8925.57</v>
      </c>
      <c r="AL65" s="1">
        <v>3337.67</v>
      </c>
      <c r="AM65" s="13">
        <f t="shared" si="13"/>
        <v>12263.236500000001</v>
      </c>
      <c r="AN65" s="9">
        <f t="shared" si="14"/>
        <v>3337.6665000000012</v>
      </c>
      <c r="AO65" s="9">
        <f t="shared" si="23"/>
        <v>0.27216848504878799</v>
      </c>
      <c r="AP65" s="1" t="s">
        <v>33</v>
      </c>
      <c r="AQ65" s="1" t="str">
        <f t="shared" si="15"/>
        <v>Paid</v>
      </c>
      <c r="AR65" s="1" t="str">
        <f t="shared" si="16"/>
        <v>OK</v>
      </c>
      <c r="AS65" s="1" t="s">
        <v>34</v>
      </c>
      <c r="AT65" s="3" t="str">
        <f t="shared" si="17"/>
        <v>Completed</v>
      </c>
      <c r="AU65" s="3" t="str">
        <f t="shared" si="18"/>
        <v>OK</v>
      </c>
      <c r="AV65" s="3" t="str">
        <f t="shared" si="24"/>
        <v>INVALID</v>
      </c>
      <c r="AW65" t="str">
        <f t="shared" si="25"/>
        <v>MATCH</v>
      </c>
      <c r="AX65" t="str">
        <f t="shared" si="26"/>
        <v>MATCH</v>
      </c>
    </row>
    <row r="66" spans="1:50" hidden="1">
      <c r="A66" s="1" t="s">
        <v>567</v>
      </c>
      <c r="B66" s="1">
        <f t="shared" ref="B66:B129" si="27">COUNTIF($A:$A,A66)</f>
        <v>1</v>
      </c>
      <c r="C66" s="16">
        <v>45519</v>
      </c>
      <c r="D66" s="16">
        <v>45519</v>
      </c>
      <c r="E66" s="16" t="str">
        <f t="shared" si="19"/>
        <v>Aug</v>
      </c>
      <c r="F66" s="1">
        <f t="shared" si="20"/>
        <v>2024</v>
      </c>
      <c r="G66" t="s">
        <v>384</v>
      </c>
      <c r="H66" s="17">
        <v>45655</v>
      </c>
      <c r="I66" s="21">
        <f t="shared" si="21"/>
        <v>136</v>
      </c>
      <c r="J66" s="6" t="str">
        <f t="shared" si="22"/>
        <v>OK</v>
      </c>
      <c r="K66" s="1" t="s">
        <v>569</v>
      </c>
      <c r="L66" s="1" t="s">
        <v>103</v>
      </c>
      <c r="M66" s="1" t="str">
        <f t="shared" ref="M66:M129" si="28">PROPER(TRIM(SUBSTITUTE(L66,CHAR(160)," ")))</f>
        <v>Aditi Sen</v>
      </c>
      <c r="N66" s="1" t="s">
        <v>40</v>
      </c>
      <c r="O66" s="1" t="str">
        <f t="shared" ref="O66:O129" si="29">PROPER(TRIM(SUBSTITUTE(N66,CHAR(160)," ")))</f>
        <v>Small Business</v>
      </c>
      <c r="P66" s="1" t="s">
        <v>41</v>
      </c>
      <c r="Q66" s="1" t="str">
        <f t="shared" ref="Q66:Q129" si="30">IF(TRIM(P66)="","Unknown",PROPER(TRIM(P66)))</f>
        <v>East</v>
      </c>
      <c r="R66" s="1" t="str">
        <f t="shared" ref="R66:R129" si="31">IF(Q66="Unknown","MISSING_REGION","OK")</f>
        <v>OK</v>
      </c>
      <c r="S66" s="1" t="s">
        <v>42</v>
      </c>
      <c r="T66" s="1" t="str">
        <f t="shared" ref="T66:T129" si="32">PROPER(TRIM(SUBSTITUTE(S66,CHAR(160)," ")))</f>
        <v>Odisha</v>
      </c>
      <c r="U66" s="1" t="s">
        <v>43</v>
      </c>
      <c r="V66" s="1" t="str">
        <f t="shared" ref="V66:V129" si="33">PROPER(TRIM(SUBSTITUTE(U66,CHAR(160)," ")))</f>
        <v>Bhubaneswar</v>
      </c>
      <c r="W66" s="1" t="s">
        <v>44</v>
      </c>
      <c r="X66" s="1" t="str">
        <f t="shared" ref="X66:X129" si="34">PROPER(TRIM(SUBSTITUTE(W66,CHAR(160)," ")))</f>
        <v>Furniture</v>
      </c>
      <c r="Y66" s="1" t="s">
        <v>190</v>
      </c>
      <c r="Z66" s="1" t="str">
        <f t="shared" ref="Z66:Z129" si="35">PROPER(TRIM(SUBSTITUTE(Y66,CHAR(160)," ")))</f>
        <v>Bookcases</v>
      </c>
      <c r="AA66" s="1" t="s">
        <v>570</v>
      </c>
      <c r="AB66" s="1" t="s">
        <v>47</v>
      </c>
      <c r="AC66" s="1" t="str">
        <f t="shared" ref="AC66:AC129" si="36">IF(TRIM(AB66)="","Unknown",PROPER(TRIM(AB66)))</f>
        <v>Same Day</v>
      </c>
      <c r="AD66" s="1" t="str">
        <f t="shared" ref="AD66:AD129" si="37">IF(AC66="Unknown","MISSING_SHIP_MODE","OK")</f>
        <v>OK</v>
      </c>
      <c r="AE66" s="1">
        <v>2</v>
      </c>
      <c r="AF66" s="1">
        <v>537.54</v>
      </c>
      <c r="AG66" s="9">
        <v>0.25</v>
      </c>
      <c r="AH66" s="9">
        <f t="shared" ref="AH66:AH129" si="38">IF(RIGHT(AG66,1)="%",VALUE(SUBSTITUTE(AG66,"%",""))/100,AG66)</f>
        <v>0.25</v>
      </c>
      <c r="AI66" s="1" t="str">
        <f t="shared" ref="AI66:AI129" si="39">IF(AG66="","Missing Discount",
IF(AG66&lt;0,"Invalid Negative Discount",
"OK"))</f>
        <v>OK</v>
      </c>
      <c r="AJ66" s="1">
        <v>806.31</v>
      </c>
      <c r="AK66" s="1">
        <v>498.5</v>
      </c>
      <c r="AL66" s="1">
        <v>307.81</v>
      </c>
      <c r="AM66" s="13">
        <f t="shared" ref="AM66:AM129" si="40">IF(AH66&lt;0,"INVALID",AE66*AF66*(1-AH66))</f>
        <v>806.31</v>
      </c>
      <c r="AN66" s="9">
        <f t="shared" ref="AN66:AN129" si="41">IF(AM66="INVALID","INVALID",
AM66-AK66)</f>
        <v>307.80999999999995</v>
      </c>
      <c r="AO66" s="9">
        <f t="shared" si="23"/>
        <v>0.38175143555208291</v>
      </c>
      <c r="AP66" s="1" t="s">
        <v>33</v>
      </c>
      <c r="AQ66" s="1" t="str">
        <f t="shared" ref="AQ66:AQ129" si="42">PROPER(TRIM(SUBSTITUTE(AP66,CHAR(160)," ")))</f>
        <v>Paid</v>
      </c>
      <c r="AR66" s="1" t="str">
        <f t="shared" ref="AR66:AR129" si="43">IF(AQ66="Failed","EXCLUDE_FROM_SALES",
IF(AQ66="Refunded","REFUNDED_PAYMENT",
"OK"))</f>
        <v>OK</v>
      </c>
      <c r="AS66" s="1" t="s">
        <v>34</v>
      </c>
      <c r="AT66" s="3" t="str">
        <f t="shared" ref="AT66:AT129" si="44">PROPER(TRIM(SUBSTITUTE(AS66,CHAR(160)," ")))</f>
        <v>Completed</v>
      </c>
      <c r="AU66" s="3" t="str">
        <f t="shared" ref="AU66:AU129" si="45">IF(AT66="Cancelled","EXCLUDE_FROM_SALES",
IF(AT66="Returned","RETURNED_ORDER",
"OK"))</f>
        <v>OK</v>
      </c>
      <c r="AV66" s="3" t="str">
        <f t="shared" si="24"/>
        <v>CLEAN</v>
      </c>
      <c r="AW66" t="str">
        <f t="shared" si="25"/>
        <v>MATCH</v>
      </c>
      <c r="AX66" t="str">
        <f t="shared" si="26"/>
        <v>MATCH</v>
      </c>
    </row>
    <row r="67" spans="1:50">
      <c r="A67" s="1" t="s">
        <v>575</v>
      </c>
      <c r="B67" s="1">
        <f t="shared" si="27"/>
        <v>1</v>
      </c>
      <c r="C67" s="16">
        <v>45583</v>
      </c>
      <c r="D67" s="16">
        <v>45583</v>
      </c>
      <c r="E67" s="16" t="str">
        <f t="shared" ref="E67:E130" si="46">TEXT(D67,"mmm")</f>
        <v>Oct</v>
      </c>
      <c r="F67" s="1">
        <f t="shared" ref="F67:F130" si="47">YEAR(D67)</f>
        <v>2024</v>
      </c>
      <c r="G67" t="s">
        <v>388</v>
      </c>
      <c r="H67" s="17">
        <v>45409</v>
      </c>
      <c r="I67" s="21">
        <f t="shared" ref="I67:I130" si="48">H67-D67</f>
        <v>-174</v>
      </c>
      <c r="J67" s="6" t="str">
        <f t="shared" ref="J67:J130" si="49">IF(I67&lt;0,"INVALID_SHIPPING","OK")</f>
        <v>INVALID_SHIPPING</v>
      </c>
      <c r="K67" s="1" t="s">
        <v>577</v>
      </c>
      <c r="L67" s="1" t="s">
        <v>80</v>
      </c>
      <c r="M67" s="1" t="str">
        <f t="shared" si="28"/>
        <v>Vikram Iyer</v>
      </c>
      <c r="N67" s="1" t="s">
        <v>104</v>
      </c>
      <c r="O67" s="1" t="str">
        <f t="shared" si="29"/>
        <v>Corporate</v>
      </c>
      <c r="P67" s="1" t="s">
        <v>60</v>
      </c>
      <c r="Q67" s="1" t="str">
        <f t="shared" si="30"/>
        <v>South</v>
      </c>
      <c r="R67" s="1" t="str">
        <f t="shared" si="31"/>
        <v>OK</v>
      </c>
      <c r="S67" s="1" t="s">
        <v>224</v>
      </c>
      <c r="T67" s="1" t="str">
        <f t="shared" si="32"/>
        <v>Kerala</v>
      </c>
      <c r="U67" s="1" t="s">
        <v>225</v>
      </c>
      <c r="V67" s="1" t="str">
        <f t="shared" si="33"/>
        <v>Kochi</v>
      </c>
      <c r="W67" s="1" t="s">
        <v>29</v>
      </c>
      <c r="X67" s="1" t="str">
        <f t="shared" si="34"/>
        <v>Office Supplies</v>
      </c>
      <c r="Y67" s="1" t="s">
        <v>105</v>
      </c>
      <c r="Z67" s="1" t="str">
        <f t="shared" si="35"/>
        <v>Labels</v>
      </c>
      <c r="AA67" s="1" t="s">
        <v>578</v>
      </c>
      <c r="AB67" s="1" t="s">
        <v>55</v>
      </c>
      <c r="AC67" s="1" t="str">
        <f t="shared" si="36"/>
        <v>First Class</v>
      </c>
      <c r="AD67" s="1" t="str">
        <f t="shared" si="37"/>
        <v>OK</v>
      </c>
      <c r="AE67" s="1">
        <v>2</v>
      </c>
      <c r="AF67" s="1">
        <v>2250.4699999999998</v>
      </c>
      <c r="AG67" s="9">
        <v>0</v>
      </c>
      <c r="AH67" s="9">
        <f t="shared" si="38"/>
        <v>0</v>
      </c>
      <c r="AI67" s="1" t="str">
        <f t="shared" si="39"/>
        <v>OK</v>
      </c>
      <c r="AJ67" s="1">
        <v>4500.9399999999996</v>
      </c>
      <c r="AK67" s="1">
        <v>2607.73</v>
      </c>
      <c r="AL67" s="1">
        <v>1893.21</v>
      </c>
      <c r="AM67" s="13">
        <f t="shared" si="40"/>
        <v>4500.9399999999996</v>
      </c>
      <c r="AN67" s="9">
        <f t="shared" si="41"/>
        <v>1893.2099999999996</v>
      </c>
      <c r="AO67" s="9">
        <f t="shared" ref="AO67:AO130" si="50">IF(OR(AM67="INVALID",AN67="INVALID"),"",AN67/AM67)</f>
        <v>0.42062546934640316</v>
      </c>
      <c r="AP67" s="1" t="s">
        <v>119</v>
      </c>
      <c r="AQ67" s="1" t="str">
        <f t="shared" si="42"/>
        <v>Refunded</v>
      </c>
      <c r="AR67" s="1" t="str">
        <f t="shared" si="43"/>
        <v>REFUNDED_PAYMENT</v>
      </c>
      <c r="AS67" s="1" t="s">
        <v>76</v>
      </c>
      <c r="AT67" s="3" t="str">
        <f t="shared" si="44"/>
        <v>Cancelled</v>
      </c>
      <c r="AU67" s="3" t="str">
        <f t="shared" si="45"/>
        <v>EXCLUDE_FROM_SALES</v>
      </c>
      <c r="AV67" s="3" t="str">
        <f t="shared" ref="AV67:AV130" si="51">IF(OR(AI67&lt;&gt;"OK",J67="INVALID_SHIPPING"),
"INVALID",
IF(OR(R67&lt;&gt;"OK",AD67&lt;&gt;"OK"),
"WARNING",
"CLEAN"))</f>
        <v>INVALID</v>
      </c>
      <c r="AW67" t="str">
        <f t="shared" ref="AW67:AW130" si="52">IF(AM67="INVALID","INVALID",
IF(ROUND(AJ67,2)=ROUND(AM67,2),"MATCH","MISMATCH"))</f>
        <v>MATCH</v>
      </c>
      <c r="AX67" t="str">
        <f t="shared" ref="AX67:AX130" si="53">IF(AN67="INVALID","INVALID",IF(ROUND(AL67,2)=ROUND(AN67,2),"MATCH","MISMATCH"))</f>
        <v>MATCH</v>
      </c>
    </row>
    <row r="68" spans="1:50" hidden="1">
      <c r="A68" s="1" t="s">
        <v>584</v>
      </c>
      <c r="B68" s="1">
        <f t="shared" si="27"/>
        <v>1</v>
      </c>
      <c r="C68" s="16">
        <v>45566</v>
      </c>
      <c r="D68" s="16">
        <v>45566</v>
      </c>
      <c r="E68" s="16" t="str">
        <f t="shared" si="46"/>
        <v>Oct</v>
      </c>
      <c r="F68" s="1">
        <f t="shared" si="47"/>
        <v>2024</v>
      </c>
      <c r="G68" t="s">
        <v>393</v>
      </c>
      <c r="H68" s="17">
        <v>45901</v>
      </c>
      <c r="I68" s="21">
        <f t="shared" si="48"/>
        <v>335</v>
      </c>
      <c r="J68" s="6" t="str">
        <f t="shared" si="49"/>
        <v>OK</v>
      </c>
      <c r="K68" s="1" t="s">
        <v>586</v>
      </c>
      <c r="L68" s="1" t="s">
        <v>158</v>
      </c>
      <c r="M68" s="1" t="str">
        <f t="shared" si="28"/>
        <v>Sneha Kapoor</v>
      </c>
      <c r="N68" s="1" t="s">
        <v>25</v>
      </c>
      <c r="O68" s="1" t="str">
        <f t="shared" si="29"/>
        <v>Consumer</v>
      </c>
      <c r="P68" s="1"/>
      <c r="Q68" s="1" t="str">
        <f t="shared" si="30"/>
        <v>Unknown</v>
      </c>
      <c r="R68" s="1" t="str">
        <f t="shared" si="31"/>
        <v>MISSING_REGION</v>
      </c>
      <c r="S68" s="1" t="s">
        <v>218</v>
      </c>
      <c r="T68" s="1" t="str">
        <f t="shared" si="32"/>
        <v>Gujarat</v>
      </c>
      <c r="U68" s="1" t="s">
        <v>219</v>
      </c>
      <c r="V68" s="1" t="str">
        <f t="shared" si="33"/>
        <v>Ahmedabad</v>
      </c>
      <c r="W68" s="1" t="s">
        <v>83</v>
      </c>
      <c r="X68" s="1" t="str">
        <f t="shared" si="34"/>
        <v>Technology</v>
      </c>
      <c r="Y68" s="1" t="s">
        <v>84</v>
      </c>
      <c r="Z68" s="1" t="str">
        <f t="shared" si="35"/>
        <v>Accessories</v>
      </c>
      <c r="AA68" s="1" t="s">
        <v>587</v>
      </c>
      <c r="AB68" s="1" t="s">
        <v>65</v>
      </c>
      <c r="AC68" s="1" t="str">
        <f t="shared" si="36"/>
        <v>Standard Class</v>
      </c>
      <c r="AD68" s="1" t="str">
        <f t="shared" si="37"/>
        <v>OK</v>
      </c>
      <c r="AE68" s="1">
        <v>3</v>
      </c>
      <c r="AF68" s="1">
        <v>3829.48</v>
      </c>
      <c r="AG68" s="9">
        <v>0.05</v>
      </c>
      <c r="AH68" s="9">
        <f t="shared" si="38"/>
        <v>0.05</v>
      </c>
      <c r="AI68" s="1" t="str">
        <f t="shared" si="39"/>
        <v>OK</v>
      </c>
      <c r="AJ68" s="1">
        <v>10914.02</v>
      </c>
      <c r="AK68" s="1">
        <v>6548.74</v>
      </c>
      <c r="AL68" s="1">
        <v>4365.28</v>
      </c>
      <c r="AM68" s="13">
        <f t="shared" si="40"/>
        <v>10914.018</v>
      </c>
      <c r="AN68" s="9">
        <f t="shared" si="41"/>
        <v>4365.2780000000002</v>
      </c>
      <c r="AO68" s="9">
        <f t="shared" si="50"/>
        <v>0.39996983695647198</v>
      </c>
      <c r="AP68" s="1" t="s">
        <v>33</v>
      </c>
      <c r="AQ68" s="1" t="str">
        <f t="shared" si="42"/>
        <v>Paid</v>
      </c>
      <c r="AR68" s="1" t="str">
        <f t="shared" si="43"/>
        <v>OK</v>
      </c>
      <c r="AS68" s="1" t="s">
        <v>34</v>
      </c>
      <c r="AT68" s="3" t="str">
        <f t="shared" si="44"/>
        <v>Completed</v>
      </c>
      <c r="AU68" s="3" t="str">
        <f t="shared" si="45"/>
        <v>OK</v>
      </c>
      <c r="AV68" s="3" t="str">
        <f t="shared" si="51"/>
        <v>WARNING</v>
      </c>
      <c r="AW68" t="str">
        <f t="shared" si="52"/>
        <v>MATCH</v>
      </c>
      <c r="AX68" t="str">
        <f t="shared" si="53"/>
        <v>MATCH</v>
      </c>
    </row>
    <row r="69" spans="1:50" hidden="1">
      <c r="A69" s="1" t="s">
        <v>588</v>
      </c>
      <c r="B69" s="1">
        <f t="shared" si="27"/>
        <v>1</v>
      </c>
      <c r="C69" s="16">
        <v>45334</v>
      </c>
      <c r="D69" s="16">
        <v>45334</v>
      </c>
      <c r="E69" s="16" t="str">
        <f t="shared" si="46"/>
        <v>Feb</v>
      </c>
      <c r="F69" s="1">
        <f t="shared" si="47"/>
        <v>2024</v>
      </c>
      <c r="G69" t="s">
        <v>398</v>
      </c>
      <c r="H69" s="17">
        <v>45840</v>
      </c>
      <c r="I69" s="21">
        <f t="shared" si="48"/>
        <v>506</v>
      </c>
      <c r="J69" s="6" t="str">
        <f t="shared" si="49"/>
        <v>OK</v>
      </c>
      <c r="K69" s="1" t="s">
        <v>468</v>
      </c>
      <c r="L69" s="1" t="s">
        <v>52</v>
      </c>
      <c r="M69" s="1" t="str">
        <f t="shared" si="28"/>
        <v>Isha Nair</v>
      </c>
      <c r="N69" s="1" t="s">
        <v>110</v>
      </c>
      <c r="O69" s="1" t="str">
        <f t="shared" si="29"/>
        <v>Home Office</v>
      </c>
      <c r="P69" s="1" t="s">
        <v>60</v>
      </c>
      <c r="Q69" s="1" t="str">
        <f t="shared" si="30"/>
        <v>South</v>
      </c>
      <c r="R69" s="1" t="str">
        <f t="shared" si="31"/>
        <v>OK</v>
      </c>
      <c r="S69" s="1" t="s">
        <v>309</v>
      </c>
      <c r="T69" s="1" t="str">
        <f t="shared" si="32"/>
        <v>Tamil Nadu</v>
      </c>
      <c r="U69" s="1" t="s">
        <v>310</v>
      </c>
      <c r="V69" s="1" t="str">
        <f t="shared" si="33"/>
        <v>Chennai</v>
      </c>
      <c r="W69" s="1" t="s">
        <v>44</v>
      </c>
      <c r="X69" s="1" t="str">
        <f t="shared" si="34"/>
        <v>Furniture</v>
      </c>
      <c r="Y69" s="1" t="s">
        <v>45</v>
      </c>
      <c r="Z69" s="1" t="str">
        <f t="shared" si="35"/>
        <v>Tables</v>
      </c>
      <c r="AA69" s="1" t="s">
        <v>590</v>
      </c>
      <c r="AB69" s="1" t="s">
        <v>65</v>
      </c>
      <c r="AC69" s="1" t="str">
        <f t="shared" si="36"/>
        <v>Standard Class</v>
      </c>
      <c r="AD69" s="1" t="str">
        <f t="shared" si="37"/>
        <v>OK</v>
      </c>
      <c r="AE69" s="1">
        <v>3</v>
      </c>
      <c r="AF69" s="1">
        <v>1089.1500000000001</v>
      </c>
      <c r="AG69" s="9">
        <v>0.25</v>
      </c>
      <c r="AH69" s="9">
        <f t="shared" si="38"/>
        <v>0.25</v>
      </c>
      <c r="AI69" s="1" t="str">
        <f t="shared" si="39"/>
        <v>OK</v>
      </c>
      <c r="AJ69" s="1">
        <v>2450.59</v>
      </c>
      <c r="AK69" s="1">
        <v>1639.89</v>
      </c>
      <c r="AL69" s="1">
        <v>810.7</v>
      </c>
      <c r="AM69" s="13">
        <f t="shared" si="40"/>
        <v>2450.5875000000001</v>
      </c>
      <c r="AN69" s="9">
        <f t="shared" si="41"/>
        <v>810.69749999999999</v>
      </c>
      <c r="AO69" s="9">
        <f t="shared" si="50"/>
        <v>0.33081761006289306</v>
      </c>
      <c r="AP69" s="1" t="s">
        <v>33</v>
      </c>
      <c r="AQ69" s="1" t="str">
        <f t="shared" si="42"/>
        <v>Paid</v>
      </c>
      <c r="AR69" s="1" t="str">
        <f t="shared" si="43"/>
        <v>OK</v>
      </c>
      <c r="AS69" s="1" t="s">
        <v>34</v>
      </c>
      <c r="AT69" s="3" t="str">
        <f t="shared" si="44"/>
        <v>Completed</v>
      </c>
      <c r="AU69" s="3" t="str">
        <f t="shared" si="45"/>
        <v>OK</v>
      </c>
      <c r="AV69" s="3" t="str">
        <f t="shared" si="51"/>
        <v>CLEAN</v>
      </c>
      <c r="AW69" t="str">
        <f t="shared" si="52"/>
        <v>MATCH</v>
      </c>
      <c r="AX69" t="str">
        <f t="shared" si="53"/>
        <v>MATCH</v>
      </c>
    </row>
    <row r="70" spans="1:50" hidden="1">
      <c r="A70" s="1" t="s">
        <v>591</v>
      </c>
      <c r="B70" s="1">
        <f t="shared" si="27"/>
        <v>1</v>
      </c>
      <c r="C70" s="16">
        <v>45560</v>
      </c>
      <c r="D70" s="16">
        <v>45560</v>
      </c>
      <c r="E70" s="16" t="str">
        <f t="shared" si="46"/>
        <v>Sep</v>
      </c>
      <c r="F70" s="1">
        <f t="shared" si="47"/>
        <v>2024</v>
      </c>
      <c r="G70" t="s">
        <v>402</v>
      </c>
      <c r="H70" s="17">
        <v>45609</v>
      </c>
      <c r="I70" s="21">
        <f t="shared" si="48"/>
        <v>49</v>
      </c>
      <c r="J70" s="6" t="str">
        <f t="shared" si="49"/>
        <v>OK</v>
      </c>
      <c r="K70" s="1" t="s">
        <v>593</v>
      </c>
      <c r="L70" s="1" t="s">
        <v>90</v>
      </c>
      <c r="M70" s="1" t="str">
        <f t="shared" si="28"/>
        <v>Neha Gupta</v>
      </c>
      <c r="N70" s="1" t="s">
        <v>40</v>
      </c>
      <c r="O70" s="1" t="str">
        <f t="shared" si="29"/>
        <v>Small Business</v>
      </c>
      <c r="P70" s="1" t="s">
        <v>26</v>
      </c>
      <c r="Q70" s="1" t="str">
        <f t="shared" si="30"/>
        <v>North</v>
      </c>
      <c r="R70" s="1" t="str">
        <f t="shared" si="31"/>
        <v>OK</v>
      </c>
      <c r="S70" s="1" t="s">
        <v>27</v>
      </c>
      <c r="T70" s="1" t="str">
        <f t="shared" si="32"/>
        <v>Rajasthan</v>
      </c>
      <c r="U70" s="1" t="s">
        <v>28</v>
      </c>
      <c r="V70" s="1" t="str">
        <f t="shared" si="33"/>
        <v>Jaipur</v>
      </c>
      <c r="W70" s="1" t="s">
        <v>83</v>
      </c>
      <c r="X70" s="1" t="str">
        <f t="shared" si="34"/>
        <v>Technology</v>
      </c>
      <c r="Y70" s="1" t="s">
        <v>84</v>
      </c>
      <c r="Z70" s="1" t="str">
        <f t="shared" si="35"/>
        <v>Accessories</v>
      </c>
      <c r="AA70" s="1" t="s">
        <v>594</v>
      </c>
      <c r="AB70" s="1" t="s">
        <v>32</v>
      </c>
      <c r="AC70" s="1" t="str">
        <f t="shared" si="36"/>
        <v>Second Class</v>
      </c>
      <c r="AD70" s="1" t="str">
        <f t="shared" si="37"/>
        <v>OK</v>
      </c>
      <c r="AE70" s="1">
        <v>1</v>
      </c>
      <c r="AF70" s="1">
        <v>4388.3999999999996</v>
      </c>
      <c r="AG70" s="9">
        <v>0.1</v>
      </c>
      <c r="AH70" s="9">
        <f t="shared" si="38"/>
        <v>0.1</v>
      </c>
      <c r="AI70" s="1" t="str">
        <f t="shared" si="39"/>
        <v>OK</v>
      </c>
      <c r="AJ70" s="1">
        <v>3949.56</v>
      </c>
      <c r="AK70" s="1">
        <v>3186.73</v>
      </c>
      <c r="AL70" s="1">
        <v>762.83</v>
      </c>
      <c r="AM70" s="13">
        <f t="shared" si="40"/>
        <v>3949.56</v>
      </c>
      <c r="AN70" s="9">
        <f t="shared" si="41"/>
        <v>762.82999999999993</v>
      </c>
      <c r="AO70" s="9">
        <f t="shared" si="50"/>
        <v>0.19314303365438173</v>
      </c>
      <c r="AP70" s="1" t="s">
        <v>131</v>
      </c>
      <c r="AQ70" s="1" t="str">
        <f t="shared" si="42"/>
        <v>Pending</v>
      </c>
      <c r="AR70" s="1" t="str">
        <f t="shared" si="43"/>
        <v>OK</v>
      </c>
      <c r="AS70" s="1" t="s">
        <v>76</v>
      </c>
      <c r="AT70" s="3" t="str">
        <f t="shared" si="44"/>
        <v>Cancelled</v>
      </c>
      <c r="AU70" s="3" t="str">
        <f t="shared" si="45"/>
        <v>EXCLUDE_FROM_SALES</v>
      </c>
      <c r="AV70" s="3" t="str">
        <f t="shared" si="51"/>
        <v>CLEAN</v>
      </c>
      <c r="AW70" t="str">
        <f t="shared" si="52"/>
        <v>MATCH</v>
      </c>
      <c r="AX70" t="str">
        <f t="shared" si="53"/>
        <v>MATCH</v>
      </c>
    </row>
    <row r="71" spans="1:50">
      <c r="A71" s="1" t="s">
        <v>595</v>
      </c>
      <c r="B71" s="1">
        <f t="shared" si="27"/>
        <v>1</v>
      </c>
      <c r="C71" s="16">
        <v>45653</v>
      </c>
      <c r="D71" s="16">
        <v>45653</v>
      </c>
      <c r="E71" s="16" t="str">
        <f t="shared" si="46"/>
        <v>Dec</v>
      </c>
      <c r="F71" s="1">
        <f t="shared" si="47"/>
        <v>2024</v>
      </c>
      <c r="G71" t="s">
        <v>406</v>
      </c>
      <c r="H71" s="17">
        <v>45396</v>
      </c>
      <c r="I71" s="21">
        <f t="shared" si="48"/>
        <v>-257</v>
      </c>
      <c r="J71" s="6" t="str">
        <f t="shared" si="49"/>
        <v>INVALID_SHIPPING</v>
      </c>
      <c r="K71" s="1" t="s">
        <v>597</v>
      </c>
      <c r="L71" s="1" t="s">
        <v>334</v>
      </c>
      <c r="M71" s="1" t="str">
        <f t="shared" si="28"/>
        <v>Kabir Singh</v>
      </c>
      <c r="N71" s="1" t="s">
        <v>104</v>
      </c>
      <c r="O71" s="1" t="str">
        <f t="shared" si="29"/>
        <v>Corporate</v>
      </c>
      <c r="P71" s="1" t="s">
        <v>60</v>
      </c>
      <c r="Q71" s="1" t="str">
        <f t="shared" si="30"/>
        <v>South</v>
      </c>
      <c r="R71" s="1" t="str">
        <f t="shared" si="31"/>
        <v>OK</v>
      </c>
      <c r="S71" s="1" t="s">
        <v>309</v>
      </c>
      <c r="T71" s="1" t="str">
        <f t="shared" si="32"/>
        <v>Tamil Nadu</v>
      </c>
      <c r="U71" s="1" t="s">
        <v>310</v>
      </c>
      <c r="V71" s="1" t="str">
        <f t="shared" si="33"/>
        <v>Chennai</v>
      </c>
      <c r="W71" s="1" t="s">
        <v>29</v>
      </c>
      <c r="X71" s="1" t="str">
        <f t="shared" si="34"/>
        <v>Office Supplies</v>
      </c>
      <c r="Y71" s="1" t="s">
        <v>184</v>
      </c>
      <c r="Z71" s="1" t="str">
        <f t="shared" si="35"/>
        <v>Binders</v>
      </c>
      <c r="AA71" s="1" t="s">
        <v>598</v>
      </c>
      <c r="AB71" s="1" t="s">
        <v>47</v>
      </c>
      <c r="AC71" s="1" t="str">
        <f t="shared" si="36"/>
        <v>Same Day</v>
      </c>
      <c r="AD71" s="1" t="str">
        <f t="shared" si="37"/>
        <v>OK</v>
      </c>
      <c r="AE71" s="1">
        <v>2</v>
      </c>
      <c r="AF71" s="1">
        <v>446.34</v>
      </c>
      <c r="AG71" s="9">
        <v>0.15</v>
      </c>
      <c r="AH71" s="9">
        <f t="shared" si="38"/>
        <v>0.15</v>
      </c>
      <c r="AI71" s="1" t="str">
        <f t="shared" si="39"/>
        <v>OK</v>
      </c>
      <c r="AJ71" s="1">
        <v>758.78</v>
      </c>
      <c r="AK71" s="1">
        <v>490.74</v>
      </c>
      <c r="AL71" s="1">
        <v>268.04000000000002</v>
      </c>
      <c r="AM71" s="13">
        <f t="shared" si="40"/>
        <v>758.77799999999991</v>
      </c>
      <c r="AN71" s="9">
        <f t="shared" si="41"/>
        <v>268.0379999999999</v>
      </c>
      <c r="AO71" s="9">
        <f t="shared" si="50"/>
        <v>0.35324956706704719</v>
      </c>
      <c r="AP71" s="1" t="s">
        <v>33</v>
      </c>
      <c r="AQ71" s="1" t="str">
        <f t="shared" si="42"/>
        <v>Paid</v>
      </c>
      <c r="AR71" s="1" t="str">
        <f t="shared" si="43"/>
        <v>OK</v>
      </c>
      <c r="AS71" s="1" t="s">
        <v>76</v>
      </c>
      <c r="AT71" s="3" t="str">
        <f t="shared" si="44"/>
        <v>Cancelled</v>
      </c>
      <c r="AU71" s="3" t="str">
        <f t="shared" si="45"/>
        <v>EXCLUDE_FROM_SALES</v>
      </c>
      <c r="AV71" s="3" t="str">
        <f t="shared" si="51"/>
        <v>INVALID</v>
      </c>
      <c r="AW71" t="str">
        <f t="shared" si="52"/>
        <v>MATCH</v>
      </c>
      <c r="AX71" t="str">
        <f t="shared" si="53"/>
        <v>MATCH</v>
      </c>
    </row>
    <row r="72" spans="1:50" hidden="1">
      <c r="A72" s="1" t="s">
        <v>603</v>
      </c>
      <c r="B72" s="1">
        <f t="shared" si="27"/>
        <v>1</v>
      </c>
      <c r="C72" s="16">
        <v>45337</v>
      </c>
      <c r="D72" s="16">
        <v>45337</v>
      </c>
      <c r="E72" s="16" t="str">
        <f t="shared" si="46"/>
        <v>Feb</v>
      </c>
      <c r="F72" s="1">
        <f t="shared" si="47"/>
        <v>2024</v>
      </c>
      <c r="G72" t="s">
        <v>410</v>
      </c>
      <c r="H72" s="17">
        <v>45896</v>
      </c>
      <c r="I72" s="21">
        <f t="shared" si="48"/>
        <v>559</v>
      </c>
      <c r="J72" s="6" t="str">
        <f t="shared" si="49"/>
        <v>OK</v>
      </c>
      <c r="K72" s="1" t="s">
        <v>605</v>
      </c>
      <c r="L72" s="1" t="s">
        <v>39</v>
      </c>
      <c r="M72" s="1" t="str">
        <f t="shared" si="28"/>
        <v>Mira Das</v>
      </c>
      <c r="N72" s="1" t="s">
        <v>110</v>
      </c>
      <c r="O72" s="1" t="str">
        <f t="shared" si="29"/>
        <v>Home Office</v>
      </c>
      <c r="P72" s="1" t="s">
        <v>60</v>
      </c>
      <c r="Q72" s="1" t="str">
        <f t="shared" si="30"/>
        <v>South</v>
      </c>
      <c r="R72" s="1" t="str">
        <f t="shared" si="31"/>
        <v>OK</v>
      </c>
      <c r="S72" s="1" t="s">
        <v>309</v>
      </c>
      <c r="T72" s="1" t="str">
        <f t="shared" si="32"/>
        <v>Tamil Nadu</v>
      </c>
      <c r="U72" s="1" t="s">
        <v>310</v>
      </c>
      <c r="V72" s="1" t="str">
        <f t="shared" si="33"/>
        <v>Chennai</v>
      </c>
      <c r="W72" s="1" t="s">
        <v>83</v>
      </c>
      <c r="X72" s="1" t="str">
        <f t="shared" si="34"/>
        <v>Technology</v>
      </c>
      <c r="Y72" s="1" t="s">
        <v>347</v>
      </c>
      <c r="Z72" s="1" t="str">
        <f t="shared" si="35"/>
        <v>Machines</v>
      </c>
      <c r="AA72" s="1" t="s">
        <v>606</v>
      </c>
      <c r="AB72" s="1" t="s">
        <v>65</v>
      </c>
      <c r="AC72" s="1" t="str">
        <f t="shared" si="36"/>
        <v>Standard Class</v>
      </c>
      <c r="AD72" s="1" t="str">
        <f t="shared" si="37"/>
        <v>OK</v>
      </c>
      <c r="AE72" s="1">
        <v>9</v>
      </c>
      <c r="AF72" s="1">
        <v>3324.55</v>
      </c>
      <c r="AG72" s="9" t="s">
        <v>607</v>
      </c>
      <c r="AH72" s="9">
        <f t="shared" si="38"/>
        <v>0.7</v>
      </c>
      <c r="AI72" s="1" t="str">
        <f t="shared" si="39"/>
        <v>OK</v>
      </c>
      <c r="AJ72" s="1">
        <v>25432.81</v>
      </c>
      <c r="AK72" s="1">
        <v>20370.16</v>
      </c>
      <c r="AL72" s="1">
        <v>5062.6499999999996</v>
      </c>
      <c r="AM72" s="13">
        <f t="shared" si="40"/>
        <v>8976.2850000000017</v>
      </c>
      <c r="AN72" s="9">
        <f t="shared" si="41"/>
        <v>-11393.874999999998</v>
      </c>
      <c r="AO72" s="9">
        <f t="shared" si="50"/>
        <v>-1.2693307977632167</v>
      </c>
      <c r="AP72" s="1" t="s">
        <v>33</v>
      </c>
      <c r="AQ72" s="1" t="str">
        <f t="shared" si="42"/>
        <v>Paid</v>
      </c>
      <c r="AR72" s="1" t="str">
        <f t="shared" si="43"/>
        <v>OK</v>
      </c>
      <c r="AS72" s="1" t="s">
        <v>34</v>
      </c>
      <c r="AT72" s="3" t="str">
        <f t="shared" si="44"/>
        <v>Completed</v>
      </c>
      <c r="AU72" s="3" t="str">
        <f t="shared" si="45"/>
        <v>OK</v>
      </c>
      <c r="AV72" s="3" t="str">
        <f t="shared" si="51"/>
        <v>CLEAN</v>
      </c>
      <c r="AW72" t="str">
        <f t="shared" si="52"/>
        <v>MISMATCH</v>
      </c>
      <c r="AX72" t="str">
        <f t="shared" si="53"/>
        <v>MISMATCH</v>
      </c>
    </row>
    <row r="73" spans="1:50" hidden="1">
      <c r="A73" s="1" t="s">
        <v>608</v>
      </c>
      <c r="B73" s="1">
        <f t="shared" si="27"/>
        <v>1</v>
      </c>
      <c r="C73" s="16">
        <v>45571</v>
      </c>
      <c r="D73" s="16">
        <v>45571</v>
      </c>
      <c r="E73" s="16" t="str">
        <f t="shared" si="46"/>
        <v>Oct</v>
      </c>
      <c r="F73" s="1">
        <f t="shared" si="47"/>
        <v>2024</v>
      </c>
      <c r="G73" t="s">
        <v>414</v>
      </c>
      <c r="H73" s="17">
        <v>45770</v>
      </c>
      <c r="I73" s="21">
        <f t="shared" si="48"/>
        <v>199</v>
      </c>
      <c r="J73" s="6" t="str">
        <f t="shared" si="49"/>
        <v>OK</v>
      </c>
      <c r="K73" s="1" t="s">
        <v>610</v>
      </c>
      <c r="L73" s="1" t="s">
        <v>611</v>
      </c>
      <c r="M73" s="1" t="str">
        <f t="shared" si="28"/>
        <v>Vikram Iyer</v>
      </c>
      <c r="N73" s="1" t="s">
        <v>110</v>
      </c>
      <c r="O73" s="1" t="str">
        <f t="shared" si="29"/>
        <v>Home Office</v>
      </c>
      <c r="P73" s="1" t="s">
        <v>60</v>
      </c>
      <c r="Q73" s="1" t="str">
        <f t="shared" si="30"/>
        <v>South</v>
      </c>
      <c r="R73" s="1" t="str">
        <f t="shared" si="31"/>
        <v>OK</v>
      </c>
      <c r="S73" s="1" t="s">
        <v>97</v>
      </c>
      <c r="T73" s="1" t="str">
        <f t="shared" si="32"/>
        <v>Andhra Pradesh</v>
      </c>
      <c r="U73" s="1" t="s">
        <v>98</v>
      </c>
      <c r="V73" s="1" t="str">
        <f t="shared" si="33"/>
        <v>Vijayawada</v>
      </c>
      <c r="W73" s="1" t="s">
        <v>83</v>
      </c>
      <c r="X73" s="1" t="str">
        <f t="shared" si="34"/>
        <v>Technology</v>
      </c>
      <c r="Y73" s="1" t="s">
        <v>91</v>
      </c>
      <c r="Z73" s="1" t="str">
        <f t="shared" si="35"/>
        <v>Copiers</v>
      </c>
      <c r="AA73" s="1" t="s">
        <v>612</v>
      </c>
      <c r="AB73" s="1" t="s">
        <v>47</v>
      </c>
      <c r="AC73" s="1" t="str">
        <f t="shared" si="36"/>
        <v>Same Day</v>
      </c>
      <c r="AD73" s="1" t="str">
        <f t="shared" si="37"/>
        <v>OK</v>
      </c>
      <c r="AE73" s="1">
        <v>5</v>
      </c>
      <c r="AF73" s="1">
        <v>1580.27</v>
      </c>
      <c r="AG73" s="9">
        <v>0.2</v>
      </c>
      <c r="AH73" s="9">
        <f t="shared" si="38"/>
        <v>0.2</v>
      </c>
      <c r="AI73" s="1" t="str">
        <f t="shared" si="39"/>
        <v>OK</v>
      </c>
      <c r="AJ73" s="1">
        <v>6321.08</v>
      </c>
      <c r="AK73" s="1">
        <v>4407.22</v>
      </c>
      <c r="AL73" s="1">
        <v>1913.86</v>
      </c>
      <c r="AM73" s="13">
        <f t="shared" si="40"/>
        <v>6321.0800000000008</v>
      </c>
      <c r="AN73" s="9">
        <f t="shared" si="41"/>
        <v>1913.8600000000006</v>
      </c>
      <c r="AO73" s="9">
        <f t="shared" si="50"/>
        <v>0.30277420947053357</v>
      </c>
      <c r="AP73" s="1" t="s">
        <v>33</v>
      </c>
      <c r="AQ73" s="1" t="str">
        <f t="shared" si="42"/>
        <v>Paid</v>
      </c>
      <c r="AR73" s="1" t="str">
        <f t="shared" si="43"/>
        <v>OK</v>
      </c>
      <c r="AS73" s="1" t="s">
        <v>34</v>
      </c>
      <c r="AT73" s="3" t="str">
        <f t="shared" si="44"/>
        <v>Completed</v>
      </c>
      <c r="AU73" s="3" t="str">
        <f t="shared" si="45"/>
        <v>OK</v>
      </c>
      <c r="AV73" s="3" t="str">
        <f t="shared" si="51"/>
        <v>CLEAN</v>
      </c>
      <c r="AW73" t="str">
        <f t="shared" si="52"/>
        <v>MATCH</v>
      </c>
      <c r="AX73" t="str">
        <f t="shared" si="53"/>
        <v>MATCH</v>
      </c>
    </row>
    <row r="74" spans="1:50">
      <c r="A74" s="1" t="s">
        <v>613</v>
      </c>
      <c r="B74" s="1">
        <f t="shared" si="27"/>
        <v>1</v>
      </c>
      <c r="C74" s="16">
        <v>45632</v>
      </c>
      <c r="D74" s="16">
        <v>45632</v>
      </c>
      <c r="E74" s="16" t="str">
        <f t="shared" si="46"/>
        <v>Dec</v>
      </c>
      <c r="F74" s="1">
        <f t="shared" si="47"/>
        <v>2024</v>
      </c>
      <c r="G74" t="s">
        <v>418</v>
      </c>
      <c r="H74" s="17">
        <v>45329</v>
      </c>
      <c r="I74" s="21">
        <f t="shared" si="48"/>
        <v>-303</v>
      </c>
      <c r="J74" s="6" t="str">
        <f t="shared" si="49"/>
        <v>INVALID_SHIPPING</v>
      </c>
      <c r="K74" s="1" t="s">
        <v>615</v>
      </c>
      <c r="L74" s="1" t="s">
        <v>103</v>
      </c>
      <c r="M74" s="1" t="str">
        <f t="shared" si="28"/>
        <v>Aditi Sen</v>
      </c>
      <c r="N74" s="1" t="s">
        <v>40</v>
      </c>
      <c r="O74" s="1" t="str">
        <f t="shared" si="29"/>
        <v>Small Business</v>
      </c>
      <c r="P74" s="1" t="s">
        <v>60</v>
      </c>
      <c r="Q74" s="1" t="str">
        <f t="shared" si="30"/>
        <v>South</v>
      </c>
      <c r="R74" s="1" t="str">
        <f t="shared" si="31"/>
        <v>OK</v>
      </c>
      <c r="S74" s="1" t="s">
        <v>224</v>
      </c>
      <c r="T74" s="1" t="str">
        <f t="shared" si="32"/>
        <v>Kerala</v>
      </c>
      <c r="U74" s="1" t="s">
        <v>225</v>
      </c>
      <c r="V74" s="1" t="str">
        <f t="shared" si="33"/>
        <v>Kochi</v>
      </c>
      <c r="W74" s="1" t="s">
        <v>44</v>
      </c>
      <c r="X74" s="1" t="str">
        <f t="shared" si="34"/>
        <v>Furniture</v>
      </c>
      <c r="Y74" s="1" t="s">
        <v>74</v>
      </c>
      <c r="Z74" s="1" t="str">
        <f t="shared" si="35"/>
        <v>Chairs</v>
      </c>
      <c r="AA74" s="1" t="s">
        <v>616</v>
      </c>
      <c r="AB74" s="1" t="s">
        <v>65</v>
      </c>
      <c r="AC74" s="1" t="str">
        <f t="shared" si="36"/>
        <v>Standard Class</v>
      </c>
      <c r="AD74" s="1" t="str">
        <f t="shared" si="37"/>
        <v>OK</v>
      </c>
      <c r="AE74" s="1">
        <v>8</v>
      </c>
      <c r="AF74" s="1">
        <v>314.05</v>
      </c>
      <c r="AG74" s="9">
        <v>0.25</v>
      </c>
      <c r="AH74" s="9">
        <f t="shared" si="38"/>
        <v>0.25</v>
      </c>
      <c r="AI74" s="1" t="str">
        <f t="shared" si="39"/>
        <v>OK</v>
      </c>
      <c r="AJ74" s="1">
        <v>1884.3</v>
      </c>
      <c r="AK74" s="1">
        <v>1517.69</v>
      </c>
      <c r="AL74" s="1">
        <v>366.61</v>
      </c>
      <c r="AM74" s="13">
        <f t="shared" si="40"/>
        <v>1884.3000000000002</v>
      </c>
      <c r="AN74" s="9">
        <f t="shared" si="41"/>
        <v>366.61000000000013</v>
      </c>
      <c r="AO74" s="9">
        <f t="shared" si="50"/>
        <v>0.19456031417502526</v>
      </c>
      <c r="AP74" s="1" t="s">
        <v>119</v>
      </c>
      <c r="AQ74" s="1" t="str">
        <f t="shared" si="42"/>
        <v>Refunded</v>
      </c>
      <c r="AR74" s="1" t="str">
        <f t="shared" si="43"/>
        <v>REFUNDED_PAYMENT</v>
      </c>
      <c r="AS74" s="1" t="s">
        <v>120</v>
      </c>
      <c r="AT74" s="3" t="str">
        <f t="shared" si="44"/>
        <v>Returned</v>
      </c>
      <c r="AU74" s="3" t="str">
        <f t="shared" si="45"/>
        <v>RETURNED_ORDER</v>
      </c>
      <c r="AV74" s="3" t="str">
        <f t="shared" si="51"/>
        <v>INVALID</v>
      </c>
      <c r="AW74" t="str">
        <f t="shared" si="52"/>
        <v>MATCH</v>
      </c>
      <c r="AX74" t="str">
        <f t="shared" si="53"/>
        <v>MATCH</v>
      </c>
    </row>
    <row r="75" spans="1:50" hidden="1">
      <c r="A75" s="1" t="s">
        <v>617</v>
      </c>
      <c r="B75" s="1">
        <f t="shared" si="27"/>
        <v>1</v>
      </c>
      <c r="C75" s="16">
        <v>45573</v>
      </c>
      <c r="D75" s="16">
        <v>45573</v>
      </c>
      <c r="E75" s="16" t="str">
        <f t="shared" si="46"/>
        <v>Oct</v>
      </c>
      <c r="F75" s="1">
        <f t="shared" si="47"/>
        <v>2024</v>
      </c>
      <c r="G75" t="s">
        <v>422</v>
      </c>
      <c r="H75" s="17">
        <v>45750</v>
      </c>
      <c r="I75" s="21">
        <f t="shared" si="48"/>
        <v>177</v>
      </c>
      <c r="J75" s="6" t="str">
        <f t="shared" si="49"/>
        <v>OK</v>
      </c>
      <c r="K75" s="1" t="s">
        <v>619</v>
      </c>
      <c r="L75" s="1" t="s">
        <v>158</v>
      </c>
      <c r="M75" s="1" t="str">
        <f t="shared" si="28"/>
        <v>Sneha Kapoor</v>
      </c>
      <c r="N75" s="1" t="s">
        <v>40</v>
      </c>
      <c r="O75" s="1" t="str">
        <f t="shared" si="29"/>
        <v>Small Business</v>
      </c>
      <c r="P75" s="1" t="s">
        <v>41</v>
      </c>
      <c r="Q75" s="1" t="str">
        <f t="shared" si="30"/>
        <v>East</v>
      </c>
      <c r="R75" s="1" t="str">
        <f t="shared" si="31"/>
        <v>OK</v>
      </c>
      <c r="S75" s="1" t="s">
        <v>174</v>
      </c>
      <c r="T75" s="1" t="str">
        <f t="shared" si="32"/>
        <v>Bihar</v>
      </c>
      <c r="U75" s="1" t="s">
        <v>175</v>
      </c>
      <c r="V75" s="1" t="str">
        <f t="shared" si="33"/>
        <v>Patna</v>
      </c>
      <c r="W75" s="1" t="s">
        <v>83</v>
      </c>
      <c r="X75" s="1" t="str">
        <f t="shared" si="34"/>
        <v>Technology</v>
      </c>
      <c r="Y75" s="1" t="s">
        <v>207</v>
      </c>
      <c r="Z75" s="1" t="str">
        <f t="shared" si="35"/>
        <v>Phones</v>
      </c>
      <c r="AA75" s="1" t="s">
        <v>620</v>
      </c>
      <c r="AB75" s="1" t="s">
        <v>65</v>
      </c>
      <c r="AC75" s="1" t="str">
        <f t="shared" si="36"/>
        <v>Standard Class</v>
      </c>
      <c r="AD75" s="1" t="str">
        <f t="shared" si="37"/>
        <v>OK</v>
      </c>
      <c r="AE75" s="1">
        <v>1</v>
      </c>
      <c r="AF75" s="1">
        <v>1823.67</v>
      </c>
      <c r="AG75" s="9">
        <v>0.2</v>
      </c>
      <c r="AH75" s="9">
        <f t="shared" si="38"/>
        <v>0.2</v>
      </c>
      <c r="AI75" s="1" t="str">
        <f t="shared" si="39"/>
        <v>OK</v>
      </c>
      <c r="AJ75" s="1">
        <v>1458.94</v>
      </c>
      <c r="AK75" s="1">
        <v>893.2</v>
      </c>
      <c r="AL75" s="1">
        <v>565.74</v>
      </c>
      <c r="AM75" s="13">
        <f t="shared" si="40"/>
        <v>1458.9360000000001</v>
      </c>
      <c r="AN75" s="9">
        <f t="shared" si="41"/>
        <v>565.7360000000001</v>
      </c>
      <c r="AO75" s="9">
        <f t="shared" si="50"/>
        <v>0.38777300717783375</v>
      </c>
      <c r="AP75" s="1" t="s">
        <v>33</v>
      </c>
      <c r="AQ75" s="1" t="str">
        <f t="shared" si="42"/>
        <v>Paid</v>
      </c>
      <c r="AR75" s="1" t="str">
        <f t="shared" si="43"/>
        <v>OK</v>
      </c>
      <c r="AS75" s="1" t="s">
        <v>120</v>
      </c>
      <c r="AT75" s="3" t="str">
        <f t="shared" si="44"/>
        <v>Returned</v>
      </c>
      <c r="AU75" s="3" t="str">
        <f t="shared" si="45"/>
        <v>RETURNED_ORDER</v>
      </c>
      <c r="AV75" s="3" t="str">
        <f t="shared" si="51"/>
        <v>CLEAN</v>
      </c>
      <c r="AW75" t="str">
        <f t="shared" si="52"/>
        <v>MATCH</v>
      </c>
      <c r="AX75" t="str">
        <f t="shared" si="53"/>
        <v>MATCH</v>
      </c>
    </row>
    <row r="76" spans="1:50" hidden="1">
      <c r="A76" s="1" t="s">
        <v>627</v>
      </c>
      <c r="B76" s="1">
        <f t="shared" si="27"/>
        <v>1</v>
      </c>
      <c r="C76" s="16">
        <v>45626</v>
      </c>
      <c r="D76" s="16">
        <v>45626</v>
      </c>
      <c r="E76" s="16" t="str">
        <f t="shared" si="46"/>
        <v>Nov</v>
      </c>
      <c r="F76" s="1">
        <f t="shared" si="47"/>
        <v>2024</v>
      </c>
      <c r="G76" t="s">
        <v>426</v>
      </c>
      <c r="H76" s="17">
        <v>45717</v>
      </c>
      <c r="I76" s="21">
        <f t="shared" si="48"/>
        <v>91</v>
      </c>
      <c r="J76" s="6" t="str">
        <f t="shared" si="49"/>
        <v>OK</v>
      </c>
      <c r="K76" s="1" t="s">
        <v>629</v>
      </c>
      <c r="L76" s="1" t="s">
        <v>70</v>
      </c>
      <c r="M76" s="1" t="str">
        <f t="shared" si="28"/>
        <v>Ananya Rao</v>
      </c>
      <c r="N76" s="1" t="s">
        <v>40</v>
      </c>
      <c r="O76" s="1" t="str">
        <f t="shared" si="29"/>
        <v>Small Business</v>
      </c>
      <c r="P76" s="1" t="s">
        <v>41</v>
      </c>
      <c r="Q76" s="1" t="str">
        <f t="shared" si="30"/>
        <v>East</v>
      </c>
      <c r="R76" s="1" t="str">
        <f t="shared" si="31"/>
        <v>OK</v>
      </c>
      <c r="S76" s="1" t="s">
        <v>201</v>
      </c>
      <c r="T76" s="1" t="str">
        <f t="shared" si="32"/>
        <v>Assam</v>
      </c>
      <c r="U76" s="1" t="s">
        <v>202</v>
      </c>
      <c r="V76" s="1" t="str">
        <f t="shared" si="33"/>
        <v>Guwahati</v>
      </c>
      <c r="W76" s="1" t="s">
        <v>44</v>
      </c>
      <c r="X76" s="1" t="str">
        <f t="shared" si="34"/>
        <v>Furniture</v>
      </c>
      <c r="Y76" s="1" t="s">
        <v>74</v>
      </c>
      <c r="Z76" s="1" t="str">
        <f t="shared" si="35"/>
        <v>Chairs</v>
      </c>
      <c r="AA76" s="1" t="s">
        <v>630</v>
      </c>
      <c r="AB76" s="1" t="s">
        <v>32</v>
      </c>
      <c r="AC76" s="1" t="str">
        <f t="shared" si="36"/>
        <v>Second Class</v>
      </c>
      <c r="AD76" s="1" t="str">
        <f t="shared" si="37"/>
        <v>OK</v>
      </c>
      <c r="AE76" s="1">
        <v>3</v>
      </c>
      <c r="AF76" s="1">
        <v>170.35</v>
      </c>
      <c r="AG76" s="9">
        <v>0</v>
      </c>
      <c r="AH76" s="9">
        <f t="shared" si="38"/>
        <v>0</v>
      </c>
      <c r="AI76" s="1" t="str">
        <f t="shared" si="39"/>
        <v>OK</v>
      </c>
      <c r="AJ76" s="1">
        <v>511.05</v>
      </c>
      <c r="AK76" s="1">
        <v>367.18</v>
      </c>
      <c r="AL76" s="1">
        <v>143.87</v>
      </c>
      <c r="AM76" s="13">
        <f t="shared" si="40"/>
        <v>511.04999999999995</v>
      </c>
      <c r="AN76" s="9">
        <f t="shared" si="41"/>
        <v>143.86999999999995</v>
      </c>
      <c r="AO76" s="9">
        <f t="shared" si="50"/>
        <v>0.28151844242246349</v>
      </c>
      <c r="AP76" s="1" t="s">
        <v>33</v>
      </c>
      <c r="AQ76" s="1" t="str">
        <f t="shared" si="42"/>
        <v>Paid</v>
      </c>
      <c r="AR76" s="1" t="str">
        <f t="shared" si="43"/>
        <v>OK</v>
      </c>
      <c r="AS76" s="1" t="s">
        <v>34</v>
      </c>
      <c r="AT76" s="3" t="str">
        <f t="shared" si="44"/>
        <v>Completed</v>
      </c>
      <c r="AU76" s="3" t="str">
        <f t="shared" si="45"/>
        <v>OK</v>
      </c>
      <c r="AV76" s="3" t="str">
        <f t="shared" si="51"/>
        <v>CLEAN</v>
      </c>
      <c r="AW76" t="str">
        <f t="shared" si="52"/>
        <v>MATCH</v>
      </c>
      <c r="AX76" t="str">
        <f t="shared" si="53"/>
        <v>MATCH</v>
      </c>
    </row>
    <row r="77" spans="1:50" hidden="1">
      <c r="A77" s="1" t="s">
        <v>631</v>
      </c>
      <c r="B77" s="1">
        <f t="shared" si="27"/>
        <v>3</v>
      </c>
      <c r="C77" s="16">
        <v>45436</v>
      </c>
      <c r="D77" s="16">
        <v>45436</v>
      </c>
      <c r="E77" s="16" t="str">
        <f t="shared" si="46"/>
        <v>May</v>
      </c>
      <c r="F77" s="1">
        <f t="shared" si="47"/>
        <v>2024</v>
      </c>
      <c r="G77" t="s">
        <v>430</v>
      </c>
      <c r="H77" s="17">
        <v>45896</v>
      </c>
      <c r="I77" s="21">
        <f t="shared" si="48"/>
        <v>460</v>
      </c>
      <c r="J77" s="6" t="str">
        <f t="shared" si="49"/>
        <v>OK</v>
      </c>
      <c r="K77" s="1" t="s">
        <v>634</v>
      </c>
      <c r="L77" s="1" t="s">
        <v>158</v>
      </c>
      <c r="M77" s="1" t="str">
        <f t="shared" si="28"/>
        <v>Sneha Kapoor</v>
      </c>
      <c r="N77" s="1" t="s">
        <v>40</v>
      </c>
      <c r="O77" s="1" t="str">
        <f t="shared" si="29"/>
        <v>Small Business</v>
      </c>
      <c r="P77" s="1" t="s">
        <v>635</v>
      </c>
      <c r="Q77" s="1" t="str">
        <f t="shared" si="30"/>
        <v>North</v>
      </c>
      <c r="R77" s="1" t="str">
        <f t="shared" si="31"/>
        <v>OK</v>
      </c>
      <c r="S77" s="1" t="s">
        <v>146</v>
      </c>
      <c r="T77" s="1" t="str">
        <f t="shared" si="32"/>
        <v>Punjab</v>
      </c>
      <c r="U77" s="1" t="s">
        <v>147</v>
      </c>
      <c r="V77" s="1" t="str">
        <f t="shared" si="33"/>
        <v>Ludhiana</v>
      </c>
      <c r="W77" s="1" t="s">
        <v>83</v>
      </c>
      <c r="X77" s="1" t="str">
        <f t="shared" si="34"/>
        <v>Technology</v>
      </c>
      <c r="Y77" s="1" t="s">
        <v>91</v>
      </c>
      <c r="Z77" s="1" t="str">
        <f t="shared" si="35"/>
        <v>Copiers</v>
      </c>
      <c r="AA77" s="1" t="s">
        <v>636</v>
      </c>
      <c r="AB77" s="1" t="s">
        <v>47</v>
      </c>
      <c r="AC77" s="1" t="str">
        <f t="shared" si="36"/>
        <v>Same Day</v>
      </c>
      <c r="AD77" s="1" t="str">
        <f t="shared" si="37"/>
        <v>OK</v>
      </c>
      <c r="AE77" s="1">
        <v>1</v>
      </c>
      <c r="AF77" s="1">
        <v>634.13</v>
      </c>
      <c r="AG77" s="9">
        <v>0</v>
      </c>
      <c r="AH77" s="9">
        <f t="shared" si="38"/>
        <v>0</v>
      </c>
      <c r="AI77" s="1" t="str">
        <f t="shared" si="39"/>
        <v>OK</v>
      </c>
      <c r="AJ77" s="1">
        <v>634.13</v>
      </c>
      <c r="AK77" s="1">
        <v>453.35</v>
      </c>
      <c r="AL77" s="1">
        <v>180.78</v>
      </c>
      <c r="AM77" s="13">
        <f t="shared" si="40"/>
        <v>634.13</v>
      </c>
      <c r="AN77" s="9">
        <f t="shared" si="41"/>
        <v>180.77999999999997</v>
      </c>
      <c r="AO77" s="9">
        <f t="shared" si="50"/>
        <v>0.28508350022865969</v>
      </c>
      <c r="AP77" s="1" t="s">
        <v>119</v>
      </c>
      <c r="AQ77" s="1" t="str">
        <f t="shared" si="42"/>
        <v>Refunded</v>
      </c>
      <c r="AR77" s="1" t="str">
        <f t="shared" si="43"/>
        <v>REFUNDED_PAYMENT</v>
      </c>
      <c r="AS77" s="1" t="s">
        <v>76</v>
      </c>
      <c r="AT77" s="3" t="str">
        <f t="shared" si="44"/>
        <v>Cancelled</v>
      </c>
      <c r="AU77" s="3" t="str">
        <f t="shared" si="45"/>
        <v>EXCLUDE_FROM_SALES</v>
      </c>
      <c r="AV77" s="3" t="str">
        <f t="shared" si="51"/>
        <v>CLEAN</v>
      </c>
      <c r="AW77" t="str">
        <f t="shared" si="52"/>
        <v>MATCH</v>
      </c>
      <c r="AX77" t="str">
        <f t="shared" si="53"/>
        <v>MATCH</v>
      </c>
    </row>
    <row r="78" spans="1:50" ht="15.6" hidden="1">
      <c r="A78" s="1" t="s">
        <v>631</v>
      </c>
      <c r="B78" s="1">
        <f t="shared" si="27"/>
        <v>3</v>
      </c>
      <c r="C78" s="16">
        <v>45436</v>
      </c>
      <c r="D78" s="16">
        <v>45436</v>
      </c>
      <c r="E78" s="16" t="str">
        <f t="shared" si="46"/>
        <v>May</v>
      </c>
      <c r="F78" s="1">
        <f t="shared" si="47"/>
        <v>2024</v>
      </c>
      <c r="G78" t="s">
        <v>435</v>
      </c>
      <c r="H78" s="17">
        <v>45607</v>
      </c>
      <c r="I78" s="21">
        <f t="shared" si="48"/>
        <v>171</v>
      </c>
      <c r="J78" s="6" t="str">
        <f t="shared" si="49"/>
        <v>OK</v>
      </c>
      <c r="K78" s="1" t="s">
        <v>634</v>
      </c>
      <c r="L78" s="1" t="s">
        <v>158</v>
      </c>
      <c r="M78" s="1" t="str">
        <f t="shared" si="28"/>
        <v>Sneha Kapoor</v>
      </c>
      <c r="N78" s="1" t="s">
        <v>40</v>
      </c>
      <c r="O78" s="1" t="str">
        <f t="shared" si="29"/>
        <v>Small Business</v>
      </c>
      <c r="P78" s="1" t="s">
        <v>635</v>
      </c>
      <c r="Q78" s="1" t="str">
        <f t="shared" si="30"/>
        <v>North</v>
      </c>
      <c r="R78" s="1" t="str">
        <f t="shared" si="31"/>
        <v>OK</v>
      </c>
      <c r="S78" s="1" t="s">
        <v>146</v>
      </c>
      <c r="T78" s="1" t="str">
        <f t="shared" si="32"/>
        <v>Punjab</v>
      </c>
      <c r="U78" s="1" t="s">
        <v>147</v>
      </c>
      <c r="V78" s="1" t="str">
        <f t="shared" si="33"/>
        <v>Ludhiana</v>
      </c>
      <c r="W78" s="1" t="s">
        <v>83</v>
      </c>
      <c r="X78" s="1" t="str">
        <f t="shared" si="34"/>
        <v>Technology</v>
      </c>
      <c r="Y78" s="1" t="s">
        <v>91</v>
      </c>
      <c r="Z78" s="1" t="str">
        <f t="shared" si="35"/>
        <v>Copiers</v>
      </c>
      <c r="AA78" s="1" t="s">
        <v>636</v>
      </c>
      <c r="AB78" s="1" t="s">
        <v>47</v>
      </c>
      <c r="AC78" s="1" t="str">
        <f t="shared" si="36"/>
        <v>Same Day</v>
      </c>
      <c r="AD78" s="1" t="str">
        <f t="shared" si="37"/>
        <v>OK</v>
      </c>
      <c r="AE78" s="1">
        <v>1</v>
      </c>
      <c r="AF78" s="1">
        <v>634.13</v>
      </c>
      <c r="AG78" s="9">
        <v>0</v>
      </c>
      <c r="AH78" s="9">
        <f t="shared" si="38"/>
        <v>0</v>
      </c>
      <c r="AI78" s="1" t="str">
        <f t="shared" si="39"/>
        <v>OK</v>
      </c>
      <c r="AJ78" s="1">
        <v>634.13</v>
      </c>
      <c r="AK78" s="1">
        <v>453.35</v>
      </c>
      <c r="AL78" s="1">
        <v>180.78</v>
      </c>
      <c r="AM78" s="13">
        <f t="shared" si="40"/>
        <v>634.13</v>
      </c>
      <c r="AN78" s="9">
        <f t="shared" si="41"/>
        <v>180.77999999999997</v>
      </c>
      <c r="AO78" s="9">
        <f t="shared" si="50"/>
        <v>0.28508350022865969</v>
      </c>
      <c r="AP78" s="1" t="s">
        <v>119</v>
      </c>
      <c r="AQ78" s="1" t="str">
        <f t="shared" si="42"/>
        <v>Refunded</v>
      </c>
      <c r="AR78" s="1" t="str">
        <f t="shared" si="43"/>
        <v>REFUNDED_PAYMENT</v>
      </c>
      <c r="AS78" s="1" t="s">
        <v>76</v>
      </c>
      <c r="AT78" s="4" t="str">
        <f t="shared" si="44"/>
        <v>Cancelled</v>
      </c>
      <c r="AU78" s="3" t="str">
        <f t="shared" si="45"/>
        <v>EXCLUDE_FROM_SALES</v>
      </c>
      <c r="AV78" s="3" t="str">
        <f t="shared" si="51"/>
        <v>CLEAN</v>
      </c>
      <c r="AW78" t="str">
        <f t="shared" si="52"/>
        <v>MATCH</v>
      </c>
      <c r="AX78" t="str">
        <f t="shared" si="53"/>
        <v>MATCH</v>
      </c>
    </row>
    <row r="79" spans="1:50" ht="15.6" hidden="1">
      <c r="A79" s="1" t="s">
        <v>631</v>
      </c>
      <c r="B79" s="1">
        <f t="shared" si="27"/>
        <v>3</v>
      </c>
      <c r="C79" s="16">
        <v>45436</v>
      </c>
      <c r="D79" s="16">
        <v>45436</v>
      </c>
      <c r="E79" s="16" t="str">
        <f t="shared" si="46"/>
        <v>May</v>
      </c>
      <c r="F79" s="1">
        <f t="shared" si="47"/>
        <v>2024</v>
      </c>
      <c r="G79" t="s">
        <v>440</v>
      </c>
      <c r="H79" s="17">
        <v>45998</v>
      </c>
      <c r="I79" s="21">
        <f t="shared" si="48"/>
        <v>562</v>
      </c>
      <c r="J79" s="6" t="str">
        <f t="shared" si="49"/>
        <v>OK</v>
      </c>
      <c r="K79" s="1" t="s">
        <v>634</v>
      </c>
      <c r="L79" s="1" t="s">
        <v>158</v>
      </c>
      <c r="M79" s="1" t="str">
        <f t="shared" si="28"/>
        <v>Sneha Kapoor</v>
      </c>
      <c r="N79" s="1" t="s">
        <v>40</v>
      </c>
      <c r="O79" s="1" t="str">
        <f t="shared" si="29"/>
        <v>Small Business</v>
      </c>
      <c r="P79" s="1" t="s">
        <v>635</v>
      </c>
      <c r="Q79" s="1" t="str">
        <f t="shared" si="30"/>
        <v>North</v>
      </c>
      <c r="R79" s="1" t="str">
        <f t="shared" si="31"/>
        <v>OK</v>
      </c>
      <c r="S79" s="1" t="s">
        <v>146</v>
      </c>
      <c r="T79" s="1" t="str">
        <f t="shared" si="32"/>
        <v>Punjab</v>
      </c>
      <c r="U79" s="1" t="s">
        <v>147</v>
      </c>
      <c r="V79" s="1" t="str">
        <f t="shared" si="33"/>
        <v>Ludhiana</v>
      </c>
      <c r="W79" s="1" t="s">
        <v>83</v>
      </c>
      <c r="X79" s="1" t="str">
        <f t="shared" si="34"/>
        <v>Technology</v>
      </c>
      <c r="Y79" s="1" t="s">
        <v>91</v>
      </c>
      <c r="Z79" s="1" t="str">
        <f t="shared" si="35"/>
        <v>Copiers</v>
      </c>
      <c r="AA79" s="1" t="s">
        <v>636</v>
      </c>
      <c r="AB79" s="1" t="s">
        <v>47</v>
      </c>
      <c r="AC79" s="1" t="str">
        <f t="shared" si="36"/>
        <v>Same Day</v>
      </c>
      <c r="AD79" s="1" t="str">
        <f t="shared" si="37"/>
        <v>OK</v>
      </c>
      <c r="AE79" s="1">
        <v>1</v>
      </c>
      <c r="AF79" s="1">
        <v>634.13</v>
      </c>
      <c r="AG79" s="9">
        <v>0</v>
      </c>
      <c r="AH79" s="9">
        <f t="shared" si="38"/>
        <v>0</v>
      </c>
      <c r="AI79" s="1" t="str">
        <f t="shared" si="39"/>
        <v>OK</v>
      </c>
      <c r="AJ79" s="1">
        <v>808.67</v>
      </c>
      <c r="AK79" s="1">
        <v>453.35</v>
      </c>
      <c r="AL79" s="1">
        <v>180.78</v>
      </c>
      <c r="AM79" s="13">
        <f t="shared" si="40"/>
        <v>634.13</v>
      </c>
      <c r="AN79" s="9">
        <f t="shared" si="41"/>
        <v>180.77999999999997</v>
      </c>
      <c r="AO79" s="9">
        <f t="shared" si="50"/>
        <v>0.28508350022865969</v>
      </c>
      <c r="AP79" s="1" t="s">
        <v>119</v>
      </c>
      <c r="AQ79" s="1" t="str">
        <f t="shared" si="42"/>
        <v>Refunded</v>
      </c>
      <c r="AR79" s="1" t="str">
        <f t="shared" si="43"/>
        <v>REFUNDED_PAYMENT</v>
      </c>
      <c r="AS79" s="1" t="s">
        <v>120</v>
      </c>
      <c r="AT79" s="4" t="str">
        <f t="shared" si="44"/>
        <v>Returned</v>
      </c>
      <c r="AU79" s="3" t="str">
        <f t="shared" si="45"/>
        <v>RETURNED_ORDER</v>
      </c>
      <c r="AV79" s="3" t="str">
        <f t="shared" si="51"/>
        <v>CLEAN</v>
      </c>
      <c r="AW79" t="str">
        <f t="shared" si="52"/>
        <v>MISMATCH</v>
      </c>
      <c r="AX79" t="str">
        <f t="shared" si="53"/>
        <v>MATCH</v>
      </c>
    </row>
    <row r="80" spans="1:50">
      <c r="A80" s="1" t="s">
        <v>637</v>
      </c>
      <c r="B80" s="1">
        <f t="shared" si="27"/>
        <v>1</v>
      </c>
      <c r="C80" s="16">
        <v>45494</v>
      </c>
      <c r="D80" s="16">
        <v>45494</v>
      </c>
      <c r="E80" s="16" t="str">
        <f t="shared" si="46"/>
        <v>Jul</v>
      </c>
      <c r="F80" s="1">
        <f t="shared" si="47"/>
        <v>2024</v>
      </c>
      <c r="G80" t="s">
        <v>444</v>
      </c>
      <c r="H80" s="17">
        <v>45859</v>
      </c>
      <c r="I80" s="21">
        <f t="shared" si="48"/>
        <v>365</v>
      </c>
      <c r="J80" s="6" t="str">
        <f t="shared" si="49"/>
        <v>OK</v>
      </c>
      <c r="K80" s="1" t="s">
        <v>639</v>
      </c>
      <c r="L80" s="1" t="s">
        <v>52</v>
      </c>
      <c r="M80" s="1" t="str">
        <f t="shared" si="28"/>
        <v>Isha Nair</v>
      </c>
      <c r="N80" s="1" t="s">
        <v>104</v>
      </c>
      <c r="O80" s="1" t="str">
        <f t="shared" si="29"/>
        <v>Corporate</v>
      </c>
      <c r="P80" s="1" t="s">
        <v>60</v>
      </c>
      <c r="Q80" s="1" t="str">
        <f t="shared" si="30"/>
        <v>South</v>
      </c>
      <c r="R80" s="1" t="str">
        <f t="shared" si="31"/>
        <v>OK</v>
      </c>
      <c r="S80" s="1" t="s">
        <v>212</v>
      </c>
      <c r="T80" s="1" t="str">
        <f t="shared" si="32"/>
        <v>Karnataka</v>
      </c>
      <c r="U80" s="1" t="s">
        <v>213</v>
      </c>
      <c r="V80" s="1" t="str">
        <f t="shared" si="33"/>
        <v>Bengaluru</v>
      </c>
      <c r="W80" s="1" t="s">
        <v>83</v>
      </c>
      <c r="X80" s="1" t="str">
        <f t="shared" si="34"/>
        <v>Technology</v>
      </c>
      <c r="Y80" s="1" t="s">
        <v>91</v>
      </c>
      <c r="Z80" s="1" t="str">
        <f t="shared" si="35"/>
        <v>Copiers</v>
      </c>
      <c r="AA80" s="1" t="s">
        <v>640</v>
      </c>
      <c r="AB80" s="1" t="s">
        <v>65</v>
      </c>
      <c r="AC80" s="1" t="str">
        <f t="shared" si="36"/>
        <v>Standard Class</v>
      </c>
      <c r="AD80" s="1" t="str">
        <f t="shared" si="37"/>
        <v>OK</v>
      </c>
      <c r="AE80" s="1">
        <v>9</v>
      </c>
      <c r="AF80" s="1">
        <v>465.06</v>
      </c>
      <c r="AG80" s="9">
        <v>-0.15</v>
      </c>
      <c r="AH80" s="9">
        <f t="shared" si="38"/>
        <v>-0.15</v>
      </c>
      <c r="AI80" s="1" t="str">
        <f t="shared" si="39"/>
        <v>Invalid Negative Discount</v>
      </c>
      <c r="AJ80" s="1">
        <v>4185.54</v>
      </c>
      <c r="AK80" s="1">
        <v>3443.74</v>
      </c>
      <c r="AL80" s="1">
        <v>741.8</v>
      </c>
      <c r="AM80" s="13" t="str">
        <f t="shared" si="40"/>
        <v>INVALID</v>
      </c>
      <c r="AN80" s="9" t="str">
        <f t="shared" si="41"/>
        <v>INVALID</v>
      </c>
      <c r="AO80" s="9" t="str">
        <f t="shared" si="50"/>
        <v/>
      </c>
      <c r="AP80" s="1" t="s">
        <v>33</v>
      </c>
      <c r="AQ80" s="1" t="str">
        <f t="shared" si="42"/>
        <v>Paid</v>
      </c>
      <c r="AR80" s="1" t="str">
        <f t="shared" si="43"/>
        <v>OK</v>
      </c>
      <c r="AS80" s="1" t="s">
        <v>34</v>
      </c>
      <c r="AT80" s="3" t="str">
        <f t="shared" si="44"/>
        <v>Completed</v>
      </c>
      <c r="AU80" s="3" t="str">
        <f t="shared" si="45"/>
        <v>OK</v>
      </c>
      <c r="AV80" s="3" t="str">
        <f t="shared" si="51"/>
        <v>INVALID</v>
      </c>
      <c r="AW80" t="str">
        <f t="shared" si="52"/>
        <v>INVALID</v>
      </c>
      <c r="AX80" t="str">
        <f t="shared" si="53"/>
        <v>INVALID</v>
      </c>
    </row>
    <row r="81" spans="1:50" hidden="1">
      <c r="A81" s="1" t="s">
        <v>653</v>
      </c>
      <c r="B81" s="1">
        <f t="shared" si="27"/>
        <v>1</v>
      </c>
      <c r="C81" s="16">
        <v>45639</v>
      </c>
      <c r="D81" s="16">
        <v>45639</v>
      </c>
      <c r="E81" s="16" t="str">
        <f t="shared" si="46"/>
        <v>Dec</v>
      </c>
      <c r="F81" s="1">
        <f t="shared" si="47"/>
        <v>2024</v>
      </c>
      <c r="G81" t="s">
        <v>448</v>
      </c>
      <c r="H81" s="17">
        <v>45933</v>
      </c>
      <c r="I81" s="21">
        <f t="shared" si="48"/>
        <v>294</v>
      </c>
      <c r="J81" s="6" t="str">
        <f t="shared" si="49"/>
        <v>OK</v>
      </c>
      <c r="K81" s="1" t="s">
        <v>656</v>
      </c>
      <c r="L81" s="1" t="s">
        <v>90</v>
      </c>
      <c r="M81" s="1" t="str">
        <f t="shared" si="28"/>
        <v>Neha Gupta</v>
      </c>
      <c r="N81" s="1" t="s">
        <v>40</v>
      </c>
      <c r="O81" s="1" t="str">
        <f t="shared" si="29"/>
        <v>Small Business</v>
      </c>
      <c r="P81" s="1" t="s">
        <v>41</v>
      </c>
      <c r="Q81" s="1" t="str">
        <f t="shared" si="30"/>
        <v>East</v>
      </c>
      <c r="R81" s="1" t="str">
        <f t="shared" si="31"/>
        <v>OK</v>
      </c>
      <c r="S81" s="1" t="s">
        <v>42</v>
      </c>
      <c r="T81" s="1" t="str">
        <f t="shared" si="32"/>
        <v>Odisha</v>
      </c>
      <c r="U81" s="1" t="s">
        <v>43</v>
      </c>
      <c r="V81" s="1" t="str">
        <f t="shared" si="33"/>
        <v>Bhubaneswar</v>
      </c>
      <c r="W81" s="1" t="s">
        <v>44</v>
      </c>
      <c r="X81" s="1" t="str">
        <f t="shared" si="34"/>
        <v>Furniture</v>
      </c>
      <c r="Y81" s="1" t="s">
        <v>63</v>
      </c>
      <c r="Z81" s="1" t="str">
        <f t="shared" si="35"/>
        <v>Furnishings</v>
      </c>
      <c r="AA81" s="1" t="s">
        <v>657</v>
      </c>
      <c r="AB81" s="1" t="s">
        <v>65</v>
      </c>
      <c r="AC81" s="1" t="str">
        <f t="shared" si="36"/>
        <v>Standard Class</v>
      </c>
      <c r="AD81" s="1" t="str">
        <f t="shared" si="37"/>
        <v>OK</v>
      </c>
      <c r="AE81" s="1">
        <v>5</v>
      </c>
      <c r="AF81" s="1">
        <v>923.45</v>
      </c>
      <c r="AG81" s="9">
        <v>0.05</v>
      </c>
      <c r="AH81" s="9">
        <f t="shared" si="38"/>
        <v>0.05</v>
      </c>
      <c r="AI81" s="1" t="str">
        <f t="shared" si="39"/>
        <v>OK</v>
      </c>
      <c r="AJ81" s="1">
        <v>4386.3900000000003</v>
      </c>
      <c r="AK81" s="1">
        <v>3366.88</v>
      </c>
      <c r="AL81" s="1">
        <v>1019.51</v>
      </c>
      <c r="AM81" s="13">
        <f t="shared" si="40"/>
        <v>4386.3874999999998</v>
      </c>
      <c r="AN81" s="9">
        <f t="shared" si="41"/>
        <v>1019.5074999999997</v>
      </c>
      <c r="AO81" s="9">
        <f t="shared" si="50"/>
        <v>0.2324253158208206</v>
      </c>
      <c r="AP81" s="1" t="s">
        <v>33</v>
      </c>
      <c r="AQ81" s="1" t="str">
        <f t="shared" si="42"/>
        <v>Paid</v>
      </c>
      <c r="AR81" s="1" t="str">
        <f t="shared" si="43"/>
        <v>OK</v>
      </c>
      <c r="AS81" s="1" t="s">
        <v>120</v>
      </c>
      <c r="AT81" s="3" t="str">
        <f t="shared" si="44"/>
        <v>Returned</v>
      </c>
      <c r="AU81" s="3" t="str">
        <f t="shared" si="45"/>
        <v>RETURNED_ORDER</v>
      </c>
      <c r="AV81" s="3" t="str">
        <f t="shared" si="51"/>
        <v>CLEAN</v>
      </c>
      <c r="AW81" t="str">
        <f t="shared" si="52"/>
        <v>MATCH</v>
      </c>
      <c r="AX81" t="str">
        <f t="shared" si="53"/>
        <v>MATCH</v>
      </c>
    </row>
    <row r="82" spans="1:50" ht="15.6" hidden="1">
      <c r="A82" s="1" t="s">
        <v>658</v>
      </c>
      <c r="B82" s="1">
        <f t="shared" si="27"/>
        <v>1</v>
      </c>
      <c r="C82" s="16">
        <v>45492</v>
      </c>
      <c r="D82" s="16">
        <v>45492</v>
      </c>
      <c r="E82" s="16" t="str">
        <f t="shared" si="46"/>
        <v>Jul</v>
      </c>
      <c r="F82" s="1">
        <f t="shared" si="47"/>
        <v>2024</v>
      </c>
      <c r="G82" t="s">
        <v>452</v>
      </c>
      <c r="H82" s="17">
        <v>45518</v>
      </c>
      <c r="I82" s="21">
        <f t="shared" si="48"/>
        <v>26</v>
      </c>
      <c r="J82" s="6" t="str">
        <f t="shared" si="49"/>
        <v>OK</v>
      </c>
      <c r="K82" s="1" t="s">
        <v>660</v>
      </c>
      <c r="L82" s="1" t="s">
        <v>52</v>
      </c>
      <c r="M82" s="1" t="str">
        <f t="shared" si="28"/>
        <v>Isha Nair</v>
      </c>
      <c r="N82" s="1" t="s">
        <v>40</v>
      </c>
      <c r="O82" s="1" t="str">
        <f t="shared" si="29"/>
        <v>Small Business</v>
      </c>
      <c r="P82" s="1" t="s">
        <v>71</v>
      </c>
      <c r="Q82" s="1" t="str">
        <f t="shared" si="30"/>
        <v>West</v>
      </c>
      <c r="R82" s="1" t="str">
        <f t="shared" si="31"/>
        <v>OK</v>
      </c>
      <c r="S82" s="1" t="s">
        <v>230</v>
      </c>
      <c r="T82" s="1" t="str">
        <f t="shared" si="32"/>
        <v>Goa</v>
      </c>
      <c r="U82" s="1" t="s">
        <v>231</v>
      </c>
      <c r="V82" s="1" t="str">
        <f t="shared" si="33"/>
        <v>Panaji</v>
      </c>
      <c r="W82" s="1" t="s">
        <v>29</v>
      </c>
      <c r="X82" s="1" t="str">
        <f t="shared" si="34"/>
        <v>Office Supplies</v>
      </c>
      <c r="Y82" s="1" t="s">
        <v>184</v>
      </c>
      <c r="Z82" s="1" t="str">
        <f t="shared" si="35"/>
        <v>Binders</v>
      </c>
      <c r="AA82" s="1" t="s">
        <v>661</v>
      </c>
      <c r="AB82" s="1" t="s">
        <v>65</v>
      </c>
      <c r="AC82" s="1" t="str">
        <f t="shared" si="36"/>
        <v>Standard Class</v>
      </c>
      <c r="AD82" s="1" t="str">
        <f t="shared" si="37"/>
        <v>OK</v>
      </c>
      <c r="AE82" s="1">
        <v>7</v>
      </c>
      <c r="AF82" s="1">
        <v>2741.29</v>
      </c>
      <c r="AG82" s="9">
        <v>0.05</v>
      </c>
      <c r="AH82" s="9">
        <f t="shared" si="38"/>
        <v>0.05</v>
      </c>
      <c r="AI82" s="1" t="str">
        <f t="shared" si="39"/>
        <v>OK</v>
      </c>
      <c r="AJ82" s="1">
        <v>18229.580000000002</v>
      </c>
      <c r="AK82" s="1">
        <v>15139.15</v>
      </c>
      <c r="AL82" s="1">
        <v>3090.43</v>
      </c>
      <c r="AM82" s="13">
        <f t="shared" si="40"/>
        <v>18229.5785</v>
      </c>
      <c r="AN82" s="9">
        <f t="shared" si="41"/>
        <v>3090.4285</v>
      </c>
      <c r="AO82" s="9">
        <f t="shared" si="50"/>
        <v>0.16952824773211295</v>
      </c>
      <c r="AP82" s="1" t="s">
        <v>33</v>
      </c>
      <c r="AQ82" s="1" t="str">
        <f t="shared" si="42"/>
        <v>Paid</v>
      </c>
      <c r="AR82" s="1" t="str">
        <f t="shared" si="43"/>
        <v>OK</v>
      </c>
      <c r="AS82" s="1" t="s">
        <v>34</v>
      </c>
      <c r="AT82" s="4" t="str">
        <f t="shared" si="44"/>
        <v>Completed</v>
      </c>
      <c r="AU82" s="3" t="str">
        <f t="shared" si="45"/>
        <v>OK</v>
      </c>
      <c r="AV82" s="3" t="str">
        <f t="shared" si="51"/>
        <v>CLEAN</v>
      </c>
      <c r="AW82" t="str">
        <f t="shared" si="52"/>
        <v>MATCH</v>
      </c>
      <c r="AX82" t="str">
        <f t="shared" si="53"/>
        <v>MATCH</v>
      </c>
    </row>
    <row r="83" spans="1:50" ht="15.6" hidden="1">
      <c r="A83" s="1" t="s">
        <v>662</v>
      </c>
      <c r="B83" s="1">
        <f t="shared" si="27"/>
        <v>1</v>
      </c>
      <c r="C83" s="16">
        <v>45318</v>
      </c>
      <c r="D83" s="16">
        <v>45318</v>
      </c>
      <c r="E83" s="16" t="str">
        <f t="shared" si="46"/>
        <v>Jan</v>
      </c>
      <c r="F83" s="1">
        <f t="shared" si="47"/>
        <v>2024</v>
      </c>
      <c r="G83" t="s">
        <v>458</v>
      </c>
      <c r="H83" s="17">
        <v>45733</v>
      </c>
      <c r="I83" s="21">
        <f t="shared" si="48"/>
        <v>415</v>
      </c>
      <c r="J83" s="6" t="str">
        <f t="shared" si="49"/>
        <v>OK</v>
      </c>
      <c r="K83" s="1" t="s">
        <v>664</v>
      </c>
      <c r="L83" s="1" t="s">
        <v>59</v>
      </c>
      <c r="M83" s="1" t="str">
        <f t="shared" si="28"/>
        <v>Arjun Bose</v>
      </c>
      <c r="N83" s="1" t="s">
        <v>25</v>
      </c>
      <c r="O83" s="1" t="str">
        <f t="shared" si="29"/>
        <v>Consumer</v>
      </c>
      <c r="P83" s="1" t="s">
        <v>71</v>
      </c>
      <c r="Q83" s="1" t="str">
        <f t="shared" si="30"/>
        <v>West</v>
      </c>
      <c r="R83" s="1" t="str">
        <f t="shared" si="31"/>
        <v>OK</v>
      </c>
      <c r="S83" s="1" t="s">
        <v>218</v>
      </c>
      <c r="T83" s="1" t="str">
        <f t="shared" si="32"/>
        <v>Gujarat</v>
      </c>
      <c r="U83" s="1" t="s">
        <v>219</v>
      </c>
      <c r="V83" s="1" t="str">
        <f t="shared" si="33"/>
        <v>Ahmedabad</v>
      </c>
      <c r="W83" s="1" t="s">
        <v>29</v>
      </c>
      <c r="X83" s="1" t="str">
        <f t="shared" si="34"/>
        <v>Office Supplies</v>
      </c>
      <c r="Y83" s="1" t="s">
        <v>105</v>
      </c>
      <c r="Z83" s="1" t="str">
        <f t="shared" si="35"/>
        <v>Labels</v>
      </c>
      <c r="AA83" s="1" t="s">
        <v>665</v>
      </c>
      <c r="AB83" s="1" t="s">
        <v>47</v>
      </c>
      <c r="AC83" s="1" t="str">
        <f t="shared" si="36"/>
        <v>Same Day</v>
      </c>
      <c r="AD83" s="1" t="str">
        <f t="shared" si="37"/>
        <v>OK</v>
      </c>
      <c r="AE83" s="1">
        <v>5</v>
      </c>
      <c r="AF83" s="1">
        <v>218.42</v>
      </c>
      <c r="AG83" s="9">
        <v>0.2</v>
      </c>
      <c r="AH83" s="9">
        <f t="shared" si="38"/>
        <v>0.2</v>
      </c>
      <c r="AI83" s="1" t="str">
        <f t="shared" si="39"/>
        <v>OK</v>
      </c>
      <c r="AJ83" s="1">
        <v>873.68</v>
      </c>
      <c r="AK83" s="1">
        <v>661.72</v>
      </c>
      <c r="AL83" s="1">
        <v>211.96</v>
      </c>
      <c r="AM83" s="13">
        <f t="shared" si="40"/>
        <v>873.68</v>
      </c>
      <c r="AN83" s="9">
        <f t="shared" si="41"/>
        <v>211.95999999999992</v>
      </c>
      <c r="AO83" s="9">
        <f t="shared" si="50"/>
        <v>0.24260598846259493</v>
      </c>
      <c r="AP83" s="1" t="s">
        <v>131</v>
      </c>
      <c r="AQ83" s="1" t="str">
        <f t="shared" si="42"/>
        <v>Pending</v>
      </c>
      <c r="AR83" s="1" t="str">
        <f t="shared" si="43"/>
        <v>OK</v>
      </c>
      <c r="AS83" s="1" t="s">
        <v>76</v>
      </c>
      <c r="AT83" s="4" t="str">
        <f t="shared" si="44"/>
        <v>Cancelled</v>
      </c>
      <c r="AU83" s="3" t="str">
        <f t="shared" si="45"/>
        <v>EXCLUDE_FROM_SALES</v>
      </c>
      <c r="AV83" s="3" t="str">
        <f t="shared" si="51"/>
        <v>CLEAN</v>
      </c>
      <c r="AW83" t="str">
        <f t="shared" si="52"/>
        <v>MATCH</v>
      </c>
      <c r="AX83" t="str">
        <f t="shared" si="53"/>
        <v>MATCH</v>
      </c>
    </row>
    <row r="84" spans="1:50" ht="15.6">
      <c r="A84" s="1" t="s">
        <v>671</v>
      </c>
      <c r="B84" s="1">
        <f t="shared" si="27"/>
        <v>1</v>
      </c>
      <c r="C84" s="16">
        <v>45393</v>
      </c>
      <c r="D84" s="16">
        <v>45393</v>
      </c>
      <c r="E84" s="16" t="str">
        <f t="shared" si="46"/>
        <v>Apr</v>
      </c>
      <c r="F84" s="1">
        <f t="shared" si="47"/>
        <v>2024</v>
      </c>
      <c r="G84" t="s">
        <v>463</v>
      </c>
      <c r="H84" s="17">
        <v>45390</v>
      </c>
      <c r="I84" s="21">
        <f t="shared" si="48"/>
        <v>-3</v>
      </c>
      <c r="J84" s="6" t="str">
        <f t="shared" si="49"/>
        <v>INVALID_SHIPPING</v>
      </c>
      <c r="K84" s="1" t="s">
        <v>673</v>
      </c>
      <c r="L84" s="1" t="s">
        <v>334</v>
      </c>
      <c r="M84" s="1" t="str">
        <f t="shared" si="28"/>
        <v>Kabir Singh</v>
      </c>
      <c r="N84" s="1" t="s">
        <v>104</v>
      </c>
      <c r="O84" s="1" t="str">
        <f t="shared" si="29"/>
        <v>Corporate</v>
      </c>
      <c r="P84" s="1" t="s">
        <v>41</v>
      </c>
      <c r="Q84" s="1" t="str">
        <f t="shared" si="30"/>
        <v>East</v>
      </c>
      <c r="R84" s="1" t="str">
        <f t="shared" si="31"/>
        <v>OK</v>
      </c>
      <c r="S84" s="1" t="s">
        <v>201</v>
      </c>
      <c r="T84" s="1" t="str">
        <f t="shared" si="32"/>
        <v>Assam</v>
      </c>
      <c r="U84" s="1" t="s">
        <v>202</v>
      </c>
      <c r="V84" s="1" t="str">
        <f t="shared" si="33"/>
        <v>Guwahati</v>
      </c>
      <c r="W84" s="1" t="s">
        <v>83</v>
      </c>
      <c r="X84" s="1" t="str">
        <f t="shared" si="34"/>
        <v>Technology</v>
      </c>
      <c r="Y84" s="1" t="s">
        <v>347</v>
      </c>
      <c r="Z84" s="1" t="str">
        <f t="shared" si="35"/>
        <v>Machines</v>
      </c>
      <c r="AA84" s="1" t="s">
        <v>674</v>
      </c>
      <c r="AB84" s="1" t="s">
        <v>55</v>
      </c>
      <c r="AC84" s="1" t="str">
        <f t="shared" si="36"/>
        <v>First Class</v>
      </c>
      <c r="AD84" s="1" t="str">
        <f t="shared" si="37"/>
        <v>OK</v>
      </c>
      <c r="AE84" s="1">
        <v>2</v>
      </c>
      <c r="AF84" s="1">
        <v>533.08000000000004</v>
      </c>
      <c r="AG84" s="9">
        <v>0</v>
      </c>
      <c r="AH84" s="9">
        <f t="shared" si="38"/>
        <v>0</v>
      </c>
      <c r="AI84" s="1" t="str">
        <f t="shared" si="39"/>
        <v>OK</v>
      </c>
      <c r="AJ84" s="1">
        <v>1066.1600000000001</v>
      </c>
      <c r="AK84" s="1">
        <v>656.3</v>
      </c>
      <c r="AL84" s="1">
        <v>409.86</v>
      </c>
      <c r="AM84" s="13">
        <f t="shared" si="40"/>
        <v>1066.1600000000001</v>
      </c>
      <c r="AN84" s="9">
        <f t="shared" si="41"/>
        <v>409.86000000000013</v>
      </c>
      <c r="AO84" s="9">
        <f t="shared" si="50"/>
        <v>0.38442635251744589</v>
      </c>
      <c r="AP84" s="1" t="s">
        <v>186</v>
      </c>
      <c r="AQ84" s="1" t="str">
        <f t="shared" si="42"/>
        <v>Failed</v>
      </c>
      <c r="AR84" s="1" t="str">
        <f t="shared" si="43"/>
        <v>EXCLUDE_FROM_SALES</v>
      </c>
      <c r="AS84" s="1" t="s">
        <v>76</v>
      </c>
      <c r="AT84" s="4" t="str">
        <f t="shared" si="44"/>
        <v>Cancelled</v>
      </c>
      <c r="AU84" s="3" t="str">
        <f t="shared" si="45"/>
        <v>EXCLUDE_FROM_SALES</v>
      </c>
      <c r="AV84" s="3" t="str">
        <f t="shared" si="51"/>
        <v>INVALID</v>
      </c>
      <c r="AW84" t="str">
        <f t="shared" si="52"/>
        <v>MATCH</v>
      </c>
      <c r="AX84" t="str">
        <f t="shared" si="53"/>
        <v>MATCH</v>
      </c>
    </row>
    <row r="85" spans="1:50" ht="15.6">
      <c r="A85" s="1" t="s">
        <v>675</v>
      </c>
      <c r="B85" s="1">
        <f t="shared" si="27"/>
        <v>2</v>
      </c>
      <c r="C85" s="16">
        <v>45639</v>
      </c>
      <c r="D85" s="16">
        <v>45639</v>
      </c>
      <c r="E85" s="16" t="str">
        <f t="shared" si="46"/>
        <v>Dec</v>
      </c>
      <c r="F85" s="1">
        <f t="shared" si="47"/>
        <v>2024</v>
      </c>
      <c r="G85" t="s">
        <v>467</v>
      </c>
      <c r="H85" s="17">
        <v>45594</v>
      </c>
      <c r="I85" s="21">
        <f t="shared" si="48"/>
        <v>-45</v>
      </c>
      <c r="J85" s="6" t="str">
        <f t="shared" si="49"/>
        <v>INVALID_SHIPPING</v>
      </c>
      <c r="K85" s="1" t="s">
        <v>677</v>
      </c>
      <c r="L85" s="1" t="s">
        <v>24</v>
      </c>
      <c r="M85" s="1" t="str">
        <f t="shared" si="28"/>
        <v>Karan Malhotra</v>
      </c>
      <c r="N85" s="1" t="s">
        <v>25</v>
      </c>
      <c r="O85" s="1" t="str">
        <f t="shared" si="29"/>
        <v>Consumer</v>
      </c>
      <c r="P85" s="1" t="s">
        <v>71</v>
      </c>
      <c r="Q85" s="1" t="str">
        <f t="shared" si="30"/>
        <v>West</v>
      </c>
      <c r="R85" s="1" t="str">
        <f t="shared" si="31"/>
        <v>OK</v>
      </c>
      <c r="S85" s="1" t="s">
        <v>230</v>
      </c>
      <c r="T85" s="1" t="str">
        <f t="shared" si="32"/>
        <v>Goa</v>
      </c>
      <c r="U85" s="1" t="s">
        <v>231</v>
      </c>
      <c r="V85" s="1" t="str">
        <f t="shared" si="33"/>
        <v>Panaji</v>
      </c>
      <c r="W85" s="1" t="s">
        <v>83</v>
      </c>
      <c r="X85" s="1" t="str">
        <f t="shared" si="34"/>
        <v>Technology</v>
      </c>
      <c r="Y85" s="1" t="s">
        <v>207</v>
      </c>
      <c r="Z85" s="1" t="str">
        <f t="shared" si="35"/>
        <v>Phones</v>
      </c>
      <c r="AA85" s="1" t="s">
        <v>678</v>
      </c>
      <c r="AB85" s="1" t="s">
        <v>32</v>
      </c>
      <c r="AC85" s="1" t="str">
        <f t="shared" si="36"/>
        <v>Second Class</v>
      </c>
      <c r="AD85" s="1" t="str">
        <f t="shared" si="37"/>
        <v>OK</v>
      </c>
      <c r="AE85" s="1">
        <v>8</v>
      </c>
      <c r="AF85" s="1">
        <v>3372.15</v>
      </c>
      <c r="AG85" s="9">
        <v>0.15</v>
      </c>
      <c r="AH85" s="9">
        <f t="shared" si="38"/>
        <v>0.15</v>
      </c>
      <c r="AI85" s="1" t="str">
        <f t="shared" si="39"/>
        <v>OK</v>
      </c>
      <c r="AJ85" s="1">
        <v>22930.62</v>
      </c>
      <c r="AK85" s="1">
        <v>16875.55</v>
      </c>
      <c r="AL85" s="1">
        <v>6055.07</v>
      </c>
      <c r="AM85" s="13">
        <f t="shared" si="40"/>
        <v>22930.62</v>
      </c>
      <c r="AN85" s="9">
        <f t="shared" si="41"/>
        <v>6055.07</v>
      </c>
      <c r="AO85" s="9">
        <f t="shared" si="50"/>
        <v>0.26406045715292475</v>
      </c>
      <c r="AP85" s="1" t="s">
        <v>33</v>
      </c>
      <c r="AQ85" s="1" t="str">
        <f t="shared" si="42"/>
        <v>Paid</v>
      </c>
      <c r="AR85" s="1" t="str">
        <f t="shared" si="43"/>
        <v>OK</v>
      </c>
      <c r="AS85" s="1" t="s">
        <v>34</v>
      </c>
      <c r="AT85" s="4" t="str">
        <f t="shared" si="44"/>
        <v>Completed</v>
      </c>
      <c r="AU85" s="3" t="str">
        <f t="shared" si="45"/>
        <v>OK</v>
      </c>
      <c r="AV85" s="3" t="str">
        <f t="shared" si="51"/>
        <v>INVALID</v>
      </c>
      <c r="AW85" t="str">
        <f t="shared" si="52"/>
        <v>MATCH</v>
      </c>
      <c r="AX85" t="str">
        <f t="shared" si="53"/>
        <v>MATCH</v>
      </c>
    </row>
    <row r="86" spans="1:50" ht="15.6">
      <c r="A86" s="1" t="s">
        <v>675</v>
      </c>
      <c r="B86" s="1">
        <f t="shared" si="27"/>
        <v>2</v>
      </c>
      <c r="C86" s="16">
        <v>45639</v>
      </c>
      <c r="D86" s="16">
        <v>45639</v>
      </c>
      <c r="E86" s="16" t="str">
        <f t="shared" si="46"/>
        <v>Dec</v>
      </c>
      <c r="F86" s="1">
        <f t="shared" si="47"/>
        <v>2024</v>
      </c>
      <c r="G86" t="s">
        <v>471</v>
      </c>
      <c r="H86" s="17">
        <v>45568</v>
      </c>
      <c r="I86" s="21">
        <f t="shared" si="48"/>
        <v>-71</v>
      </c>
      <c r="J86" s="6" t="str">
        <f t="shared" si="49"/>
        <v>INVALID_SHIPPING</v>
      </c>
      <c r="K86" s="1" t="s">
        <v>677</v>
      </c>
      <c r="L86" s="1" t="s">
        <v>24</v>
      </c>
      <c r="M86" s="1" t="str">
        <f t="shared" si="28"/>
        <v>Karan Malhotra</v>
      </c>
      <c r="N86" s="1" t="s">
        <v>25</v>
      </c>
      <c r="O86" s="1" t="str">
        <f t="shared" si="29"/>
        <v>Consumer</v>
      </c>
      <c r="P86" s="1" t="s">
        <v>71</v>
      </c>
      <c r="Q86" s="1" t="str">
        <f t="shared" si="30"/>
        <v>West</v>
      </c>
      <c r="R86" s="1" t="str">
        <f t="shared" si="31"/>
        <v>OK</v>
      </c>
      <c r="S86" s="1" t="s">
        <v>230</v>
      </c>
      <c r="T86" s="1" t="str">
        <f t="shared" si="32"/>
        <v>Goa</v>
      </c>
      <c r="U86" s="1" t="s">
        <v>231</v>
      </c>
      <c r="V86" s="1" t="str">
        <f t="shared" si="33"/>
        <v>Panaji</v>
      </c>
      <c r="W86" s="1" t="s">
        <v>83</v>
      </c>
      <c r="X86" s="1" t="str">
        <f t="shared" si="34"/>
        <v>Technology</v>
      </c>
      <c r="Y86" s="1" t="s">
        <v>207</v>
      </c>
      <c r="Z86" s="1" t="str">
        <f t="shared" si="35"/>
        <v>Phones</v>
      </c>
      <c r="AA86" s="1" t="s">
        <v>678</v>
      </c>
      <c r="AB86" s="1" t="s">
        <v>32</v>
      </c>
      <c r="AC86" s="1" t="str">
        <f t="shared" si="36"/>
        <v>Second Class</v>
      </c>
      <c r="AD86" s="1" t="str">
        <f t="shared" si="37"/>
        <v>OK</v>
      </c>
      <c r="AE86" s="1">
        <v>8</v>
      </c>
      <c r="AF86" s="1">
        <v>3372.15</v>
      </c>
      <c r="AG86" s="9">
        <v>0.15</v>
      </c>
      <c r="AH86" s="9">
        <f t="shared" si="38"/>
        <v>0.15</v>
      </c>
      <c r="AI86" s="1" t="str">
        <f t="shared" si="39"/>
        <v>OK</v>
      </c>
      <c r="AJ86" s="1">
        <v>22930.62</v>
      </c>
      <c r="AK86" s="1">
        <v>16875.55</v>
      </c>
      <c r="AL86" s="1">
        <v>6055.07</v>
      </c>
      <c r="AM86" s="13">
        <f t="shared" si="40"/>
        <v>22930.62</v>
      </c>
      <c r="AN86" s="9">
        <f t="shared" si="41"/>
        <v>6055.07</v>
      </c>
      <c r="AO86" s="9">
        <f t="shared" si="50"/>
        <v>0.26406045715292475</v>
      </c>
      <c r="AP86" s="1" t="s">
        <v>33</v>
      </c>
      <c r="AQ86" s="1" t="str">
        <f t="shared" si="42"/>
        <v>Paid</v>
      </c>
      <c r="AR86" s="1" t="str">
        <f t="shared" si="43"/>
        <v>OK</v>
      </c>
      <c r="AS86" s="1" t="s">
        <v>34</v>
      </c>
      <c r="AT86" s="4" t="str">
        <f t="shared" si="44"/>
        <v>Completed</v>
      </c>
      <c r="AU86" s="3" t="str">
        <f t="shared" si="45"/>
        <v>OK</v>
      </c>
      <c r="AV86" s="3" t="str">
        <f t="shared" si="51"/>
        <v>INVALID</v>
      </c>
      <c r="AW86" t="str">
        <f t="shared" si="52"/>
        <v>MATCH</v>
      </c>
      <c r="AX86" t="str">
        <f t="shared" si="53"/>
        <v>MATCH</v>
      </c>
    </row>
    <row r="87" spans="1:50" ht="15.6" hidden="1">
      <c r="A87" s="1" t="s">
        <v>696</v>
      </c>
      <c r="B87" s="1">
        <f t="shared" si="27"/>
        <v>1</v>
      </c>
      <c r="C87" s="16">
        <v>45311</v>
      </c>
      <c r="D87" s="16">
        <v>45311</v>
      </c>
      <c r="E87" s="16" t="str">
        <f t="shared" si="46"/>
        <v>Jan</v>
      </c>
      <c r="F87" s="1">
        <f t="shared" si="47"/>
        <v>2024</v>
      </c>
      <c r="G87" t="s">
        <v>476</v>
      </c>
      <c r="H87" s="17">
        <v>45509</v>
      </c>
      <c r="I87" s="21">
        <f t="shared" si="48"/>
        <v>198</v>
      </c>
      <c r="J87" s="6" t="str">
        <f t="shared" si="49"/>
        <v>OK</v>
      </c>
      <c r="K87" s="1" t="s">
        <v>698</v>
      </c>
      <c r="L87" s="1" t="s">
        <v>196</v>
      </c>
      <c r="M87" s="1" t="str">
        <f t="shared" si="28"/>
        <v>Diya Patel</v>
      </c>
      <c r="N87" s="1" t="s">
        <v>110</v>
      </c>
      <c r="O87" s="1" t="str">
        <f t="shared" si="29"/>
        <v>Home Office</v>
      </c>
      <c r="P87" s="1" t="s">
        <v>41</v>
      </c>
      <c r="Q87" s="1" t="str">
        <f t="shared" si="30"/>
        <v>East</v>
      </c>
      <c r="R87" s="1" t="str">
        <f t="shared" si="31"/>
        <v>OK</v>
      </c>
      <c r="S87" s="1" t="s">
        <v>284</v>
      </c>
      <c r="T87" s="1" t="str">
        <f t="shared" si="32"/>
        <v>Jharkhand</v>
      </c>
      <c r="U87" s="1" t="s">
        <v>285</v>
      </c>
      <c r="V87" s="1" t="str">
        <f t="shared" si="33"/>
        <v>Ranchi</v>
      </c>
      <c r="W87" s="1" t="s">
        <v>83</v>
      </c>
      <c r="X87" s="1" t="str">
        <f t="shared" si="34"/>
        <v>Technology</v>
      </c>
      <c r="Y87" s="1" t="s">
        <v>347</v>
      </c>
      <c r="Z87" s="1" t="str">
        <f t="shared" si="35"/>
        <v>Machines</v>
      </c>
      <c r="AA87" s="1" t="s">
        <v>699</v>
      </c>
      <c r="AB87" s="1" t="s">
        <v>65</v>
      </c>
      <c r="AC87" s="1" t="str">
        <f t="shared" si="36"/>
        <v>Standard Class</v>
      </c>
      <c r="AD87" s="1" t="str">
        <f t="shared" si="37"/>
        <v>OK</v>
      </c>
      <c r="AE87" s="1">
        <v>8</v>
      </c>
      <c r="AF87" s="1">
        <v>4003.05</v>
      </c>
      <c r="AG87" s="9">
        <v>0.25</v>
      </c>
      <c r="AH87" s="9">
        <f t="shared" si="38"/>
        <v>0.25</v>
      </c>
      <c r="AI87" s="1" t="str">
        <f t="shared" si="39"/>
        <v>OK</v>
      </c>
      <c r="AJ87" s="1">
        <v>24018.3</v>
      </c>
      <c r="AK87" s="1">
        <v>14070.78</v>
      </c>
      <c r="AL87" s="1">
        <v>9947.52</v>
      </c>
      <c r="AM87" s="13">
        <f t="shared" si="40"/>
        <v>24018.300000000003</v>
      </c>
      <c r="AN87" s="9">
        <f t="shared" si="41"/>
        <v>9947.5200000000023</v>
      </c>
      <c r="AO87" s="9">
        <f t="shared" si="50"/>
        <v>0.41416419979765434</v>
      </c>
      <c r="AP87" s="1" t="s">
        <v>33</v>
      </c>
      <c r="AQ87" s="1" t="str">
        <f t="shared" si="42"/>
        <v>Paid</v>
      </c>
      <c r="AR87" s="1" t="str">
        <f t="shared" si="43"/>
        <v>OK</v>
      </c>
      <c r="AS87" s="1" t="s">
        <v>34</v>
      </c>
      <c r="AT87" s="4" t="str">
        <f t="shared" si="44"/>
        <v>Completed</v>
      </c>
      <c r="AU87" s="3" t="str">
        <f t="shared" si="45"/>
        <v>OK</v>
      </c>
      <c r="AV87" s="3" t="str">
        <f t="shared" si="51"/>
        <v>CLEAN</v>
      </c>
      <c r="AW87" t="str">
        <f t="shared" si="52"/>
        <v>MATCH</v>
      </c>
      <c r="AX87" t="str">
        <f t="shared" si="53"/>
        <v>MATCH</v>
      </c>
    </row>
    <row r="88" spans="1:50" ht="15.6" hidden="1">
      <c r="A88" s="1" t="s">
        <v>704</v>
      </c>
      <c r="B88" s="1">
        <f t="shared" si="27"/>
        <v>1</v>
      </c>
      <c r="C88" s="16">
        <v>45443</v>
      </c>
      <c r="D88" s="16">
        <v>45443</v>
      </c>
      <c r="E88" s="16" t="str">
        <f t="shared" si="46"/>
        <v>May</v>
      </c>
      <c r="F88" s="1">
        <f t="shared" si="47"/>
        <v>2024</v>
      </c>
      <c r="G88" t="s">
        <v>480</v>
      </c>
      <c r="H88" s="17">
        <v>45474</v>
      </c>
      <c r="I88" s="21">
        <f t="shared" si="48"/>
        <v>31</v>
      </c>
      <c r="J88" s="6" t="str">
        <f t="shared" si="49"/>
        <v>OK</v>
      </c>
      <c r="K88" s="1" t="s">
        <v>706</v>
      </c>
      <c r="L88" s="1" t="s">
        <v>39</v>
      </c>
      <c r="M88" s="1" t="str">
        <f t="shared" si="28"/>
        <v>Mira Das</v>
      </c>
      <c r="N88" s="1" t="s">
        <v>104</v>
      </c>
      <c r="O88" s="1" t="str">
        <f t="shared" si="29"/>
        <v>Corporate</v>
      </c>
      <c r="P88" s="1" t="s">
        <v>60</v>
      </c>
      <c r="Q88" s="1" t="str">
        <f t="shared" si="30"/>
        <v>South</v>
      </c>
      <c r="R88" s="1" t="str">
        <f t="shared" si="31"/>
        <v>OK</v>
      </c>
      <c r="S88" s="1" t="s">
        <v>212</v>
      </c>
      <c r="T88" s="1" t="str">
        <f t="shared" si="32"/>
        <v>Karnataka</v>
      </c>
      <c r="U88" s="1" t="s">
        <v>213</v>
      </c>
      <c r="V88" s="1" t="str">
        <f t="shared" si="33"/>
        <v>Bengaluru</v>
      </c>
      <c r="W88" s="1" t="s">
        <v>44</v>
      </c>
      <c r="X88" s="1" t="str">
        <f t="shared" si="34"/>
        <v>Furniture</v>
      </c>
      <c r="Y88" s="1" t="s">
        <v>190</v>
      </c>
      <c r="Z88" s="1" t="str">
        <f t="shared" si="35"/>
        <v>Bookcases</v>
      </c>
      <c r="AA88" s="1" t="s">
        <v>707</v>
      </c>
      <c r="AB88" s="1" t="s">
        <v>47</v>
      </c>
      <c r="AC88" s="1" t="str">
        <f t="shared" si="36"/>
        <v>Same Day</v>
      </c>
      <c r="AD88" s="1" t="str">
        <f t="shared" si="37"/>
        <v>OK</v>
      </c>
      <c r="AE88" s="1">
        <v>3</v>
      </c>
      <c r="AF88" s="1">
        <v>2914.55</v>
      </c>
      <c r="AG88" s="9">
        <v>0</v>
      </c>
      <c r="AH88" s="9">
        <f t="shared" si="38"/>
        <v>0</v>
      </c>
      <c r="AI88" s="1" t="str">
        <f t="shared" si="39"/>
        <v>OK</v>
      </c>
      <c r="AJ88" s="1">
        <v>8743.65</v>
      </c>
      <c r="AK88" s="1">
        <v>6603.76</v>
      </c>
      <c r="AL88" s="1">
        <v>2139.89</v>
      </c>
      <c r="AM88" s="13">
        <f t="shared" si="40"/>
        <v>8743.6500000000015</v>
      </c>
      <c r="AN88" s="9">
        <f t="shared" si="41"/>
        <v>2139.8900000000012</v>
      </c>
      <c r="AO88" s="9">
        <f t="shared" si="50"/>
        <v>0.24473646589239059</v>
      </c>
      <c r="AP88" s="1" t="s">
        <v>33</v>
      </c>
      <c r="AQ88" s="1" t="str">
        <f t="shared" si="42"/>
        <v>Paid</v>
      </c>
      <c r="AR88" s="1" t="str">
        <f t="shared" si="43"/>
        <v>OK</v>
      </c>
      <c r="AS88" s="1" t="s">
        <v>34</v>
      </c>
      <c r="AT88" s="4" t="str">
        <f t="shared" si="44"/>
        <v>Completed</v>
      </c>
      <c r="AU88" s="3" t="str">
        <f t="shared" si="45"/>
        <v>OK</v>
      </c>
      <c r="AV88" s="3" t="str">
        <f t="shared" si="51"/>
        <v>CLEAN</v>
      </c>
      <c r="AW88" t="str">
        <f t="shared" si="52"/>
        <v>MATCH</v>
      </c>
      <c r="AX88" t="str">
        <f t="shared" si="53"/>
        <v>MATCH</v>
      </c>
    </row>
    <row r="89" spans="1:50" ht="15.6" hidden="1">
      <c r="A89" s="1" t="s">
        <v>708</v>
      </c>
      <c r="B89" s="1">
        <f t="shared" si="27"/>
        <v>1</v>
      </c>
      <c r="C89" s="16">
        <v>45374</v>
      </c>
      <c r="D89" s="16">
        <v>45374</v>
      </c>
      <c r="E89" s="16" t="str">
        <f t="shared" si="46"/>
        <v>Mar</v>
      </c>
      <c r="F89" s="1">
        <f t="shared" si="47"/>
        <v>2024</v>
      </c>
      <c r="G89" t="s">
        <v>462</v>
      </c>
      <c r="H89" s="17">
        <v>45507</v>
      </c>
      <c r="I89" s="21">
        <f t="shared" si="48"/>
        <v>133</v>
      </c>
      <c r="J89" s="6" t="str">
        <f t="shared" si="49"/>
        <v>OK</v>
      </c>
      <c r="K89" s="1" t="s">
        <v>710</v>
      </c>
      <c r="L89" s="1" t="s">
        <v>136</v>
      </c>
      <c r="M89" s="1" t="str">
        <f t="shared" si="28"/>
        <v>Priya Menon</v>
      </c>
      <c r="N89" s="1" t="s">
        <v>104</v>
      </c>
      <c r="O89" s="1" t="str">
        <f t="shared" si="29"/>
        <v>Corporate</v>
      </c>
      <c r="P89" s="1" t="s">
        <v>26</v>
      </c>
      <c r="Q89" s="1" t="str">
        <f t="shared" si="30"/>
        <v>North</v>
      </c>
      <c r="R89" s="1" t="str">
        <f t="shared" si="31"/>
        <v>OK</v>
      </c>
      <c r="S89" s="1" t="s">
        <v>454</v>
      </c>
      <c r="T89" s="1" t="str">
        <f t="shared" si="32"/>
        <v>Delhi</v>
      </c>
      <c r="U89" s="1" t="s">
        <v>455</v>
      </c>
      <c r="V89" s="1" t="str">
        <f t="shared" si="33"/>
        <v>New Delhi</v>
      </c>
      <c r="W89" s="1" t="s">
        <v>44</v>
      </c>
      <c r="X89" s="1" t="str">
        <f t="shared" si="34"/>
        <v>Furniture</v>
      </c>
      <c r="Y89" s="1" t="s">
        <v>190</v>
      </c>
      <c r="Z89" s="1" t="str">
        <f t="shared" si="35"/>
        <v>Bookcases</v>
      </c>
      <c r="AA89" s="1" t="s">
        <v>711</v>
      </c>
      <c r="AB89" s="1" t="s">
        <v>47</v>
      </c>
      <c r="AC89" s="1" t="str">
        <f t="shared" si="36"/>
        <v>Same Day</v>
      </c>
      <c r="AD89" s="1" t="str">
        <f t="shared" si="37"/>
        <v>OK</v>
      </c>
      <c r="AE89" s="1">
        <v>7</v>
      </c>
      <c r="AF89" s="1">
        <v>634.29</v>
      </c>
      <c r="AG89" s="9">
        <v>0.1</v>
      </c>
      <c r="AH89" s="9">
        <f t="shared" si="38"/>
        <v>0.1</v>
      </c>
      <c r="AI89" s="1" t="str">
        <f t="shared" si="39"/>
        <v>OK</v>
      </c>
      <c r="AJ89" s="1">
        <v>3996.03</v>
      </c>
      <c r="AK89" s="1">
        <v>2859.51</v>
      </c>
      <c r="AL89" s="1">
        <v>1136.52</v>
      </c>
      <c r="AM89" s="13">
        <f t="shared" si="40"/>
        <v>3996.027</v>
      </c>
      <c r="AN89" s="9">
        <f t="shared" si="41"/>
        <v>1136.5169999999998</v>
      </c>
      <c r="AO89" s="9">
        <f t="shared" si="50"/>
        <v>0.28441174196270441</v>
      </c>
      <c r="AP89" s="1" t="s">
        <v>33</v>
      </c>
      <c r="AQ89" s="1" t="str">
        <f t="shared" si="42"/>
        <v>Paid</v>
      </c>
      <c r="AR89" s="1" t="str">
        <f t="shared" si="43"/>
        <v>OK</v>
      </c>
      <c r="AS89" s="1" t="s">
        <v>120</v>
      </c>
      <c r="AT89" s="4" t="str">
        <f t="shared" si="44"/>
        <v>Returned</v>
      </c>
      <c r="AU89" s="3" t="str">
        <f t="shared" si="45"/>
        <v>RETURNED_ORDER</v>
      </c>
      <c r="AV89" s="3" t="str">
        <f t="shared" si="51"/>
        <v>CLEAN</v>
      </c>
      <c r="AW89" t="str">
        <f t="shared" si="52"/>
        <v>MATCH</v>
      </c>
      <c r="AX89" t="str">
        <f t="shared" si="53"/>
        <v>MATCH</v>
      </c>
    </row>
    <row r="90" spans="1:50" ht="15.6">
      <c r="A90" s="1" t="s">
        <v>712</v>
      </c>
      <c r="B90" s="1">
        <f t="shared" si="27"/>
        <v>2</v>
      </c>
      <c r="C90" s="16">
        <v>45381</v>
      </c>
      <c r="D90" s="16">
        <v>45381</v>
      </c>
      <c r="E90" s="16" t="str">
        <f t="shared" si="46"/>
        <v>Mar</v>
      </c>
      <c r="F90" s="1">
        <f t="shared" si="47"/>
        <v>2024</v>
      </c>
      <c r="G90" t="s">
        <v>488</v>
      </c>
      <c r="H90" s="17">
        <v>45378</v>
      </c>
      <c r="I90" s="21">
        <f t="shared" si="48"/>
        <v>-3</v>
      </c>
      <c r="J90" s="6" t="str">
        <f t="shared" si="49"/>
        <v>INVALID_SHIPPING</v>
      </c>
      <c r="K90" s="1" t="s">
        <v>714</v>
      </c>
      <c r="L90" s="1" t="s">
        <v>103</v>
      </c>
      <c r="M90" s="1" t="str">
        <f t="shared" si="28"/>
        <v>Aditi Sen</v>
      </c>
      <c r="N90" s="1" t="s">
        <v>110</v>
      </c>
      <c r="O90" s="1" t="str">
        <f t="shared" si="29"/>
        <v>Home Office</v>
      </c>
      <c r="P90" s="1" t="s">
        <v>26</v>
      </c>
      <c r="Q90" s="1" t="str">
        <f t="shared" si="30"/>
        <v>North</v>
      </c>
      <c r="R90" s="1" t="str">
        <f t="shared" si="31"/>
        <v>OK</v>
      </c>
      <c r="S90" s="1" t="s">
        <v>27</v>
      </c>
      <c r="T90" s="1" t="str">
        <f t="shared" si="32"/>
        <v>Rajasthan</v>
      </c>
      <c r="U90" s="1" t="s">
        <v>28</v>
      </c>
      <c r="V90" s="1" t="str">
        <f t="shared" si="33"/>
        <v>Jaipur</v>
      </c>
      <c r="W90" s="1" t="s">
        <v>83</v>
      </c>
      <c r="X90" s="1" t="str">
        <f t="shared" si="34"/>
        <v>Technology</v>
      </c>
      <c r="Y90" s="1" t="s">
        <v>207</v>
      </c>
      <c r="Z90" s="1" t="str">
        <f t="shared" si="35"/>
        <v>Phones</v>
      </c>
      <c r="AA90" s="1" t="s">
        <v>715</v>
      </c>
      <c r="AB90" s="1" t="s">
        <v>32</v>
      </c>
      <c r="AC90" s="1" t="str">
        <f t="shared" si="36"/>
        <v>Second Class</v>
      </c>
      <c r="AD90" s="1" t="str">
        <f t="shared" si="37"/>
        <v>OK</v>
      </c>
      <c r="AE90" s="1">
        <v>5</v>
      </c>
      <c r="AF90" s="1">
        <v>907.54</v>
      </c>
      <c r="AG90" s="9">
        <v>0.15</v>
      </c>
      <c r="AH90" s="9">
        <f t="shared" si="38"/>
        <v>0.15</v>
      </c>
      <c r="AI90" s="1" t="str">
        <f t="shared" si="39"/>
        <v>OK</v>
      </c>
      <c r="AJ90" s="1">
        <v>3857.04</v>
      </c>
      <c r="AK90" s="1">
        <v>2769.26</v>
      </c>
      <c r="AL90" s="1">
        <v>1087.78</v>
      </c>
      <c r="AM90" s="13">
        <f t="shared" si="40"/>
        <v>3857.0449999999996</v>
      </c>
      <c r="AN90" s="9">
        <f t="shared" si="41"/>
        <v>1087.7849999999994</v>
      </c>
      <c r="AO90" s="9">
        <f t="shared" si="50"/>
        <v>0.28202548842442843</v>
      </c>
      <c r="AP90" s="1" t="s">
        <v>33</v>
      </c>
      <c r="AQ90" s="1" t="str">
        <f t="shared" si="42"/>
        <v>Paid</v>
      </c>
      <c r="AR90" s="1" t="str">
        <f t="shared" si="43"/>
        <v>OK</v>
      </c>
      <c r="AS90" s="1" t="s">
        <v>34</v>
      </c>
      <c r="AT90" s="4" t="str">
        <f t="shared" si="44"/>
        <v>Completed</v>
      </c>
      <c r="AU90" s="3" t="str">
        <f t="shared" si="45"/>
        <v>OK</v>
      </c>
      <c r="AV90" s="3" t="str">
        <f t="shared" si="51"/>
        <v>INVALID</v>
      </c>
      <c r="AW90" t="str">
        <f t="shared" si="52"/>
        <v>MISMATCH</v>
      </c>
      <c r="AX90" t="str">
        <f t="shared" si="53"/>
        <v>MISMATCH</v>
      </c>
    </row>
    <row r="91" spans="1:50" ht="15.6" hidden="1">
      <c r="A91" s="1" t="s">
        <v>712</v>
      </c>
      <c r="B91" s="1">
        <f t="shared" si="27"/>
        <v>2</v>
      </c>
      <c r="C91" s="16">
        <v>45381</v>
      </c>
      <c r="D91" s="16">
        <v>45381</v>
      </c>
      <c r="E91" s="16" t="str">
        <f t="shared" si="46"/>
        <v>Mar</v>
      </c>
      <c r="F91" s="1">
        <f t="shared" si="47"/>
        <v>2024</v>
      </c>
      <c r="G91" t="s">
        <v>37</v>
      </c>
      <c r="H91" s="17">
        <v>45540</v>
      </c>
      <c r="I91" s="21">
        <f t="shared" si="48"/>
        <v>159</v>
      </c>
      <c r="J91" s="6" t="str">
        <f t="shared" si="49"/>
        <v>OK</v>
      </c>
      <c r="K91" s="1" t="s">
        <v>714</v>
      </c>
      <c r="L91" s="1" t="s">
        <v>103</v>
      </c>
      <c r="M91" s="1" t="str">
        <f t="shared" si="28"/>
        <v>Aditi Sen</v>
      </c>
      <c r="N91" s="1" t="s">
        <v>110</v>
      </c>
      <c r="O91" s="1" t="str">
        <f t="shared" si="29"/>
        <v>Home Office</v>
      </c>
      <c r="P91" s="1" t="s">
        <v>26</v>
      </c>
      <c r="Q91" s="1" t="str">
        <f t="shared" si="30"/>
        <v>North</v>
      </c>
      <c r="R91" s="1" t="str">
        <f t="shared" si="31"/>
        <v>OK</v>
      </c>
      <c r="S91" s="1" t="s">
        <v>27</v>
      </c>
      <c r="T91" s="1" t="str">
        <f t="shared" si="32"/>
        <v>Rajasthan</v>
      </c>
      <c r="U91" s="1" t="s">
        <v>28</v>
      </c>
      <c r="V91" s="1" t="str">
        <f t="shared" si="33"/>
        <v>Jaipur</v>
      </c>
      <c r="W91" s="1" t="s">
        <v>83</v>
      </c>
      <c r="X91" s="1" t="str">
        <f t="shared" si="34"/>
        <v>Technology</v>
      </c>
      <c r="Y91" s="1" t="s">
        <v>207</v>
      </c>
      <c r="Z91" s="1" t="str">
        <f t="shared" si="35"/>
        <v>Phones</v>
      </c>
      <c r="AA91" s="1" t="s">
        <v>715</v>
      </c>
      <c r="AB91" s="1" t="s">
        <v>32</v>
      </c>
      <c r="AC91" s="1" t="str">
        <f t="shared" si="36"/>
        <v>Second Class</v>
      </c>
      <c r="AD91" s="1" t="str">
        <f t="shared" si="37"/>
        <v>OK</v>
      </c>
      <c r="AE91" s="1">
        <v>5</v>
      </c>
      <c r="AF91" s="1">
        <v>907.54</v>
      </c>
      <c r="AG91" s="9">
        <v>0.15</v>
      </c>
      <c r="AH91" s="9">
        <f t="shared" si="38"/>
        <v>0.15</v>
      </c>
      <c r="AI91" s="1" t="str">
        <f t="shared" si="39"/>
        <v>OK</v>
      </c>
      <c r="AJ91" s="1">
        <v>4099.6899999999996</v>
      </c>
      <c r="AK91" s="1">
        <v>2769.26</v>
      </c>
      <c r="AL91" s="1">
        <v>1087.78</v>
      </c>
      <c r="AM91" s="13">
        <f t="shared" si="40"/>
        <v>3857.0449999999996</v>
      </c>
      <c r="AN91" s="9">
        <f t="shared" si="41"/>
        <v>1087.7849999999994</v>
      </c>
      <c r="AO91" s="9">
        <f t="shared" si="50"/>
        <v>0.28202548842442843</v>
      </c>
      <c r="AP91" s="1" t="s">
        <v>33</v>
      </c>
      <c r="AQ91" s="1" t="str">
        <f t="shared" si="42"/>
        <v>Paid</v>
      </c>
      <c r="AR91" s="1" t="str">
        <f t="shared" si="43"/>
        <v>OK</v>
      </c>
      <c r="AS91" s="1" t="s">
        <v>120</v>
      </c>
      <c r="AT91" s="4" t="str">
        <f t="shared" si="44"/>
        <v>Returned</v>
      </c>
      <c r="AU91" s="3" t="str">
        <f t="shared" si="45"/>
        <v>RETURNED_ORDER</v>
      </c>
      <c r="AV91" s="3" t="str">
        <f t="shared" si="51"/>
        <v>CLEAN</v>
      </c>
      <c r="AW91" t="str">
        <f t="shared" si="52"/>
        <v>MISMATCH</v>
      </c>
      <c r="AX91" t="str">
        <f t="shared" si="53"/>
        <v>MISMATCH</v>
      </c>
    </row>
    <row r="92" spans="1:50" ht="15.6" hidden="1">
      <c r="A92" s="1" t="s">
        <v>716</v>
      </c>
      <c r="B92" s="1">
        <f t="shared" si="27"/>
        <v>1</v>
      </c>
      <c r="C92" s="16">
        <v>45375</v>
      </c>
      <c r="D92" s="16">
        <v>45375</v>
      </c>
      <c r="E92" s="16" t="str">
        <f t="shared" si="46"/>
        <v>Mar</v>
      </c>
      <c r="F92" s="1">
        <f t="shared" si="47"/>
        <v>2024</v>
      </c>
      <c r="G92" t="s">
        <v>67</v>
      </c>
      <c r="H92" s="17">
        <v>45898</v>
      </c>
      <c r="I92" s="21">
        <f t="shared" si="48"/>
        <v>523</v>
      </c>
      <c r="J92" s="6" t="str">
        <f t="shared" si="49"/>
        <v>OK</v>
      </c>
      <c r="K92" s="1" t="s">
        <v>718</v>
      </c>
      <c r="L92" s="1" t="s">
        <v>136</v>
      </c>
      <c r="M92" s="1" t="str">
        <f t="shared" si="28"/>
        <v>Priya Menon</v>
      </c>
      <c r="N92" s="1" t="s">
        <v>25</v>
      </c>
      <c r="O92" s="1" t="str">
        <f t="shared" si="29"/>
        <v>Consumer</v>
      </c>
      <c r="P92" s="1" t="s">
        <v>71</v>
      </c>
      <c r="Q92" s="1" t="str">
        <f t="shared" si="30"/>
        <v>West</v>
      </c>
      <c r="R92" s="1" t="str">
        <f t="shared" si="31"/>
        <v>OK</v>
      </c>
      <c r="S92" s="1" t="s">
        <v>218</v>
      </c>
      <c r="T92" s="1" t="str">
        <f t="shared" si="32"/>
        <v>Gujarat</v>
      </c>
      <c r="U92" s="1" t="s">
        <v>219</v>
      </c>
      <c r="V92" s="1" t="str">
        <f t="shared" si="33"/>
        <v>Ahmedabad</v>
      </c>
      <c r="W92" s="1" t="s">
        <v>29</v>
      </c>
      <c r="X92" s="1" t="str">
        <f t="shared" si="34"/>
        <v>Office Supplies</v>
      </c>
      <c r="Y92" s="1" t="s">
        <v>30</v>
      </c>
      <c r="Z92" s="1" t="str">
        <f t="shared" si="35"/>
        <v>Paper</v>
      </c>
      <c r="AA92" s="1" t="s">
        <v>719</v>
      </c>
      <c r="AB92" s="1" t="s">
        <v>32</v>
      </c>
      <c r="AC92" s="1" t="str">
        <f t="shared" si="36"/>
        <v>Second Class</v>
      </c>
      <c r="AD92" s="1" t="str">
        <f t="shared" si="37"/>
        <v>OK</v>
      </c>
      <c r="AE92" s="1">
        <v>1</v>
      </c>
      <c r="AF92" s="1">
        <v>3409.5</v>
      </c>
      <c r="AG92" s="9">
        <v>0.1</v>
      </c>
      <c r="AH92" s="9">
        <f t="shared" si="38"/>
        <v>0.1</v>
      </c>
      <c r="AI92" s="1" t="str">
        <f t="shared" si="39"/>
        <v>OK</v>
      </c>
      <c r="AJ92" s="1">
        <v>3068.55</v>
      </c>
      <c r="AK92" s="1">
        <v>1916.16</v>
      </c>
      <c r="AL92" s="1">
        <v>1152.3900000000001</v>
      </c>
      <c r="AM92" s="13">
        <f t="shared" si="40"/>
        <v>3068.55</v>
      </c>
      <c r="AN92" s="9">
        <f t="shared" si="41"/>
        <v>1152.3900000000001</v>
      </c>
      <c r="AO92" s="9">
        <f t="shared" si="50"/>
        <v>0.3755487119323459</v>
      </c>
      <c r="AP92" s="1" t="s">
        <v>33</v>
      </c>
      <c r="AQ92" s="1" t="str">
        <f t="shared" si="42"/>
        <v>Paid</v>
      </c>
      <c r="AR92" s="1" t="str">
        <f t="shared" si="43"/>
        <v>OK</v>
      </c>
      <c r="AS92" s="1" t="s">
        <v>120</v>
      </c>
      <c r="AT92" s="4" t="str">
        <f t="shared" si="44"/>
        <v>Returned</v>
      </c>
      <c r="AU92" s="3" t="str">
        <f t="shared" si="45"/>
        <v>RETURNED_ORDER</v>
      </c>
      <c r="AV92" s="3" t="str">
        <f t="shared" si="51"/>
        <v>CLEAN</v>
      </c>
      <c r="AW92" t="str">
        <f t="shared" si="52"/>
        <v>MATCH</v>
      </c>
      <c r="AX92" t="str">
        <f t="shared" si="53"/>
        <v>MATCH</v>
      </c>
    </row>
    <row r="93" spans="1:50" ht="15.6" hidden="1">
      <c r="A93" s="1" t="s">
        <v>720</v>
      </c>
      <c r="B93" s="1">
        <f t="shared" si="27"/>
        <v>1</v>
      </c>
      <c r="C93" s="16">
        <v>45450</v>
      </c>
      <c r="D93" s="16">
        <v>45450</v>
      </c>
      <c r="E93" s="16" t="str">
        <f t="shared" si="46"/>
        <v>Jun</v>
      </c>
      <c r="F93" s="1">
        <f t="shared" si="47"/>
        <v>2024</v>
      </c>
      <c r="G93" t="s">
        <v>498</v>
      </c>
      <c r="H93" s="17">
        <v>45724</v>
      </c>
      <c r="I93" s="21">
        <f t="shared" si="48"/>
        <v>274</v>
      </c>
      <c r="J93" s="6" t="str">
        <f t="shared" si="49"/>
        <v>OK</v>
      </c>
      <c r="K93" s="1" t="s">
        <v>722</v>
      </c>
      <c r="L93" s="1" t="s">
        <v>334</v>
      </c>
      <c r="M93" s="1" t="str">
        <f t="shared" si="28"/>
        <v>Kabir Singh</v>
      </c>
      <c r="N93" s="1" t="s">
        <v>40</v>
      </c>
      <c r="O93" s="1" t="str">
        <f t="shared" si="29"/>
        <v>Small Business</v>
      </c>
      <c r="P93" s="1" t="s">
        <v>60</v>
      </c>
      <c r="Q93" s="1" t="str">
        <f t="shared" si="30"/>
        <v>South</v>
      </c>
      <c r="R93" s="1" t="str">
        <f t="shared" si="31"/>
        <v>OK</v>
      </c>
      <c r="S93" s="1" t="s">
        <v>61</v>
      </c>
      <c r="T93" s="1" t="str">
        <f t="shared" si="32"/>
        <v>Telangana</v>
      </c>
      <c r="U93" s="1" t="s">
        <v>62</v>
      </c>
      <c r="V93" s="1" t="str">
        <f t="shared" si="33"/>
        <v>Hyderabad</v>
      </c>
      <c r="W93" s="1" t="s">
        <v>83</v>
      </c>
      <c r="X93" s="1" t="str">
        <f t="shared" si="34"/>
        <v>Technology</v>
      </c>
      <c r="Y93" s="1" t="s">
        <v>84</v>
      </c>
      <c r="Z93" s="1" t="str">
        <f t="shared" si="35"/>
        <v>Accessories</v>
      </c>
      <c r="AA93" s="1" t="s">
        <v>723</v>
      </c>
      <c r="AB93" s="1" t="s">
        <v>55</v>
      </c>
      <c r="AC93" s="1" t="str">
        <f t="shared" si="36"/>
        <v>First Class</v>
      </c>
      <c r="AD93" s="1" t="str">
        <f t="shared" si="37"/>
        <v>OK</v>
      </c>
      <c r="AE93" s="1">
        <v>7</v>
      </c>
      <c r="AF93" s="1">
        <v>2147.9899999999998</v>
      </c>
      <c r="AG93" s="9">
        <v>0.25</v>
      </c>
      <c r="AH93" s="9">
        <f t="shared" si="38"/>
        <v>0.25</v>
      </c>
      <c r="AI93" s="1" t="str">
        <f t="shared" si="39"/>
        <v>OK</v>
      </c>
      <c r="AJ93" s="1">
        <v>11276.95</v>
      </c>
      <c r="AK93" s="1">
        <v>6908.76</v>
      </c>
      <c r="AL93" s="1">
        <v>4368.1899999999996</v>
      </c>
      <c r="AM93" s="13">
        <f t="shared" si="40"/>
        <v>11276.947499999998</v>
      </c>
      <c r="AN93" s="9">
        <f t="shared" si="41"/>
        <v>4368.1874999999982</v>
      </c>
      <c r="AO93" s="9">
        <f t="shared" si="50"/>
        <v>0.38735548782150481</v>
      </c>
      <c r="AP93" s="1" t="s">
        <v>119</v>
      </c>
      <c r="AQ93" s="1" t="str">
        <f t="shared" si="42"/>
        <v>Refunded</v>
      </c>
      <c r="AR93" s="1" t="str">
        <f t="shared" si="43"/>
        <v>REFUNDED_PAYMENT</v>
      </c>
      <c r="AS93" s="1" t="s">
        <v>120</v>
      </c>
      <c r="AT93" s="4" t="str">
        <f t="shared" si="44"/>
        <v>Returned</v>
      </c>
      <c r="AU93" s="3" t="str">
        <f t="shared" si="45"/>
        <v>RETURNED_ORDER</v>
      </c>
      <c r="AV93" s="3" t="str">
        <f t="shared" si="51"/>
        <v>CLEAN</v>
      </c>
      <c r="AW93" t="str">
        <f t="shared" si="52"/>
        <v>MATCH</v>
      </c>
      <c r="AX93" t="str">
        <f t="shared" si="53"/>
        <v>MATCH</v>
      </c>
    </row>
    <row r="94" spans="1:50" ht="15.6" hidden="1">
      <c r="A94" s="1" t="s">
        <v>732</v>
      </c>
      <c r="B94" s="1">
        <f t="shared" si="27"/>
        <v>1</v>
      </c>
      <c r="C94" s="16">
        <v>45649</v>
      </c>
      <c r="D94" s="16">
        <v>45649</v>
      </c>
      <c r="E94" s="16" t="str">
        <f t="shared" si="46"/>
        <v>Dec</v>
      </c>
      <c r="F94" s="1">
        <f t="shared" si="47"/>
        <v>2024</v>
      </c>
      <c r="G94" t="s">
        <v>502</v>
      </c>
      <c r="H94" s="17">
        <v>45683</v>
      </c>
      <c r="I94" s="21">
        <f t="shared" si="48"/>
        <v>34</v>
      </c>
      <c r="J94" s="6" t="str">
        <f t="shared" si="49"/>
        <v>OK</v>
      </c>
      <c r="K94" s="1" t="s">
        <v>735</v>
      </c>
      <c r="L94" s="1" t="s">
        <v>136</v>
      </c>
      <c r="M94" s="1" t="str">
        <f t="shared" si="28"/>
        <v>Priya Menon</v>
      </c>
      <c r="N94" s="1" t="s">
        <v>110</v>
      </c>
      <c r="O94" s="1" t="str">
        <f t="shared" si="29"/>
        <v>Home Office</v>
      </c>
      <c r="P94" s="1" t="s">
        <v>71</v>
      </c>
      <c r="Q94" s="1" t="str">
        <f t="shared" si="30"/>
        <v>West</v>
      </c>
      <c r="R94" s="1" t="str">
        <f t="shared" si="31"/>
        <v>OK</v>
      </c>
      <c r="S94" s="1" t="s">
        <v>230</v>
      </c>
      <c r="T94" s="1" t="str">
        <f t="shared" si="32"/>
        <v>Goa</v>
      </c>
      <c r="U94" s="1" t="s">
        <v>231</v>
      </c>
      <c r="V94" s="1" t="str">
        <f t="shared" si="33"/>
        <v>Panaji</v>
      </c>
      <c r="W94" s="1" t="s">
        <v>44</v>
      </c>
      <c r="X94" s="1" t="str">
        <f t="shared" si="34"/>
        <v>Furniture</v>
      </c>
      <c r="Y94" s="1" t="s">
        <v>63</v>
      </c>
      <c r="Z94" s="1" t="str">
        <f t="shared" si="35"/>
        <v>Furnishings</v>
      </c>
      <c r="AA94" s="1" t="s">
        <v>736</v>
      </c>
      <c r="AB94" s="1" t="s">
        <v>55</v>
      </c>
      <c r="AC94" s="1" t="str">
        <f t="shared" si="36"/>
        <v>First Class</v>
      </c>
      <c r="AD94" s="1" t="str">
        <f t="shared" si="37"/>
        <v>OK</v>
      </c>
      <c r="AE94" s="1">
        <v>8</v>
      </c>
      <c r="AF94" s="1">
        <v>386.1</v>
      </c>
      <c r="AG94" s="9">
        <v>0.1</v>
      </c>
      <c r="AH94" s="9">
        <f t="shared" si="38"/>
        <v>0.1</v>
      </c>
      <c r="AI94" s="1" t="str">
        <f t="shared" si="39"/>
        <v>OK</v>
      </c>
      <c r="AJ94" s="1">
        <v>2779.92</v>
      </c>
      <c r="AK94" s="1">
        <v>1744.05</v>
      </c>
      <c r="AL94" s="1">
        <v>1035.8699999999999</v>
      </c>
      <c r="AM94" s="13">
        <f t="shared" si="40"/>
        <v>2779.92</v>
      </c>
      <c r="AN94" s="9">
        <f t="shared" si="41"/>
        <v>1035.8700000000001</v>
      </c>
      <c r="AO94" s="9">
        <f t="shared" si="50"/>
        <v>0.37262583095916435</v>
      </c>
      <c r="AP94" s="1" t="s">
        <v>33</v>
      </c>
      <c r="AQ94" s="1" t="str">
        <f t="shared" si="42"/>
        <v>Paid</v>
      </c>
      <c r="AR94" s="1" t="str">
        <f t="shared" si="43"/>
        <v>OK</v>
      </c>
      <c r="AS94" s="1" t="s">
        <v>34</v>
      </c>
      <c r="AT94" s="4" t="str">
        <f t="shared" si="44"/>
        <v>Completed</v>
      </c>
      <c r="AU94" s="3" t="str">
        <f t="shared" si="45"/>
        <v>OK</v>
      </c>
      <c r="AV94" s="3" t="str">
        <f t="shared" si="51"/>
        <v>CLEAN</v>
      </c>
      <c r="AW94" t="str">
        <f t="shared" si="52"/>
        <v>MATCH</v>
      </c>
      <c r="AX94" t="str">
        <f t="shared" si="53"/>
        <v>MATCH</v>
      </c>
    </row>
    <row r="95" spans="1:50" ht="15.6">
      <c r="A95" s="1" t="s">
        <v>741</v>
      </c>
      <c r="B95" s="1">
        <f t="shared" si="27"/>
        <v>1</v>
      </c>
      <c r="C95" s="16">
        <v>45321</v>
      </c>
      <c r="D95" s="16">
        <v>45321</v>
      </c>
      <c r="E95" s="16" t="str">
        <f t="shared" si="46"/>
        <v>Jan</v>
      </c>
      <c r="F95" s="1">
        <f t="shared" si="47"/>
        <v>2024</v>
      </c>
      <c r="G95" t="s">
        <v>506</v>
      </c>
      <c r="H95" s="17">
        <v>45304</v>
      </c>
      <c r="I95" s="21">
        <f t="shared" si="48"/>
        <v>-17</v>
      </c>
      <c r="J95" s="6" t="str">
        <f t="shared" si="49"/>
        <v>INVALID_SHIPPING</v>
      </c>
      <c r="K95" s="1" t="s">
        <v>743</v>
      </c>
      <c r="L95" s="1" t="s">
        <v>153</v>
      </c>
      <c r="M95" s="1" t="str">
        <f t="shared" si="28"/>
        <v>Aarav Sharma</v>
      </c>
      <c r="N95" s="1" t="s">
        <v>40</v>
      </c>
      <c r="O95" s="1" t="str">
        <f t="shared" si="29"/>
        <v>Small Business</v>
      </c>
      <c r="P95" s="1" t="s">
        <v>744</v>
      </c>
      <c r="Q95" s="1" t="str">
        <f t="shared" si="30"/>
        <v>West</v>
      </c>
      <c r="R95" s="1" t="str">
        <f t="shared" si="31"/>
        <v>OK</v>
      </c>
      <c r="S95" s="1" t="s">
        <v>27</v>
      </c>
      <c r="T95" s="1" t="str">
        <f t="shared" si="32"/>
        <v>Rajasthan</v>
      </c>
      <c r="U95" s="1" t="s">
        <v>129</v>
      </c>
      <c r="V95" s="1" t="str">
        <f t="shared" si="33"/>
        <v>Udaipur</v>
      </c>
      <c r="W95" s="1" t="s">
        <v>83</v>
      </c>
      <c r="X95" s="1" t="str">
        <f t="shared" si="34"/>
        <v>Technology</v>
      </c>
      <c r="Y95" s="1" t="s">
        <v>91</v>
      </c>
      <c r="Z95" s="1" t="str">
        <f t="shared" si="35"/>
        <v>Copiers</v>
      </c>
      <c r="AA95" s="1" t="s">
        <v>745</v>
      </c>
      <c r="AB95" s="1" t="s">
        <v>47</v>
      </c>
      <c r="AC95" s="1" t="str">
        <f t="shared" si="36"/>
        <v>Same Day</v>
      </c>
      <c r="AD95" s="1" t="str">
        <f t="shared" si="37"/>
        <v>OK</v>
      </c>
      <c r="AE95" s="1">
        <v>7</v>
      </c>
      <c r="AF95" s="1">
        <v>2527.61</v>
      </c>
      <c r="AG95" s="9">
        <v>0.25</v>
      </c>
      <c r="AH95" s="9">
        <f t="shared" si="38"/>
        <v>0.25</v>
      </c>
      <c r="AI95" s="1" t="str">
        <f t="shared" si="39"/>
        <v>OK</v>
      </c>
      <c r="AJ95" s="1">
        <v>13269.95</v>
      </c>
      <c r="AK95" s="1">
        <v>8977.1</v>
      </c>
      <c r="AL95" s="1">
        <v>4292.8500000000004</v>
      </c>
      <c r="AM95" s="13">
        <f t="shared" si="40"/>
        <v>13269.952499999999</v>
      </c>
      <c r="AN95" s="9">
        <f t="shared" si="41"/>
        <v>4292.8524999999991</v>
      </c>
      <c r="AO95" s="9">
        <f t="shared" si="50"/>
        <v>0.32350172315989822</v>
      </c>
      <c r="AP95" s="1" t="s">
        <v>33</v>
      </c>
      <c r="AQ95" s="1" t="str">
        <f t="shared" si="42"/>
        <v>Paid</v>
      </c>
      <c r="AR95" s="1" t="str">
        <f t="shared" si="43"/>
        <v>OK</v>
      </c>
      <c r="AS95" s="1" t="s">
        <v>34</v>
      </c>
      <c r="AT95" s="4" t="str">
        <f t="shared" si="44"/>
        <v>Completed</v>
      </c>
      <c r="AU95" s="3" t="str">
        <f t="shared" si="45"/>
        <v>OK</v>
      </c>
      <c r="AV95" s="3" t="str">
        <f t="shared" si="51"/>
        <v>INVALID</v>
      </c>
      <c r="AW95" t="str">
        <f t="shared" si="52"/>
        <v>MATCH</v>
      </c>
      <c r="AX95" t="str">
        <f t="shared" si="53"/>
        <v>MATCH</v>
      </c>
    </row>
    <row r="96" spans="1:50" ht="15.6" hidden="1">
      <c r="A96" s="1" t="s">
        <v>746</v>
      </c>
      <c r="B96" s="1">
        <f t="shared" si="27"/>
        <v>1</v>
      </c>
      <c r="C96" s="16">
        <v>45355</v>
      </c>
      <c r="D96" s="16">
        <v>45355</v>
      </c>
      <c r="E96" s="16" t="str">
        <f t="shared" si="46"/>
        <v>Mar</v>
      </c>
      <c r="F96" s="1">
        <f t="shared" si="47"/>
        <v>2024</v>
      </c>
      <c r="G96" t="s">
        <v>510</v>
      </c>
      <c r="H96" s="17">
        <v>45544</v>
      </c>
      <c r="I96" s="21">
        <f t="shared" si="48"/>
        <v>189</v>
      </c>
      <c r="J96" s="6" t="str">
        <f t="shared" si="49"/>
        <v>OK</v>
      </c>
      <c r="K96" s="1" t="s">
        <v>748</v>
      </c>
      <c r="L96" s="1" t="s">
        <v>59</v>
      </c>
      <c r="M96" s="1" t="str">
        <f t="shared" si="28"/>
        <v>Arjun Bose</v>
      </c>
      <c r="N96" s="1" t="s">
        <v>25</v>
      </c>
      <c r="O96" s="1" t="str">
        <f t="shared" si="29"/>
        <v>Consumer</v>
      </c>
      <c r="P96" s="1"/>
      <c r="Q96" s="1" t="str">
        <f t="shared" si="30"/>
        <v>Unknown</v>
      </c>
      <c r="R96" s="1" t="str">
        <f t="shared" si="31"/>
        <v>MISSING_REGION</v>
      </c>
      <c r="S96" s="1" t="s">
        <v>218</v>
      </c>
      <c r="T96" s="1" t="str">
        <f t="shared" si="32"/>
        <v>Gujarat</v>
      </c>
      <c r="U96" s="1" t="s">
        <v>219</v>
      </c>
      <c r="V96" s="1" t="str">
        <f t="shared" si="33"/>
        <v>Ahmedabad</v>
      </c>
      <c r="W96" s="1" t="s">
        <v>44</v>
      </c>
      <c r="X96" s="1" t="str">
        <f t="shared" si="34"/>
        <v>Furniture</v>
      </c>
      <c r="Y96" s="1" t="s">
        <v>190</v>
      </c>
      <c r="Z96" s="1" t="str">
        <f t="shared" si="35"/>
        <v>Bookcases</v>
      </c>
      <c r="AA96" s="1" t="s">
        <v>749</v>
      </c>
      <c r="AB96" s="1" t="s">
        <v>55</v>
      </c>
      <c r="AC96" s="1" t="str">
        <f t="shared" si="36"/>
        <v>First Class</v>
      </c>
      <c r="AD96" s="1" t="str">
        <f t="shared" si="37"/>
        <v>OK</v>
      </c>
      <c r="AE96" s="1">
        <v>1</v>
      </c>
      <c r="AF96" s="1">
        <v>1554.12</v>
      </c>
      <c r="AG96" s="9">
        <v>0.1</v>
      </c>
      <c r="AH96" s="9">
        <f t="shared" si="38"/>
        <v>0.1</v>
      </c>
      <c r="AI96" s="1" t="str">
        <f t="shared" si="39"/>
        <v>OK</v>
      </c>
      <c r="AJ96" s="1">
        <v>1398.71</v>
      </c>
      <c r="AK96" s="1">
        <v>1056.92</v>
      </c>
      <c r="AL96" s="1">
        <v>341.79</v>
      </c>
      <c r="AM96" s="13">
        <f t="shared" si="40"/>
        <v>1398.7079999999999</v>
      </c>
      <c r="AN96" s="9">
        <f t="shared" si="41"/>
        <v>341.78799999999978</v>
      </c>
      <c r="AO96" s="9">
        <f t="shared" si="50"/>
        <v>0.24435979489643286</v>
      </c>
      <c r="AP96" s="1" t="s">
        <v>33</v>
      </c>
      <c r="AQ96" s="1" t="str">
        <f t="shared" si="42"/>
        <v>Paid</v>
      </c>
      <c r="AR96" s="1" t="str">
        <f t="shared" si="43"/>
        <v>OK</v>
      </c>
      <c r="AS96" s="1" t="s">
        <v>34</v>
      </c>
      <c r="AT96" s="4" t="str">
        <f t="shared" si="44"/>
        <v>Completed</v>
      </c>
      <c r="AU96" s="3" t="str">
        <f t="shared" si="45"/>
        <v>OK</v>
      </c>
      <c r="AV96" s="3" t="str">
        <f t="shared" si="51"/>
        <v>WARNING</v>
      </c>
      <c r="AW96" t="str">
        <f t="shared" si="52"/>
        <v>MATCH</v>
      </c>
      <c r="AX96" t="str">
        <f t="shared" si="53"/>
        <v>MATCH</v>
      </c>
    </row>
    <row r="97" spans="1:50" ht="15.6" hidden="1">
      <c r="A97" s="1" t="s">
        <v>750</v>
      </c>
      <c r="B97" s="1">
        <f t="shared" si="27"/>
        <v>1</v>
      </c>
      <c r="C97" s="16">
        <v>45470</v>
      </c>
      <c r="D97" s="16">
        <v>45470</v>
      </c>
      <c r="E97" s="16" t="str">
        <f t="shared" si="46"/>
        <v>Jun</v>
      </c>
      <c r="F97" s="1">
        <f t="shared" si="47"/>
        <v>2024</v>
      </c>
      <c r="G97" t="s">
        <v>515</v>
      </c>
      <c r="H97" s="17">
        <v>45910</v>
      </c>
      <c r="I97" s="21">
        <f t="shared" si="48"/>
        <v>440</v>
      </c>
      <c r="J97" s="6" t="str">
        <f t="shared" si="49"/>
        <v>OK</v>
      </c>
      <c r="K97" s="1" t="s">
        <v>752</v>
      </c>
      <c r="L97" s="1" t="s">
        <v>90</v>
      </c>
      <c r="M97" s="1" t="str">
        <f t="shared" si="28"/>
        <v>Neha Gupta</v>
      </c>
      <c r="N97" s="1" t="s">
        <v>110</v>
      </c>
      <c r="O97" s="1" t="str">
        <f t="shared" si="29"/>
        <v>Home Office</v>
      </c>
      <c r="P97" s="1"/>
      <c r="Q97" s="1" t="str">
        <f t="shared" si="30"/>
        <v>Unknown</v>
      </c>
      <c r="R97" s="1" t="str">
        <f t="shared" si="31"/>
        <v>MISSING_REGION</v>
      </c>
      <c r="S97" s="1" t="s">
        <v>81</v>
      </c>
      <c r="T97" s="1" t="str">
        <f t="shared" si="32"/>
        <v>Madhya Pradesh</v>
      </c>
      <c r="U97" s="1" t="s">
        <v>82</v>
      </c>
      <c r="V97" s="1" t="str">
        <f t="shared" si="33"/>
        <v>Indore</v>
      </c>
      <c r="W97" s="1" t="s">
        <v>83</v>
      </c>
      <c r="X97" s="1" t="str">
        <f t="shared" si="34"/>
        <v>Technology</v>
      </c>
      <c r="Y97" s="1" t="s">
        <v>91</v>
      </c>
      <c r="Z97" s="1" t="str">
        <f t="shared" si="35"/>
        <v>Copiers</v>
      </c>
      <c r="AA97" s="1" t="s">
        <v>753</v>
      </c>
      <c r="AB97" s="1" t="s">
        <v>65</v>
      </c>
      <c r="AC97" s="1" t="str">
        <f t="shared" si="36"/>
        <v>Standard Class</v>
      </c>
      <c r="AD97" s="1" t="str">
        <f t="shared" si="37"/>
        <v>OK</v>
      </c>
      <c r="AE97" s="1">
        <v>2</v>
      </c>
      <c r="AF97" s="1">
        <v>3859.11</v>
      </c>
      <c r="AG97" s="9">
        <v>0</v>
      </c>
      <c r="AH97" s="9">
        <f t="shared" si="38"/>
        <v>0</v>
      </c>
      <c r="AI97" s="1" t="str">
        <f t="shared" si="39"/>
        <v>OK</v>
      </c>
      <c r="AJ97" s="1">
        <v>7718.22</v>
      </c>
      <c r="AK97" s="1">
        <v>5355.93</v>
      </c>
      <c r="AL97" s="1">
        <v>2362.29</v>
      </c>
      <c r="AM97" s="13">
        <f t="shared" si="40"/>
        <v>7718.22</v>
      </c>
      <c r="AN97" s="9">
        <f t="shared" si="41"/>
        <v>2362.29</v>
      </c>
      <c r="AO97" s="9">
        <f t="shared" si="50"/>
        <v>0.30606668376905555</v>
      </c>
      <c r="AP97" s="1" t="s">
        <v>131</v>
      </c>
      <c r="AQ97" s="1" t="str">
        <f t="shared" si="42"/>
        <v>Pending</v>
      </c>
      <c r="AR97" s="1" t="str">
        <f t="shared" si="43"/>
        <v>OK</v>
      </c>
      <c r="AS97" s="1" t="s">
        <v>120</v>
      </c>
      <c r="AT97" s="4" t="str">
        <f t="shared" si="44"/>
        <v>Returned</v>
      </c>
      <c r="AU97" s="3" t="str">
        <f t="shared" si="45"/>
        <v>RETURNED_ORDER</v>
      </c>
      <c r="AV97" s="3" t="str">
        <f t="shared" si="51"/>
        <v>WARNING</v>
      </c>
      <c r="AW97" t="str">
        <f t="shared" si="52"/>
        <v>MATCH</v>
      </c>
      <c r="AX97" t="str">
        <f t="shared" si="53"/>
        <v>MATCH</v>
      </c>
    </row>
    <row r="98" spans="1:50" ht="15.6" hidden="1">
      <c r="A98" s="1" t="s">
        <v>754</v>
      </c>
      <c r="B98" s="1">
        <f t="shared" si="27"/>
        <v>1</v>
      </c>
      <c r="C98" s="16">
        <v>45457</v>
      </c>
      <c r="D98" s="16">
        <v>45457</v>
      </c>
      <c r="E98" s="16" t="str">
        <f t="shared" si="46"/>
        <v>Jun</v>
      </c>
      <c r="F98" s="1">
        <f t="shared" si="47"/>
        <v>2024</v>
      </c>
      <c r="G98" t="s">
        <v>520</v>
      </c>
      <c r="H98" s="17">
        <v>45479</v>
      </c>
      <c r="I98" s="21">
        <f t="shared" si="48"/>
        <v>22</v>
      </c>
      <c r="J98" s="6" t="str">
        <f t="shared" si="49"/>
        <v>OK</v>
      </c>
      <c r="K98" s="1" t="s">
        <v>756</v>
      </c>
      <c r="L98" s="1" t="s">
        <v>334</v>
      </c>
      <c r="M98" s="1" t="str">
        <f t="shared" si="28"/>
        <v>Kabir Singh</v>
      </c>
      <c r="N98" s="1" t="s">
        <v>40</v>
      </c>
      <c r="O98" s="1" t="str">
        <f t="shared" si="29"/>
        <v>Small Business</v>
      </c>
      <c r="P98" s="1" t="s">
        <v>60</v>
      </c>
      <c r="Q98" s="1" t="str">
        <f t="shared" si="30"/>
        <v>South</v>
      </c>
      <c r="R98" s="1" t="str">
        <f t="shared" si="31"/>
        <v>OK</v>
      </c>
      <c r="S98" s="1" t="s">
        <v>224</v>
      </c>
      <c r="T98" s="1" t="str">
        <f t="shared" si="32"/>
        <v>Kerala</v>
      </c>
      <c r="U98" s="1" t="s">
        <v>225</v>
      </c>
      <c r="V98" s="1" t="str">
        <f t="shared" si="33"/>
        <v>Kochi</v>
      </c>
      <c r="W98" s="1" t="s">
        <v>44</v>
      </c>
      <c r="X98" s="1" t="str">
        <f t="shared" si="34"/>
        <v>Furniture</v>
      </c>
      <c r="Y98" s="1" t="s">
        <v>45</v>
      </c>
      <c r="Z98" s="1" t="str">
        <f t="shared" si="35"/>
        <v>Tables</v>
      </c>
      <c r="AA98" s="1" t="s">
        <v>757</v>
      </c>
      <c r="AB98" s="1" t="s">
        <v>32</v>
      </c>
      <c r="AC98" s="1" t="str">
        <f t="shared" si="36"/>
        <v>Second Class</v>
      </c>
      <c r="AD98" s="1" t="str">
        <f t="shared" si="37"/>
        <v>OK</v>
      </c>
      <c r="AE98" s="1">
        <v>6</v>
      </c>
      <c r="AF98" s="1">
        <v>1088.04</v>
      </c>
      <c r="AG98" s="9">
        <v>0.1</v>
      </c>
      <c r="AH98" s="9">
        <f t="shared" si="38"/>
        <v>0.1</v>
      </c>
      <c r="AI98" s="1" t="str">
        <f t="shared" si="39"/>
        <v>OK</v>
      </c>
      <c r="AJ98" s="1">
        <v>5875.42</v>
      </c>
      <c r="AK98" s="1">
        <v>4380.55</v>
      </c>
      <c r="AL98" s="1">
        <v>1494.87</v>
      </c>
      <c r="AM98" s="13">
        <f t="shared" si="40"/>
        <v>5875.4160000000002</v>
      </c>
      <c r="AN98" s="9">
        <f t="shared" si="41"/>
        <v>1494.866</v>
      </c>
      <c r="AO98" s="9">
        <f t="shared" si="50"/>
        <v>0.25442726098032886</v>
      </c>
      <c r="AP98" s="1" t="s">
        <v>131</v>
      </c>
      <c r="AQ98" s="1" t="str">
        <f t="shared" si="42"/>
        <v>Pending</v>
      </c>
      <c r="AR98" s="1" t="str">
        <f t="shared" si="43"/>
        <v>OK</v>
      </c>
      <c r="AS98" s="1" t="s">
        <v>120</v>
      </c>
      <c r="AT98" s="4" t="str">
        <f t="shared" si="44"/>
        <v>Returned</v>
      </c>
      <c r="AU98" s="3" t="str">
        <f t="shared" si="45"/>
        <v>RETURNED_ORDER</v>
      </c>
      <c r="AV98" s="3" t="str">
        <f t="shared" si="51"/>
        <v>CLEAN</v>
      </c>
      <c r="AW98" t="str">
        <f t="shared" si="52"/>
        <v>MATCH</v>
      </c>
      <c r="AX98" t="str">
        <f t="shared" si="53"/>
        <v>MATCH</v>
      </c>
    </row>
    <row r="99" spans="1:50" ht="15.6" hidden="1">
      <c r="A99" s="1" t="s">
        <v>762</v>
      </c>
      <c r="B99" s="1">
        <f t="shared" si="27"/>
        <v>1</v>
      </c>
      <c r="C99" s="16">
        <v>45628</v>
      </c>
      <c r="D99" s="16">
        <v>45628</v>
      </c>
      <c r="E99" s="16" t="str">
        <f t="shared" si="46"/>
        <v>Dec</v>
      </c>
      <c r="F99" s="1">
        <f t="shared" si="47"/>
        <v>2024</v>
      </c>
      <c r="G99" t="s">
        <v>524</v>
      </c>
      <c r="H99" s="17">
        <v>45880</v>
      </c>
      <c r="I99" s="21">
        <f t="shared" si="48"/>
        <v>252</v>
      </c>
      <c r="J99" s="6" t="str">
        <f t="shared" si="49"/>
        <v>OK</v>
      </c>
      <c r="K99" s="1" t="s">
        <v>597</v>
      </c>
      <c r="L99" s="1" t="s">
        <v>136</v>
      </c>
      <c r="M99" s="1" t="str">
        <f t="shared" si="28"/>
        <v>Priya Menon</v>
      </c>
      <c r="N99" s="1" t="s">
        <v>25</v>
      </c>
      <c r="O99" s="1" t="str">
        <f t="shared" si="29"/>
        <v>Consumer</v>
      </c>
      <c r="P99" s="1" t="s">
        <v>60</v>
      </c>
      <c r="Q99" s="1" t="str">
        <f t="shared" si="30"/>
        <v>South</v>
      </c>
      <c r="R99" s="1" t="str">
        <f t="shared" si="31"/>
        <v>OK</v>
      </c>
      <c r="S99" s="1" t="s">
        <v>309</v>
      </c>
      <c r="T99" s="1" t="str">
        <f t="shared" si="32"/>
        <v>Tamil Nadu</v>
      </c>
      <c r="U99" s="1" t="s">
        <v>310</v>
      </c>
      <c r="V99" s="1" t="str">
        <f t="shared" si="33"/>
        <v>Chennai</v>
      </c>
      <c r="W99" s="1" t="s">
        <v>44</v>
      </c>
      <c r="X99" s="1" t="str">
        <f t="shared" si="34"/>
        <v>Furniture</v>
      </c>
      <c r="Y99" s="1" t="s">
        <v>190</v>
      </c>
      <c r="Z99" s="1" t="str">
        <f t="shared" si="35"/>
        <v>Bookcases</v>
      </c>
      <c r="AA99" s="1" t="s">
        <v>764</v>
      </c>
      <c r="AB99" s="1" t="s">
        <v>47</v>
      </c>
      <c r="AC99" s="1" t="str">
        <f t="shared" si="36"/>
        <v>Same Day</v>
      </c>
      <c r="AD99" s="1" t="str">
        <f t="shared" si="37"/>
        <v>OK</v>
      </c>
      <c r="AE99" s="1">
        <v>1</v>
      </c>
      <c r="AF99" s="1">
        <v>2599.12</v>
      </c>
      <c r="AG99" s="9">
        <v>0.15</v>
      </c>
      <c r="AH99" s="9">
        <f t="shared" si="38"/>
        <v>0.15</v>
      </c>
      <c r="AI99" s="1" t="str">
        <f t="shared" si="39"/>
        <v>OK</v>
      </c>
      <c r="AJ99" s="1">
        <v>2209.25</v>
      </c>
      <c r="AK99" s="1">
        <v>1523.78</v>
      </c>
      <c r="AL99" s="1">
        <v>685.47</v>
      </c>
      <c r="AM99" s="13">
        <f t="shared" si="40"/>
        <v>2209.252</v>
      </c>
      <c r="AN99" s="9">
        <f t="shared" si="41"/>
        <v>685.47199999999998</v>
      </c>
      <c r="AO99" s="9">
        <f t="shared" si="50"/>
        <v>0.31027334138432372</v>
      </c>
      <c r="AP99" s="1" t="s">
        <v>33</v>
      </c>
      <c r="AQ99" s="1" t="str">
        <f t="shared" si="42"/>
        <v>Paid</v>
      </c>
      <c r="AR99" s="1" t="str">
        <f t="shared" si="43"/>
        <v>OK</v>
      </c>
      <c r="AS99" s="1" t="s">
        <v>34</v>
      </c>
      <c r="AT99" s="4" t="str">
        <f t="shared" si="44"/>
        <v>Completed</v>
      </c>
      <c r="AU99" s="3" t="str">
        <f t="shared" si="45"/>
        <v>OK</v>
      </c>
      <c r="AV99" s="3" t="str">
        <f t="shared" si="51"/>
        <v>CLEAN</v>
      </c>
      <c r="AW99" t="str">
        <f t="shared" si="52"/>
        <v>MATCH</v>
      </c>
      <c r="AX99" t="str">
        <f t="shared" si="53"/>
        <v>MATCH</v>
      </c>
    </row>
    <row r="100" spans="1:50" ht="15.6">
      <c r="A100" s="1" t="s">
        <v>772</v>
      </c>
      <c r="B100" s="1">
        <f t="shared" si="27"/>
        <v>1</v>
      </c>
      <c r="C100" s="16">
        <v>45587</v>
      </c>
      <c r="D100" s="16">
        <v>45587</v>
      </c>
      <c r="E100" s="16" t="str">
        <f t="shared" si="46"/>
        <v>Oct</v>
      </c>
      <c r="F100" s="1">
        <f t="shared" si="47"/>
        <v>2024</v>
      </c>
      <c r="G100" t="s">
        <v>528</v>
      </c>
      <c r="H100" s="17">
        <v>45323</v>
      </c>
      <c r="I100" s="21">
        <f t="shared" si="48"/>
        <v>-264</v>
      </c>
      <c r="J100" s="6" t="str">
        <f t="shared" si="49"/>
        <v>INVALID_SHIPPING</v>
      </c>
      <c r="K100" s="1" t="s">
        <v>774</v>
      </c>
      <c r="L100" s="1" t="s">
        <v>169</v>
      </c>
      <c r="M100" s="1" t="str">
        <f t="shared" si="28"/>
        <v>Rohan Mehta</v>
      </c>
      <c r="N100" s="1" t="s">
        <v>40</v>
      </c>
      <c r="O100" s="1" t="str">
        <f t="shared" si="29"/>
        <v>Small Business</v>
      </c>
      <c r="P100" s="1" t="s">
        <v>60</v>
      </c>
      <c r="Q100" s="1" t="str">
        <f t="shared" si="30"/>
        <v>South</v>
      </c>
      <c r="R100" s="1" t="str">
        <f t="shared" si="31"/>
        <v>OK</v>
      </c>
      <c r="S100" s="1" t="s">
        <v>97</v>
      </c>
      <c r="T100" s="1" t="str">
        <f t="shared" si="32"/>
        <v>Andhra Pradesh</v>
      </c>
      <c r="U100" s="1" t="s">
        <v>98</v>
      </c>
      <c r="V100" s="1" t="str">
        <f t="shared" si="33"/>
        <v>Vijayawada</v>
      </c>
      <c r="W100" s="1" t="s">
        <v>44</v>
      </c>
      <c r="X100" s="1" t="str">
        <f t="shared" si="34"/>
        <v>Furniture</v>
      </c>
      <c r="Y100" s="1" t="s">
        <v>190</v>
      </c>
      <c r="Z100" s="1" t="str">
        <f t="shared" si="35"/>
        <v>Bookcases</v>
      </c>
      <c r="AA100" s="1" t="s">
        <v>775</v>
      </c>
      <c r="AB100" s="1" t="s">
        <v>65</v>
      </c>
      <c r="AC100" s="1" t="str">
        <f t="shared" si="36"/>
        <v>Standard Class</v>
      </c>
      <c r="AD100" s="1" t="str">
        <f t="shared" si="37"/>
        <v>OK</v>
      </c>
      <c r="AE100" s="1">
        <v>3</v>
      </c>
      <c r="AF100" s="1">
        <v>915.84</v>
      </c>
      <c r="AG100" s="9">
        <v>0.15</v>
      </c>
      <c r="AH100" s="9">
        <f t="shared" si="38"/>
        <v>0.15</v>
      </c>
      <c r="AI100" s="1" t="str">
        <f t="shared" si="39"/>
        <v>OK</v>
      </c>
      <c r="AJ100" s="1">
        <v>2335.39</v>
      </c>
      <c r="AK100" s="1">
        <v>1466.15</v>
      </c>
      <c r="AL100" s="1">
        <v>869.24</v>
      </c>
      <c r="AM100" s="13">
        <f t="shared" si="40"/>
        <v>2335.3919999999998</v>
      </c>
      <c r="AN100" s="9">
        <f t="shared" si="41"/>
        <v>869.24199999999973</v>
      </c>
      <c r="AO100" s="9">
        <f t="shared" si="50"/>
        <v>0.3722038955344541</v>
      </c>
      <c r="AP100" s="1" t="s">
        <v>33</v>
      </c>
      <c r="AQ100" s="1" t="str">
        <f t="shared" si="42"/>
        <v>Paid</v>
      </c>
      <c r="AR100" s="1" t="str">
        <f t="shared" si="43"/>
        <v>OK</v>
      </c>
      <c r="AS100" s="1" t="s">
        <v>34</v>
      </c>
      <c r="AT100" s="4" t="str">
        <f t="shared" si="44"/>
        <v>Completed</v>
      </c>
      <c r="AU100" s="3" t="str">
        <f t="shared" si="45"/>
        <v>OK</v>
      </c>
      <c r="AV100" s="3" t="str">
        <f t="shared" si="51"/>
        <v>INVALID</v>
      </c>
      <c r="AW100" t="str">
        <f t="shared" si="52"/>
        <v>MATCH</v>
      </c>
      <c r="AX100" t="str">
        <f t="shared" si="53"/>
        <v>MATCH</v>
      </c>
    </row>
    <row r="101" spans="1:50" ht="15.6" hidden="1">
      <c r="A101" s="1" t="s">
        <v>776</v>
      </c>
      <c r="B101" s="1">
        <f t="shared" si="27"/>
        <v>1</v>
      </c>
      <c r="C101" s="16">
        <v>45544</v>
      </c>
      <c r="D101" s="16">
        <v>45544</v>
      </c>
      <c r="E101" s="16" t="str">
        <f t="shared" si="46"/>
        <v>Sep</v>
      </c>
      <c r="F101" s="1">
        <f t="shared" si="47"/>
        <v>2024</v>
      </c>
      <c r="G101" t="s">
        <v>532</v>
      </c>
      <c r="H101" s="17">
        <v>45962</v>
      </c>
      <c r="I101" s="21">
        <f t="shared" si="48"/>
        <v>418</v>
      </c>
      <c r="J101" s="6" t="str">
        <f t="shared" si="49"/>
        <v>OK</v>
      </c>
      <c r="K101" s="1" t="s">
        <v>779</v>
      </c>
      <c r="L101" s="1" t="s">
        <v>90</v>
      </c>
      <c r="M101" s="1" t="str">
        <f t="shared" si="28"/>
        <v>Neha Gupta</v>
      </c>
      <c r="N101" s="1" t="s">
        <v>110</v>
      </c>
      <c r="O101" s="1" t="str">
        <f t="shared" si="29"/>
        <v>Home Office</v>
      </c>
      <c r="P101" s="1" t="s">
        <v>60</v>
      </c>
      <c r="Q101" s="1" t="str">
        <f t="shared" si="30"/>
        <v>South</v>
      </c>
      <c r="R101" s="1" t="str">
        <f t="shared" si="31"/>
        <v>OK</v>
      </c>
      <c r="S101" s="1" t="s">
        <v>61</v>
      </c>
      <c r="T101" s="1" t="str">
        <f t="shared" si="32"/>
        <v>Telangana</v>
      </c>
      <c r="U101" s="1" t="s">
        <v>62</v>
      </c>
      <c r="V101" s="1" t="str">
        <f t="shared" si="33"/>
        <v>Hyderabad</v>
      </c>
      <c r="W101" s="1" t="s">
        <v>44</v>
      </c>
      <c r="X101" s="1" t="str">
        <f t="shared" si="34"/>
        <v>Furniture</v>
      </c>
      <c r="Y101" s="1" t="s">
        <v>190</v>
      </c>
      <c r="Z101" s="1" t="str">
        <f t="shared" si="35"/>
        <v>Bookcases</v>
      </c>
      <c r="AA101" s="1" t="s">
        <v>780</v>
      </c>
      <c r="AB101" s="1" t="s">
        <v>55</v>
      </c>
      <c r="AC101" s="1" t="str">
        <f t="shared" si="36"/>
        <v>First Class</v>
      </c>
      <c r="AD101" s="1" t="str">
        <f t="shared" si="37"/>
        <v>OK</v>
      </c>
      <c r="AE101" s="1">
        <v>1</v>
      </c>
      <c r="AF101" s="1">
        <v>4199.54</v>
      </c>
      <c r="AG101" s="9">
        <v>0.05</v>
      </c>
      <c r="AH101" s="9">
        <f t="shared" si="38"/>
        <v>0.05</v>
      </c>
      <c r="AI101" s="1" t="str">
        <f t="shared" si="39"/>
        <v>OK</v>
      </c>
      <c r="AJ101" s="1">
        <v>3989.56</v>
      </c>
      <c r="AK101" s="1">
        <v>2381.38</v>
      </c>
      <c r="AL101" s="1">
        <v>1608.18</v>
      </c>
      <c r="AM101" s="13">
        <f t="shared" si="40"/>
        <v>3989.5629999999996</v>
      </c>
      <c r="AN101" s="9">
        <f t="shared" si="41"/>
        <v>1608.1829999999995</v>
      </c>
      <c r="AO101" s="9">
        <f t="shared" si="50"/>
        <v>0.40309753223598666</v>
      </c>
      <c r="AP101" s="1" t="s">
        <v>33</v>
      </c>
      <c r="AQ101" s="1" t="str">
        <f t="shared" si="42"/>
        <v>Paid</v>
      </c>
      <c r="AR101" s="1" t="str">
        <f t="shared" si="43"/>
        <v>OK</v>
      </c>
      <c r="AS101" s="1" t="s">
        <v>34</v>
      </c>
      <c r="AT101" s="4" t="str">
        <f t="shared" si="44"/>
        <v>Completed</v>
      </c>
      <c r="AU101" s="3" t="str">
        <f t="shared" si="45"/>
        <v>OK</v>
      </c>
      <c r="AV101" s="3" t="str">
        <f t="shared" si="51"/>
        <v>CLEAN</v>
      </c>
      <c r="AW101" t="str">
        <f t="shared" si="52"/>
        <v>MATCH</v>
      </c>
      <c r="AX101" t="str">
        <f t="shared" si="53"/>
        <v>MATCH</v>
      </c>
    </row>
    <row r="102" spans="1:50" ht="15.6" hidden="1">
      <c r="A102" s="1" t="s">
        <v>794</v>
      </c>
      <c r="B102" s="1">
        <f t="shared" si="27"/>
        <v>1</v>
      </c>
      <c r="C102" s="16">
        <v>45538</v>
      </c>
      <c r="D102" s="16">
        <v>45538</v>
      </c>
      <c r="E102" s="16" t="str">
        <f t="shared" si="46"/>
        <v>Sep</v>
      </c>
      <c r="F102" s="1">
        <f t="shared" si="47"/>
        <v>2024</v>
      </c>
      <c r="G102" t="s">
        <v>536</v>
      </c>
      <c r="H102" s="17">
        <v>45918</v>
      </c>
      <c r="I102" s="21">
        <f t="shared" si="48"/>
        <v>380</v>
      </c>
      <c r="J102" s="6" t="str">
        <f t="shared" si="49"/>
        <v>OK</v>
      </c>
      <c r="K102" s="1" t="s">
        <v>797</v>
      </c>
      <c r="L102" s="1" t="s">
        <v>90</v>
      </c>
      <c r="M102" s="1" t="str">
        <f t="shared" si="28"/>
        <v>Neha Gupta</v>
      </c>
      <c r="N102" s="1" t="s">
        <v>40</v>
      </c>
      <c r="O102" s="1" t="str">
        <f t="shared" si="29"/>
        <v>Small Business</v>
      </c>
      <c r="P102" s="1" t="s">
        <v>71</v>
      </c>
      <c r="Q102" s="1" t="str">
        <f t="shared" si="30"/>
        <v>West</v>
      </c>
      <c r="R102" s="1" t="str">
        <f t="shared" si="31"/>
        <v>OK</v>
      </c>
      <c r="S102" s="1" t="s">
        <v>230</v>
      </c>
      <c r="T102" s="1" t="str">
        <f t="shared" si="32"/>
        <v>Goa</v>
      </c>
      <c r="U102" s="1" t="s">
        <v>231</v>
      </c>
      <c r="V102" s="1" t="str">
        <f t="shared" si="33"/>
        <v>Panaji</v>
      </c>
      <c r="W102" s="1" t="s">
        <v>44</v>
      </c>
      <c r="X102" s="1" t="str">
        <f t="shared" si="34"/>
        <v>Furniture</v>
      </c>
      <c r="Y102" s="1" t="s">
        <v>63</v>
      </c>
      <c r="Z102" s="1" t="str">
        <f t="shared" si="35"/>
        <v>Furnishings</v>
      </c>
      <c r="AA102" s="1" t="s">
        <v>798</v>
      </c>
      <c r="AB102" s="1" t="s">
        <v>32</v>
      </c>
      <c r="AC102" s="1" t="str">
        <f t="shared" si="36"/>
        <v>Second Class</v>
      </c>
      <c r="AD102" s="1" t="str">
        <f t="shared" si="37"/>
        <v>OK</v>
      </c>
      <c r="AE102" s="1">
        <v>8</v>
      </c>
      <c r="AF102" s="1">
        <v>4472.84</v>
      </c>
      <c r="AG102" s="9">
        <v>0</v>
      </c>
      <c r="AH102" s="9">
        <f t="shared" si="38"/>
        <v>0</v>
      </c>
      <c r="AI102" s="1" t="str">
        <f t="shared" si="39"/>
        <v>OK</v>
      </c>
      <c r="AJ102" s="1">
        <v>35997.620000000003</v>
      </c>
      <c r="AK102" s="1">
        <v>26424.41</v>
      </c>
      <c r="AL102" s="1">
        <v>9358.31</v>
      </c>
      <c r="AM102" s="13">
        <f t="shared" si="40"/>
        <v>35782.720000000001</v>
      </c>
      <c r="AN102" s="9">
        <f t="shared" si="41"/>
        <v>9358.3100000000013</v>
      </c>
      <c r="AO102" s="9">
        <f t="shared" si="50"/>
        <v>0.2615315437171909</v>
      </c>
      <c r="AP102" s="1" t="s">
        <v>131</v>
      </c>
      <c r="AQ102" s="1" t="str">
        <f t="shared" si="42"/>
        <v>Pending</v>
      </c>
      <c r="AR102" s="1" t="str">
        <f t="shared" si="43"/>
        <v>OK</v>
      </c>
      <c r="AS102" s="1" t="s">
        <v>120</v>
      </c>
      <c r="AT102" s="4" t="str">
        <f t="shared" si="44"/>
        <v>Returned</v>
      </c>
      <c r="AU102" s="3" t="str">
        <f t="shared" si="45"/>
        <v>RETURNED_ORDER</v>
      </c>
      <c r="AV102" s="3" t="str">
        <f t="shared" si="51"/>
        <v>CLEAN</v>
      </c>
      <c r="AW102" t="str">
        <f t="shared" si="52"/>
        <v>MISMATCH</v>
      </c>
      <c r="AX102" t="str">
        <f t="shared" si="53"/>
        <v>MATCH</v>
      </c>
    </row>
    <row r="103" spans="1:50" ht="15.6">
      <c r="A103" s="1" t="s">
        <v>806</v>
      </c>
      <c r="B103" s="1">
        <f t="shared" si="27"/>
        <v>1</v>
      </c>
      <c r="C103" s="16">
        <v>45618</v>
      </c>
      <c r="D103" s="16">
        <v>45618</v>
      </c>
      <c r="E103" s="16" t="str">
        <f t="shared" si="46"/>
        <v>Nov</v>
      </c>
      <c r="F103" s="1">
        <f t="shared" si="47"/>
        <v>2024</v>
      </c>
      <c r="G103" t="s">
        <v>540</v>
      </c>
      <c r="H103" s="17">
        <v>45469</v>
      </c>
      <c r="I103" s="21">
        <f t="shared" si="48"/>
        <v>-149</v>
      </c>
      <c r="J103" s="6" t="str">
        <f t="shared" si="49"/>
        <v>INVALID_SHIPPING</v>
      </c>
      <c r="K103" s="1" t="s">
        <v>809</v>
      </c>
      <c r="L103" s="1" t="s">
        <v>39</v>
      </c>
      <c r="M103" s="1" t="str">
        <f t="shared" si="28"/>
        <v>Mira Das</v>
      </c>
      <c r="N103" s="1" t="s">
        <v>110</v>
      </c>
      <c r="O103" s="1" t="str">
        <f t="shared" si="29"/>
        <v>Home Office</v>
      </c>
      <c r="P103" s="1" t="s">
        <v>41</v>
      </c>
      <c r="Q103" s="1" t="str">
        <f t="shared" si="30"/>
        <v>East</v>
      </c>
      <c r="R103" s="1" t="str">
        <f t="shared" si="31"/>
        <v>OK</v>
      </c>
      <c r="S103" s="1" t="s">
        <v>174</v>
      </c>
      <c r="T103" s="1" t="str">
        <f t="shared" si="32"/>
        <v>Bihar</v>
      </c>
      <c r="U103" s="1" t="s">
        <v>175</v>
      </c>
      <c r="V103" s="1" t="str">
        <f t="shared" si="33"/>
        <v>Patna</v>
      </c>
      <c r="W103" s="1" t="s">
        <v>44</v>
      </c>
      <c r="X103" s="1" t="str">
        <f t="shared" si="34"/>
        <v>Furniture</v>
      </c>
      <c r="Y103" s="1" t="s">
        <v>74</v>
      </c>
      <c r="Z103" s="1" t="str">
        <f t="shared" si="35"/>
        <v>Chairs</v>
      </c>
      <c r="AA103" s="1" t="s">
        <v>810</v>
      </c>
      <c r="AB103" s="1" t="s">
        <v>65</v>
      </c>
      <c r="AC103" s="1" t="str">
        <f t="shared" si="36"/>
        <v>Standard Class</v>
      </c>
      <c r="AD103" s="1" t="str">
        <f t="shared" si="37"/>
        <v>OK</v>
      </c>
      <c r="AE103" s="1">
        <v>4</v>
      </c>
      <c r="AF103" s="1">
        <v>3422.99</v>
      </c>
      <c r="AG103" s="9">
        <v>0.25</v>
      </c>
      <c r="AH103" s="9">
        <f t="shared" si="38"/>
        <v>0.25</v>
      </c>
      <c r="AI103" s="1" t="str">
        <f t="shared" si="39"/>
        <v>OK</v>
      </c>
      <c r="AJ103" s="1">
        <v>10268.969999999999</v>
      </c>
      <c r="AK103" s="1">
        <v>6470.92</v>
      </c>
      <c r="AL103" s="1">
        <v>3798.05</v>
      </c>
      <c r="AM103" s="13">
        <f t="shared" si="40"/>
        <v>10268.969999999999</v>
      </c>
      <c r="AN103" s="9">
        <f t="shared" si="41"/>
        <v>3798.0499999999993</v>
      </c>
      <c r="AO103" s="9">
        <f t="shared" si="50"/>
        <v>0.36985695741637181</v>
      </c>
      <c r="AP103" s="1" t="s">
        <v>33</v>
      </c>
      <c r="AQ103" s="1" t="str">
        <f t="shared" si="42"/>
        <v>Paid</v>
      </c>
      <c r="AR103" s="1" t="str">
        <f t="shared" si="43"/>
        <v>OK</v>
      </c>
      <c r="AS103" s="1" t="s">
        <v>34</v>
      </c>
      <c r="AT103" s="4" t="str">
        <f t="shared" si="44"/>
        <v>Completed</v>
      </c>
      <c r="AU103" s="3" t="str">
        <f t="shared" si="45"/>
        <v>OK</v>
      </c>
      <c r="AV103" s="3" t="str">
        <f t="shared" si="51"/>
        <v>INVALID</v>
      </c>
      <c r="AW103" t="str">
        <f t="shared" si="52"/>
        <v>MATCH</v>
      </c>
      <c r="AX103" t="str">
        <f t="shared" si="53"/>
        <v>MATCH</v>
      </c>
    </row>
    <row r="104" spans="1:50" ht="15.6" hidden="1">
      <c r="A104" s="1" t="s">
        <v>840</v>
      </c>
      <c r="B104" s="1">
        <f t="shared" si="27"/>
        <v>1</v>
      </c>
      <c r="C104" s="16">
        <v>45414</v>
      </c>
      <c r="D104" s="16">
        <v>45414</v>
      </c>
      <c r="E104" s="16" t="str">
        <f t="shared" si="46"/>
        <v>May</v>
      </c>
      <c r="F104" s="1">
        <f t="shared" si="47"/>
        <v>2024</v>
      </c>
      <c r="G104" t="s">
        <v>544</v>
      </c>
      <c r="H104" s="17">
        <v>45854</v>
      </c>
      <c r="I104" s="21">
        <f t="shared" si="48"/>
        <v>440</v>
      </c>
      <c r="J104" s="6" t="str">
        <f t="shared" si="49"/>
        <v>OK</v>
      </c>
      <c r="K104" s="1" t="s">
        <v>843</v>
      </c>
      <c r="L104" s="1" t="s">
        <v>844</v>
      </c>
      <c r="M104" s="1" t="str">
        <f t="shared" si="28"/>
        <v>Priya Menon</v>
      </c>
      <c r="N104" s="1" t="s">
        <v>110</v>
      </c>
      <c r="O104" s="1" t="str">
        <f t="shared" si="29"/>
        <v>Home Office</v>
      </c>
      <c r="P104" s="1" t="s">
        <v>26</v>
      </c>
      <c r="Q104" s="1" t="str">
        <f t="shared" si="30"/>
        <v>North</v>
      </c>
      <c r="R104" s="1" t="str">
        <f t="shared" si="31"/>
        <v>OK</v>
      </c>
      <c r="S104" s="1" t="s">
        <v>146</v>
      </c>
      <c r="T104" s="1" t="str">
        <f t="shared" si="32"/>
        <v>Punjab</v>
      </c>
      <c r="U104" s="1" t="s">
        <v>147</v>
      </c>
      <c r="V104" s="1" t="str">
        <f t="shared" si="33"/>
        <v>Ludhiana</v>
      </c>
      <c r="W104" s="1" t="s">
        <v>83</v>
      </c>
      <c r="X104" s="1" t="str">
        <f t="shared" si="34"/>
        <v>Technology</v>
      </c>
      <c r="Y104" s="1" t="s">
        <v>91</v>
      </c>
      <c r="Z104" s="1" t="str">
        <f t="shared" si="35"/>
        <v>Copiers</v>
      </c>
      <c r="AA104" s="1" t="s">
        <v>845</v>
      </c>
      <c r="AB104" s="1" t="s">
        <v>32</v>
      </c>
      <c r="AC104" s="1" t="str">
        <f t="shared" si="36"/>
        <v>Second Class</v>
      </c>
      <c r="AD104" s="1" t="str">
        <f t="shared" si="37"/>
        <v>OK</v>
      </c>
      <c r="AE104" s="1">
        <v>1</v>
      </c>
      <c r="AF104" s="1">
        <v>2312.25</v>
      </c>
      <c r="AG104" s="9">
        <v>0.25</v>
      </c>
      <c r="AH104" s="9">
        <f t="shared" si="38"/>
        <v>0.25</v>
      </c>
      <c r="AI104" s="1" t="str">
        <f t="shared" si="39"/>
        <v>OK</v>
      </c>
      <c r="AJ104" s="1">
        <v>1734.19</v>
      </c>
      <c r="AK104" s="1">
        <v>1386.07</v>
      </c>
      <c r="AL104" s="1">
        <v>348.12</v>
      </c>
      <c r="AM104" s="13">
        <f t="shared" si="40"/>
        <v>1734.1875</v>
      </c>
      <c r="AN104" s="9">
        <f t="shared" si="41"/>
        <v>348.11750000000006</v>
      </c>
      <c r="AO104" s="9">
        <f t="shared" si="50"/>
        <v>0.20073809781237614</v>
      </c>
      <c r="AP104" s="1" t="s">
        <v>33</v>
      </c>
      <c r="AQ104" s="1" t="str">
        <f t="shared" si="42"/>
        <v>Paid</v>
      </c>
      <c r="AR104" s="1" t="str">
        <f t="shared" si="43"/>
        <v>OK</v>
      </c>
      <c r="AS104" s="1" t="s">
        <v>34</v>
      </c>
      <c r="AT104" s="4" t="str">
        <f t="shared" si="44"/>
        <v>Completed</v>
      </c>
      <c r="AU104" s="3" t="str">
        <f t="shared" si="45"/>
        <v>OK</v>
      </c>
      <c r="AV104" s="3" t="str">
        <f t="shared" si="51"/>
        <v>CLEAN</v>
      </c>
      <c r="AW104" t="str">
        <f t="shared" si="52"/>
        <v>MATCH</v>
      </c>
      <c r="AX104" t="str">
        <f t="shared" si="53"/>
        <v>MATCH</v>
      </c>
    </row>
    <row r="105" spans="1:50" ht="15.6" hidden="1">
      <c r="A105" s="1" t="s">
        <v>850</v>
      </c>
      <c r="B105" s="1">
        <f t="shared" si="27"/>
        <v>1</v>
      </c>
      <c r="C105" s="16">
        <v>45318</v>
      </c>
      <c r="D105" s="16">
        <v>45318</v>
      </c>
      <c r="E105" s="16" t="str">
        <f t="shared" si="46"/>
        <v>Jan</v>
      </c>
      <c r="F105" s="1">
        <f t="shared" si="47"/>
        <v>2024</v>
      </c>
      <c r="G105" t="s">
        <v>548</v>
      </c>
      <c r="H105" s="17">
        <v>45787</v>
      </c>
      <c r="I105" s="21">
        <f t="shared" si="48"/>
        <v>469</v>
      </c>
      <c r="J105" s="6" t="str">
        <f t="shared" si="49"/>
        <v>OK</v>
      </c>
      <c r="K105" s="1" t="s">
        <v>852</v>
      </c>
      <c r="L105" s="1" t="s">
        <v>59</v>
      </c>
      <c r="M105" s="1" t="str">
        <f t="shared" si="28"/>
        <v>Arjun Bose</v>
      </c>
      <c r="N105" s="1" t="s">
        <v>40</v>
      </c>
      <c r="O105" s="1" t="str">
        <f t="shared" si="29"/>
        <v>Small Business</v>
      </c>
      <c r="P105" s="1" t="s">
        <v>41</v>
      </c>
      <c r="Q105" s="1" t="str">
        <f t="shared" si="30"/>
        <v>East</v>
      </c>
      <c r="R105" s="1" t="str">
        <f t="shared" si="31"/>
        <v>OK</v>
      </c>
      <c r="S105" s="1" t="s">
        <v>174</v>
      </c>
      <c r="T105" s="1" t="str">
        <f t="shared" si="32"/>
        <v>Bihar</v>
      </c>
      <c r="U105" s="1" t="s">
        <v>175</v>
      </c>
      <c r="V105" s="1" t="str">
        <f t="shared" si="33"/>
        <v>Patna</v>
      </c>
      <c r="W105" s="1" t="s">
        <v>83</v>
      </c>
      <c r="X105" s="1" t="str">
        <f t="shared" si="34"/>
        <v>Technology</v>
      </c>
      <c r="Y105" s="1" t="s">
        <v>347</v>
      </c>
      <c r="Z105" s="1" t="str">
        <f t="shared" si="35"/>
        <v>Machines</v>
      </c>
      <c r="AA105" s="1" t="s">
        <v>853</v>
      </c>
      <c r="AB105" s="1" t="s">
        <v>47</v>
      </c>
      <c r="AC105" s="1" t="str">
        <f t="shared" si="36"/>
        <v>Same Day</v>
      </c>
      <c r="AD105" s="1" t="str">
        <f t="shared" si="37"/>
        <v>OK</v>
      </c>
      <c r="AE105" s="1">
        <v>7</v>
      </c>
      <c r="AF105" s="1">
        <v>2673.42</v>
      </c>
      <c r="AG105" s="9">
        <v>0.15</v>
      </c>
      <c r="AH105" s="9">
        <f t="shared" si="38"/>
        <v>0.15</v>
      </c>
      <c r="AI105" s="1" t="str">
        <f t="shared" si="39"/>
        <v>OK</v>
      </c>
      <c r="AJ105" s="1">
        <v>15906.85</v>
      </c>
      <c r="AK105" s="1">
        <v>11014.46</v>
      </c>
      <c r="AL105" s="1">
        <v>4892.3900000000003</v>
      </c>
      <c r="AM105" s="13">
        <f t="shared" si="40"/>
        <v>15906.849000000002</v>
      </c>
      <c r="AN105" s="9">
        <f t="shared" si="41"/>
        <v>4892.3890000000029</v>
      </c>
      <c r="AO105" s="9">
        <f t="shared" si="50"/>
        <v>0.30756493633654297</v>
      </c>
      <c r="AP105" s="1" t="s">
        <v>33</v>
      </c>
      <c r="AQ105" s="1" t="str">
        <f t="shared" si="42"/>
        <v>Paid</v>
      </c>
      <c r="AR105" s="1" t="str">
        <f t="shared" si="43"/>
        <v>OK</v>
      </c>
      <c r="AS105" s="1" t="s">
        <v>120</v>
      </c>
      <c r="AT105" s="4" t="str">
        <f t="shared" si="44"/>
        <v>Returned</v>
      </c>
      <c r="AU105" s="3" t="str">
        <f t="shared" si="45"/>
        <v>RETURNED_ORDER</v>
      </c>
      <c r="AV105" s="3" t="str">
        <f t="shared" si="51"/>
        <v>CLEAN</v>
      </c>
      <c r="AW105" t="str">
        <f t="shared" si="52"/>
        <v>MATCH</v>
      </c>
      <c r="AX105" t="str">
        <f t="shared" si="53"/>
        <v>MATCH</v>
      </c>
    </row>
    <row r="106" spans="1:50" ht="15.6" hidden="1">
      <c r="A106" s="1" t="s">
        <v>858</v>
      </c>
      <c r="B106" s="1">
        <f t="shared" si="27"/>
        <v>1</v>
      </c>
      <c r="C106" s="16">
        <v>45444</v>
      </c>
      <c r="D106" s="16">
        <v>45444</v>
      </c>
      <c r="E106" s="16" t="str">
        <f t="shared" si="46"/>
        <v>Jun</v>
      </c>
      <c r="F106" s="1">
        <f t="shared" si="47"/>
        <v>2024</v>
      </c>
      <c r="G106" t="s">
        <v>552</v>
      </c>
      <c r="H106" s="17">
        <v>45696</v>
      </c>
      <c r="I106" s="21">
        <f t="shared" si="48"/>
        <v>252</v>
      </c>
      <c r="J106" s="6" t="str">
        <f t="shared" si="49"/>
        <v>OK</v>
      </c>
      <c r="K106" s="1" t="s">
        <v>860</v>
      </c>
      <c r="L106" s="1" t="s">
        <v>158</v>
      </c>
      <c r="M106" s="1" t="str">
        <f t="shared" si="28"/>
        <v>Sneha Kapoor</v>
      </c>
      <c r="N106" s="1" t="s">
        <v>110</v>
      </c>
      <c r="O106" s="1" t="str">
        <f t="shared" si="29"/>
        <v>Home Office</v>
      </c>
      <c r="P106" s="1"/>
      <c r="Q106" s="1" t="str">
        <f t="shared" si="30"/>
        <v>Unknown</v>
      </c>
      <c r="R106" s="1" t="str">
        <f t="shared" si="31"/>
        <v>MISSING_REGION</v>
      </c>
      <c r="S106" s="1" t="s">
        <v>174</v>
      </c>
      <c r="T106" s="1" t="str">
        <f t="shared" si="32"/>
        <v>Bihar</v>
      </c>
      <c r="U106" s="1" t="s">
        <v>175</v>
      </c>
      <c r="V106" s="1" t="str">
        <f t="shared" si="33"/>
        <v>Patna</v>
      </c>
      <c r="W106" s="1" t="s">
        <v>29</v>
      </c>
      <c r="X106" s="1" t="str">
        <f t="shared" si="34"/>
        <v>Office Supplies</v>
      </c>
      <c r="Y106" s="1" t="s">
        <v>53</v>
      </c>
      <c r="Z106" s="1" t="str">
        <f t="shared" si="35"/>
        <v>Art</v>
      </c>
      <c r="AA106" s="1" t="s">
        <v>861</v>
      </c>
      <c r="AB106" s="1" t="s">
        <v>47</v>
      </c>
      <c r="AC106" s="1" t="str">
        <f t="shared" si="36"/>
        <v>Same Day</v>
      </c>
      <c r="AD106" s="1" t="str">
        <f t="shared" si="37"/>
        <v>OK</v>
      </c>
      <c r="AE106" s="1">
        <v>8</v>
      </c>
      <c r="AF106" s="1">
        <v>3879.95</v>
      </c>
      <c r="AG106" s="9">
        <v>0</v>
      </c>
      <c r="AH106" s="9">
        <f t="shared" si="38"/>
        <v>0</v>
      </c>
      <c r="AI106" s="1" t="str">
        <f t="shared" si="39"/>
        <v>OK</v>
      </c>
      <c r="AJ106" s="1">
        <v>31039.599999999999</v>
      </c>
      <c r="AK106" s="1">
        <v>20866.72</v>
      </c>
      <c r="AL106" s="1">
        <v>10172.879999999999</v>
      </c>
      <c r="AM106" s="13">
        <f t="shared" si="40"/>
        <v>31039.599999999999</v>
      </c>
      <c r="AN106" s="9">
        <f t="shared" si="41"/>
        <v>10172.879999999997</v>
      </c>
      <c r="AO106" s="9">
        <f t="shared" si="50"/>
        <v>0.32773875952009685</v>
      </c>
      <c r="AP106" s="1" t="s">
        <v>33</v>
      </c>
      <c r="AQ106" s="1" t="str">
        <f t="shared" si="42"/>
        <v>Paid</v>
      </c>
      <c r="AR106" s="1" t="str">
        <f t="shared" si="43"/>
        <v>OK</v>
      </c>
      <c r="AS106" s="1" t="s">
        <v>34</v>
      </c>
      <c r="AT106" s="4" t="str">
        <f t="shared" si="44"/>
        <v>Completed</v>
      </c>
      <c r="AU106" s="3" t="str">
        <f t="shared" si="45"/>
        <v>OK</v>
      </c>
      <c r="AV106" s="3" t="str">
        <f t="shared" si="51"/>
        <v>WARNING</v>
      </c>
      <c r="AW106" t="str">
        <f t="shared" si="52"/>
        <v>MATCH</v>
      </c>
      <c r="AX106" t="str">
        <f t="shared" si="53"/>
        <v>MATCH</v>
      </c>
    </row>
    <row r="107" spans="1:50" ht="15.6">
      <c r="A107" s="1" t="s">
        <v>862</v>
      </c>
      <c r="B107" s="1">
        <f t="shared" si="27"/>
        <v>1</v>
      </c>
      <c r="C107" s="16">
        <v>45565</v>
      </c>
      <c r="D107" s="16">
        <v>45565</v>
      </c>
      <c r="E107" s="16" t="str">
        <f t="shared" si="46"/>
        <v>Sep</v>
      </c>
      <c r="F107" s="1">
        <f t="shared" si="47"/>
        <v>2024</v>
      </c>
      <c r="G107" t="s">
        <v>556</v>
      </c>
      <c r="H107" s="17">
        <v>45472</v>
      </c>
      <c r="I107" s="21">
        <f t="shared" si="48"/>
        <v>-93</v>
      </c>
      <c r="J107" s="6" t="str">
        <f t="shared" si="49"/>
        <v>INVALID_SHIPPING</v>
      </c>
      <c r="K107" s="1" t="s">
        <v>864</v>
      </c>
      <c r="L107" s="1" t="s">
        <v>52</v>
      </c>
      <c r="M107" s="1" t="str">
        <f t="shared" si="28"/>
        <v>Isha Nair</v>
      </c>
      <c r="N107" s="1" t="s">
        <v>104</v>
      </c>
      <c r="O107" s="1" t="str">
        <f t="shared" si="29"/>
        <v>Corporate</v>
      </c>
      <c r="P107" s="1" t="s">
        <v>60</v>
      </c>
      <c r="Q107" s="1" t="str">
        <f t="shared" si="30"/>
        <v>South</v>
      </c>
      <c r="R107" s="1" t="str">
        <f t="shared" si="31"/>
        <v>OK</v>
      </c>
      <c r="S107" s="1" t="s">
        <v>61</v>
      </c>
      <c r="T107" s="1" t="str">
        <f t="shared" si="32"/>
        <v>Telangana</v>
      </c>
      <c r="U107" s="1" t="s">
        <v>62</v>
      </c>
      <c r="V107" s="1" t="str">
        <f t="shared" si="33"/>
        <v>Hyderabad</v>
      </c>
      <c r="W107" s="1" t="s">
        <v>29</v>
      </c>
      <c r="X107" s="1" t="str">
        <f t="shared" si="34"/>
        <v>Office Supplies</v>
      </c>
      <c r="Y107" s="1" t="s">
        <v>53</v>
      </c>
      <c r="Z107" s="1" t="str">
        <f t="shared" si="35"/>
        <v>Art</v>
      </c>
      <c r="AA107" s="1" t="s">
        <v>865</v>
      </c>
      <c r="AB107" s="1" t="s">
        <v>65</v>
      </c>
      <c r="AC107" s="1" t="str">
        <f t="shared" si="36"/>
        <v>Standard Class</v>
      </c>
      <c r="AD107" s="1" t="str">
        <f t="shared" si="37"/>
        <v>OK</v>
      </c>
      <c r="AE107" s="1">
        <v>4</v>
      </c>
      <c r="AF107" s="1">
        <v>3281.74</v>
      </c>
      <c r="AG107" s="9">
        <v>0</v>
      </c>
      <c r="AH107" s="9">
        <f t="shared" si="38"/>
        <v>0</v>
      </c>
      <c r="AI107" s="1" t="str">
        <f t="shared" si="39"/>
        <v>OK</v>
      </c>
      <c r="AJ107" s="1">
        <v>13126.96</v>
      </c>
      <c r="AK107" s="1">
        <v>10732.44</v>
      </c>
      <c r="AL107" s="1">
        <v>2394.52</v>
      </c>
      <c r="AM107" s="13">
        <f t="shared" si="40"/>
        <v>13126.96</v>
      </c>
      <c r="AN107" s="9">
        <f t="shared" si="41"/>
        <v>2394.5199999999986</v>
      </c>
      <c r="AO107" s="9">
        <f t="shared" si="50"/>
        <v>0.18241237879905162</v>
      </c>
      <c r="AP107" s="1" t="s">
        <v>33</v>
      </c>
      <c r="AQ107" s="1" t="str">
        <f t="shared" si="42"/>
        <v>Paid</v>
      </c>
      <c r="AR107" s="1" t="str">
        <f t="shared" si="43"/>
        <v>OK</v>
      </c>
      <c r="AS107" s="1" t="s">
        <v>34</v>
      </c>
      <c r="AT107" s="4" t="str">
        <f t="shared" si="44"/>
        <v>Completed</v>
      </c>
      <c r="AU107" s="3" t="str">
        <f t="shared" si="45"/>
        <v>OK</v>
      </c>
      <c r="AV107" s="3" t="str">
        <f t="shared" si="51"/>
        <v>INVALID</v>
      </c>
      <c r="AW107" t="str">
        <f t="shared" si="52"/>
        <v>MATCH</v>
      </c>
      <c r="AX107" t="str">
        <f t="shared" si="53"/>
        <v>MATCH</v>
      </c>
    </row>
    <row r="108" spans="1:50" ht="15.6">
      <c r="A108" s="1" t="s">
        <v>866</v>
      </c>
      <c r="B108" s="1">
        <f t="shared" si="27"/>
        <v>1</v>
      </c>
      <c r="C108" s="16">
        <v>45366</v>
      </c>
      <c r="D108" s="16">
        <v>45366</v>
      </c>
      <c r="E108" s="16" t="str">
        <f t="shared" si="46"/>
        <v>Mar</v>
      </c>
      <c r="F108" s="1">
        <f t="shared" si="47"/>
        <v>2024</v>
      </c>
      <c r="G108" t="s">
        <v>560</v>
      </c>
      <c r="H108" s="17">
        <v>45350</v>
      </c>
      <c r="I108" s="21">
        <f t="shared" si="48"/>
        <v>-16</v>
      </c>
      <c r="J108" s="6" t="str">
        <f t="shared" si="49"/>
        <v>INVALID_SHIPPING</v>
      </c>
      <c r="K108" s="1" t="s">
        <v>868</v>
      </c>
      <c r="L108" s="1" t="s">
        <v>70</v>
      </c>
      <c r="M108" s="1" t="str">
        <f t="shared" si="28"/>
        <v>Ananya Rao</v>
      </c>
      <c r="N108" s="1" t="s">
        <v>40</v>
      </c>
      <c r="O108" s="1" t="str">
        <f t="shared" si="29"/>
        <v>Small Business</v>
      </c>
      <c r="P108" s="1" t="s">
        <v>60</v>
      </c>
      <c r="Q108" s="1" t="str">
        <f t="shared" si="30"/>
        <v>South</v>
      </c>
      <c r="R108" s="1" t="str">
        <f t="shared" si="31"/>
        <v>OK</v>
      </c>
      <c r="S108" s="1" t="s">
        <v>309</v>
      </c>
      <c r="T108" s="1" t="str">
        <f t="shared" si="32"/>
        <v>Tamil Nadu</v>
      </c>
      <c r="U108" s="1" t="s">
        <v>310</v>
      </c>
      <c r="V108" s="1" t="str">
        <f t="shared" si="33"/>
        <v>Chennai</v>
      </c>
      <c r="W108" s="1" t="s">
        <v>44</v>
      </c>
      <c r="X108" s="1" t="str">
        <f t="shared" si="34"/>
        <v>Furniture</v>
      </c>
      <c r="Y108" s="1" t="s">
        <v>63</v>
      </c>
      <c r="Z108" s="1" t="str">
        <f t="shared" si="35"/>
        <v>Furnishings</v>
      </c>
      <c r="AA108" s="1" t="s">
        <v>869</v>
      </c>
      <c r="AB108" s="1" t="s">
        <v>65</v>
      </c>
      <c r="AC108" s="1" t="str">
        <f t="shared" si="36"/>
        <v>Standard Class</v>
      </c>
      <c r="AD108" s="1" t="str">
        <f t="shared" si="37"/>
        <v>OK</v>
      </c>
      <c r="AE108" s="1">
        <v>4</v>
      </c>
      <c r="AF108" s="1">
        <v>3186.3</v>
      </c>
      <c r="AG108" s="9">
        <v>0.25</v>
      </c>
      <c r="AH108" s="9">
        <f t="shared" si="38"/>
        <v>0.25</v>
      </c>
      <c r="AI108" s="1" t="str">
        <f t="shared" si="39"/>
        <v>OK</v>
      </c>
      <c r="AJ108" s="1">
        <v>9558.9</v>
      </c>
      <c r="AK108" s="1">
        <v>5516.76</v>
      </c>
      <c r="AL108" s="1">
        <v>4042.14</v>
      </c>
      <c r="AM108" s="13">
        <f t="shared" si="40"/>
        <v>9558.9000000000015</v>
      </c>
      <c r="AN108" s="9">
        <f t="shared" si="41"/>
        <v>4042.1400000000012</v>
      </c>
      <c r="AO108" s="9">
        <f t="shared" si="50"/>
        <v>0.42286664783604816</v>
      </c>
      <c r="AP108" s="1" t="s">
        <v>119</v>
      </c>
      <c r="AQ108" s="1" t="str">
        <f t="shared" si="42"/>
        <v>Refunded</v>
      </c>
      <c r="AR108" s="1" t="str">
        <f t="shared" si="43"/>
        <v>REFUNDED_PAYMENT</v>
      </c>
      <c r="AS108" s="1" t="s">
        <v>120</v>
      </c>
      <c r="AT108" s="4" t="str">
        <f t="shared" si="44"/>
        <v>Returned</v>
      </c>
      <c r="AU108" s="3" t="str">
        <f t="shared" si="45"/>
        <v>RETURNED_ORDER</v>
      </c>
      <c r="AV108" s="3" t="str">
        <f t="shared" si="51"/>
        <v>INVALID</v>
      </c>
      <c r="AW108" t="str">
        <f t="shared" si="52"/>
        <v>MATCH</v>
      </c>
      <c r="AX108" t="str">
        <f t="shared" si="53"/>
        <v>MATCH</v>
      </c>
    </row>
    <row r="109" spans="1:50" ht="15.6" hidden="1">
      <c r="A109" s="1" t="s">
        <v>870</v>
      </c>
      <c r="B109" s="1">
        <f t="shared" si="27"/>
        <v>1</v>
      </c>
      <c r="C109" s="16">
        <v>45530</v>
      </c>
      <c r="D109" s="16">
        <v>45530</v>
      </c>
      <c r="E109" s="16" t="str">
        <f t="shared" si="46"/>
        <v>Aug</v>
      </c>
      <c r="F109" s="1">
        <f t="shared" si="47"/>
        <v>2024</v>
      </c>
      <c r="G109" t="s">
        <v>564</v>
      </c>
      <c r="H109" s="17">
        <v>45600</v>
      </c>
      <c r="I109" s="21">
        <f t="shared" si="48"/>
        <v>70</v>
      </c>
      <c r="J109" s="6" t="str">
        <f t="shared" si="49"/>
        <v>OK</v>
      </c>
      <c r="K109" s="1" t="s">
        <v>872</v>
      </c>
      <c r="L109" s="1" t="s">
        <v>39</v>
      </c>
      <c r="M109" s="1" t="str">
        <f t="shared" si="28"/>
        <v>Mira Das</v>
      </c>
      <c r="N109" s="1" t="s">
        <v>110</v>
      </c>
      <c r="O109" s="1" t="str">
        <f t="shared" si="29"/>
        <v>Home Office</v>
      </c>
      <c r="P109" s="1" t="s">
        <v>26</v>
      </c>
      <c r="Q109" s="1" t="str">
        <f t="shared" si="30"/>
        <v>North</v>
      </c>
      <c r="R109" s="1" t="str">
        <f t="shared" si="31"/>
        <v>OK</v>
      </c>
      <c r="S109" s="1" t="s">
        <v>163</v>
      </c>
      <c r="T109" s="1" t="str">
        <f t="shared" si="32"/>
        <v>Uttar Pradesh</v>
      </c>
      <c r="U109" s="1" t="s">
        <v>164</v>
      </c>
      <c r="V109" s="1" t="str">
        <f t="shared" si="33"/>
        <v>Noida</v>
      </c>
      <c r="W109" s="1" t="s">
        <v>813</v>
      </c>
      <c r="X109" s="1" t="str">
        <f t="shared" si="34"/>
        <v>Office Supplies</v>
      </c>
      <c r="Y109" s="1" t="s">
        <v>184</v>
      </c>
      <c r="Z109" s="1" t="str">
        <f t="shared" si="35"/>
        <v>Binders</v>
      </c>
      <c r="AA109" s="1" t="s">
        <v>873</v>
      </c>
      <c r="AB109" s="1" t="s">
        <v>55</v>
      </c>
      <c r="AC109" s="1" t="str">
        <f t="shared" si="36"/>
        <v>First Class</v>
      </c>
      <c r="AD109" s="1" t="str">
        <f t="shared" si="37"/>
        <v>OK</v>
      </c>
      <c r="AE109" s="1">
        <v>7</v>
      </c>
      <c r="AF109" s="1">
        <v>844.59</v>
      </c>
      <c r="AG109" s="9">
        <v>0.1</v>
      </c>
      <c r="AH109" s="9">
        <f t="shared" si="38"/>
        <v>0.1</v>
      </c>
      <c r="AI109" s="1" t="str">
        <f t="shared" si="39"/>
        <v>OK</v>
      </c>
      <c r="AJ109" s="1">
        <v>5320.92</v>
      </c>
      <c r="AK109" s="1">
        <v>3041.5</v>
      </c>
      <c r="AL109" s="1">
        <v>2279.42</v>
      </c>
      <c r="AM109" s="13">
        <f t="shared" si="40"/>
        <v>5320.9170000000004</v>
      </c>
      <c r="AN109" s="9">
        <f t="shared" si="41"/>
        <v>2279.4170000000004</v>
      </c>
      <c r="AO109" s="9">
        <f t="shared" si="50"/>
        <v>0.42838800154183954</v>
      </c>
      <c r="AP109" s="1" t="s">
        <v>33</v>
      </c>
      <c r="AQ109" s="1" t="str">
        <f t="shared" si="42"/>
        <v>Paid</v>
      </c>
      <c r="AR109" s="1" t="str">
        <f t="shared" si="43"/>
        <v>OK</v>
      </c>
      <c r="AS109" s="1" t="s">
        <v>34</v>
      </c>
      <c r="AT109" s="4" t="str">
        <f t="shared" si="44"/>
        <v>Completed</v>
      </c>
      <c r="AU109" s="3" t="str">
        <f t="shared" si="45"/>
        <v>OK</v>
      </c>
      <c r="AV109" s="3" t="str">
        <f t="shared" si="51"/>
        <v>CLEAN</v>
      </c>
      <c r="AW109" t="str">
        <f t="shared" si="52"/>
        <v>MATCH</v>
      </c>
      <c r="AX109" t="str">
        <f t="shared" si="53"/>
        <v>MATCH</v>
      </c>
    </row>
    <row r="110" spans="1:50" ht="15.6">
      <c r="A110" s="1" t="s">
        <v>878</v>
      </c>
      <c r="B110" s="1">
        <f t="shared" si="27"/>
        <v>1</v>
      </c>
      <c r="C110" s="16">
        <v>45581</v>
      </c>
      <c r="D110" s="16">
        <v>45581</v>
      </c>
      <c r="E110" s="16" t="str">
        <f t="shared" si="46"/>
        <v>Oct</v>
      </c>
      <c r="F110" s="1">
        <f t="shared" si="47"/>
        <v>2024</v>
      </c>
      <c r="G110" t="s">
        <v>568</v>
      </c>
      <c r="H110" s="17">
        <v>45527</v>
      </c>
      <c r="I110" s="21">
        <f t="shared" si="48"/>
        <v>-54</v>
      </c>
      <c r="J110" s="6" t="str">
        <f t="shared" si="49"/>
        <v>INVALID_SHIPPING</v>
      </c>
      <c r="K110" s="1" t="s">
        <v>879</v>
      </c>
      <c r="L110" s="1" t="s">
        <v>70</v>
      </c>
      <c r="M110" s="1" t="str">
        <f t="shared" si="28"/>
        <v>Ananya Rao</v>
      </c>
      <c r="N110" s="1" t="s">
        <v>110</v>
      </c>
      <c r="O110" s="1" t="str">
        <f t="shared" si="29"/>
        <v>Home Office</v>
      </c>
      <c r="P110" s="1" t="s">
        <v>41</v>
      </c>
      <c r="Q110" s="1" t="str">
        <f t="shared" si="30"/>
        <v>East</v>
      </c>
      <c r="R110" s="1" t="str">
        <f t="shared" si="31"/>
        <v>OK</v>
      </c>
      <c r="S110" s="1" t="s">
        <v>174</v>
      </c>
      <c r="T110" s="1" t="str">
        <f t="shared" si="32"/>
        <v>Bihar</v>
      </c>
      <c r="U110" s="1" t="s">
        <v>175</v>
      </c>
      <c r="V110" s="1" t="str">
        <f t="shared" si="33"/>
        <v>Patna</v>
      </c>
      <c r="W110" s="1" t="s">
        <v>83</v>
      </c>
      <c r="X110" s="1" t="str">
        <f t="shared" si="34"/>
        <v>Technology</v>
      </c>
      <c r="Y110" s="1" t="s">
        <v>347</v>
      </c>
      <c r="Z110" s="1" t="str">
        <f t="shared" si="35"/>
        <v>Machines</v>
      </c>
      <c r="AA110" s="1" t="s">
        <v>880</v>
      </c>
      <c r="AB110" s="1" t="s">
        <v>65</v>
      </c>
      <c r="AC110" s="1" t="str">
        <f t="shared" si="36"/>
        <v>Standard Class</v>
      </c>
      <c r="AD110" s="1" t="str">
        <f t="shared" si="37"/>
        <v>OK</v>
      </c>
      <c r="AE110" s="1">
        <v>7</v>
      </c>
      <c r="AF110" s="1">
        <v>775.77</v>
      </c>
      <c r="AG110" s="9">
        <v>0</v>
      </c>
      <c r="AH110" s="9">
        <f t="shared" si="38"/>
        <v>0</v>
      </c>
      <c r="AI110" s="1" t="str">
        <f t="shared" si="39"/>
        <v>OK</v>
      </c>
      <c r="AJ110" s="1">
        <v>5430.39</v>
      </c>
      <c r="AK110" s="1">
        <v>3707.66</v>
      </c>
      <c r="AL110" s="1">
        <v>1722.73</v>
      </c>
      <c r="AM110" s="13">
        <f t="shared" si="40"/>
        <v>5430.3899999999994</v>
      </c>
      <c r="AN110" s="9">
        <f t="shared" si="41"/>
        <v>1722.7299999999996</v>
      </c>
      <c r="AO110" s="9">
        <f t="shared" si="50"/>
        <v>0.31723872502711586</v>
      </c>
      <c r="AP110" s="1" t="s">
        <v>33</v>
      </c>
      <c r="AQ110" s="1" t="str">
        <f t="shared" si="42"/>
        <v>Paid</v>
      </c>
      <c r="AR110" s="1" t="str">
        <f t="shared" si="43"/>
        <v>OK</v>
      </c>
      <c r="AS110" s="1" t="s">
        <v>34</v>
      </c>
      <c r="AT110" s="4" t="str">
        <f t="shared" si="44"/>
        <v>Completed</v>
      </c>
      <c r="AU110" s="3" t="str">
        <f t="shared" si="45"/>
        <v>OK</v>
      </c>
      <c r="AV110" s="3" t="str">
        <f t="shared" si="51"/>
        <v>INVALID</v>
      </c>
      <c r="AW110" t="str">
        <f t="shared" si="52"/>
        <v>MATCH</v>
      </c>
      <c r="AX110" t="str">
        <f t="shared" si="53"/>
        <v>MATCH</v>
      </c>
    </row>
    <row r="111" spans="1:50" ht="15.6" hidden="1">
      <c r="A111" s="1" t="s">
        <v>886</v>
      </c>
      <c r="B111" s="1">
        <f t="shared" si="27"/>
        <v>1</v>
      </c>
      <c r="C111" s="16">
        <v>45326</v>
      </c>
      <c r="D111" s="16">
        <v>45326</v>
      </c>
      <c r="E111" s="16" t="str">
        <f t="shared" si="46"/>
        <v>Feb</v>
      </c>
      <c r="F111" s="1">
        <f t="shared" si="47"/>
        <v>2024</v>
      </c>
      <c r="G111" t="s">
        <v>430</v>
      </c>
      <c r="H111" s="17">
        <v>45896</v>
      </c>
      <c r="I111" s="21">
        <f t="shared" si="48"/>
        <v>570</v>
      </c>
      <c r="J111" s="6" t="str">
        <f t="shared" si="49"/>
        <v>OK</v>
      </c>
      <c r="K111" s="1" t="s">
        <v>887</v>
      </c>
      <c r="L111" s="1" t="s">
        <v>80</v>
      </c>
      <c r="M111" s="1" t="str">
        <f t="shared" si="28"/>
        <v>Vikram Iyer</v>
      </c>
      <c r="N111" s="1" t="s">
        <v>104</v>
      </c>
      <c r="O111" s="1" t="str">
        <f t="shared" si="29"/>
        <v>Corporate</v>
      </c>
      <c r="P111" s="1" t="s">
        <v>71</v>
      </c>
      <c r="Q111" s="1" t="str">
        <f t="shared" si="30"/>
        <v>West</v>
      </c>
      <c r="R111" s="1" t="str">
        <f t="shared" si="31"/>
        <v>OK</v>
      </c>
      <c r="S111" s="1" t="s">
        <v>81</v>
      </c>
      <c r="T111" s="1" t="str">
        <f t="shared" si="32"/>
        <v>Madhya Pradesh</v>
      </c>
      <c r="U111" s="1" t="s">
        <v>82</v>
      </c>
      <c r="V111" s="1" t="str">
        <f t="shared" si="33"/>
        <v>Indore</v>
      </c>
      <c r="W111" s="1" t="s">
        <v>44</v>
      </c>
      <c r="X111" s="1" t="str">
        <f t="shared" si="34"/>
        <v>Furniture</v>
      </c>
      <c r="Y111" s="1" t="s">
        <v>190</v>
      </c>
      <c r="Z111" s="1" t="str">
        <f t="shared" si="35"/>
        <v>Bookcases</v>
      </c>
      <c r="AA111" s="1" t="s">
        <v>888</v>
      </c>
      <c r="AB111" s="1" t="s">
        <v>65</v>
      </c>
      <c r="AC111" s="1" t="str">
        <f t="shared" si="36"/>
        <v>Standard Class</v>
      </c>
      <c r="AD111" s="1" t="str">
        <f t="shared" si="37"/>
        <v>OK</v>
      </c>
      <c r="AE111" s="1">
        <v>2</v>
      </c>
      <c r="AF111" s="1">
        <v>888.98</v>
      </c>
      <c r="AG111" s="9">
        <v>0</v>
      </c>
      <c r="AH111" s="9">
        <f t="shared" si="38"/>
        <v>0</v>
      </c>
      <c r="AI111" s="1" t="str">
        <f t="shared" si="39"/>
        <v>OK</v>
      </c>
      <c r="AJ111" s="1">
        <v>1777.96</v>
      </c>
      <c r="AK111" s="1">
        <v>1021.16</v>
      </c>
      <c r="AL111" s="1">
        <v>756.8</v>
      </c>
      <c r="AM111" s="13">
        <f t="shared" si="40"/>
        <v>1777.96</v>
      </c>
      <c r="AN111" s="9">
        <f t="shared" si="41"/>
        <v>756.80000000000007</v>
      </c>
      <c r="AO111" s="9">
        <f t="shared" si="50"/>
        <v>0.42565637022205227</v>
      </c>
      <c r="AP111" s="1" t="s">
        <v>119</v>
      </c>
      <c r="AQ111" s="1" t="str">
        <f t="shared" si="42"/>
        <v>Refunded</v>
      </c>
      <c r="AR111" s="1" t="str">
        <f t="shared" si="43"/>
        <v>REFUNDED_PAYMENT</v>
      </c>
      <c r="AS111" s="1" t="s">
        <v>120</v>
      </c>
      <c r="AT111" s="4" t="str">
        <f t="shared" si="44"/>
        <v>Returned</v>
      </c>
      <c r="AU111" s="3" t="str">
        <f t="shared" si="45"/>
        <v>RETURNED_ORDER</v>
      </c>
      <c r="AV111" s="3" t="str">
        <f t="shared" si="51"/>
        <v>CLEAN</v>
      </c>
      <c r="AW111" t="str">
        <f t="shared" si="52"/>
        <v>MATCH</v>
      </c>
      <c r="AX111" t="str">
        <f t="shared" si="53"/>
        <v>MATCH</v>
      </c>
    </row>
    <row r="112" spans="1:50" ht="15.6" hidden="1">
      <c r="A112" s="1" t="s">
        <v>889</v>
      </c>
      <c r="B112" s="1">
        <f t="shared" si="27"/>
        <v>1</v>
      </c>
      <c r="C112" s="16">
        <v>45423</v>
      </c>
      <c r="D112" s="16">
        <v>45423</v>
      </c>
      <c r="E112" s="16" t="str">
        <f t="shared" si="46"/>
        <v>May</v>
      </c>
      <c r="F112" s="1">
        <f t="shared" si="47"/>
        <v>2024</v>
      </c>
      <c r="G112" t="s">
        <v>576</v>
      </c>
      <c r="H112" s="17">
        <v>45589</v>
      </c>
      <c r="I112" s="21">
        <f t="shared" si="48"/>
        <v>166</v>
      </c>
      <c r="J112" s="6" t="str">
        <f t="shared" si="49"/>
        <v>OK</v>
      </c>
      <c r="K112" s="1" t="s">
        <v>891</v>
      </c>
      <c r="L112" s="1" t="s">
        <v>59</v>
      </c>
      <c r="M112" s="1" t="str">
        <f t="shared" si="28"/>
        <v>Arjun Bose</v>
      </c>
      <c r="N112" s="1" t="s">
        <v>25</v>
      </c>
      <c r="O112" s="1" t="str">
        <f t="shared" si="29"/>
        <v>Consumer</v>
      </c>
      <c r="P112" s="1"/>
      <c r="Q112" s="1" t="str">
        <f t="shared" si="30"/>
        <v>Unknown</v>
      </c>
      <c r="R112" s="1" t="str">
        <f t="shared" si="31"/>
        <v>MISSING_REGION</v>
      </c>
      <c r="S112" s="1" t="s">
        <v>146</v>
      </c>
      <c r="T112" s="1" t="str">
        <f t="shared" si="32"/>
        <v>Punjab</v>
      </c>
      <c r="U112" s="1" t="s">
        <v>147</v>
      </c>
      <c r="V112" s="1" t="str">
        <f t="shared" si="33"/>
        <v>Ludhiana</v>
      </c>
      <c r="W112" s="1" t="s">
        <v>29</v>
      </c>
      <c r="X112" s="1" t="str">
        <f t="shared" si="34"/>
        <v>Office Supplies</v>
      </c>
      <c r="Y112" s="1" t="s">
        <v>105</v>
      </c>
      <c r="Z112" s="1" t="str">
        <f t="shared" si="35"/>
        <v>Labels</v>
      </c>
      <c r="AA112" s="1" t="s">
        <v>892</v>
      </c>
      <c r="AB112" s="1" t="s">
        <v>32</v>
      </c>
      <c r="AC112" s="1" t="str">
        <f t="shared" si="36"/>
        <v>Second Class</v>
      </c>
      <c r="AD112" s="1" t="str">
        <f t="shared" si="37"/>
        <v>OK</v>
      </c>
      <c r="AE112" s="1">
        <v>2</v>
      </c>
      <c r="AF112" s="1">
        <v>1003.17</v>
      </c>
      <c r="AG112" s="9">
        <v>0.2</v>
      </c>
      <c r="AH112" s="9">
        <f t="shared" si="38"/>
        <v>0.2</v>
      </c>
      <c r="AI112" s="1" t="str">
        <f t="shared" si="39"/>
        <v>OK</v>
      </c>
      <c r="AJ112" s="1">
        <v>1605.07</v>
      </c>
      <c r="AK112" s="1">
        <v>1337.28</v>
      </c>
      <c r="AL112" s="1">
        <v>267.79000000000002</v>
      </c>
      <c r="AM112" s="13">
        <f t="shared" si="40"/>
        <v>1605.0720000000001</v>
      </c>
      <c r="AN112" s="9">
        <f t="shared" si="41"/>
        <v>267.79200000000014</v>
      </c>
      <c r="AO112" s="9">
        <f t="shared" si="50"/>
        <v>0.16684111366966722</v>
      </c>
      <c r="AP112" s="1" t="s">
        <v>33</v>
      </c>
      <c r="AQ112" s="1" t="str">
        <f t="shared" si="42"/>
        <v>Paid</v>
      </c>
      <c r="AR112" s="1" t="str">
        <f t="shared" si="43"/>
        <v>OK</v>
      </c>
      <c r="AS112" s="1" t="s">
        <v>34</v>
      </c>
      <c r="AT112" s="4" t="str">
        <f t="shared" si="44"/>
        <v>Completed</v>
      </c>
      <c r="AU112" s="3" t="str">
        <f t="shared" si="45"/>
        <v>OK</v>
      </c>
      <c r="AV112" s="3" t="str">
        <f t="shared" si="51"/>
        <v>WARNING</v>
      </c>
      <c r="AW112" t="str">
        <f t="shared" si="52"/>
        <v>MATCH</v>
      </c>
      <c r="AX112" t="str">
        <f t="shared" si="53"/>
        <v>MATCH</v>
      </c>
    </row>
    <row r="113" spans="1:50" ht="15.6" hidden="1">
      <c r="A113" s="1" t="s">
        <v>893</v>
      </c>
      <c r="B113" s="1">
        <f t="shared" si="27"/>
        <v>1</v>
      </c>
      <c r="C113" s="16">
        <v>45492</v>
      </c>
      <c r="D113" s="16">
        <v>45492</v>
      </c>
      <c r="E113" s="16" t="str">
        <f t="shared" si="46"/>
        <v>Jul</v>
      </c>
      <c r="F113" s="1">
        <f t="shared" si="47"/>
        <v>2024</v>
      </c>
      <c r="G113" t="s">
        <v>581</v>
      </c>
      <c r="H113" s="17">
        <v>45838</v>
      </c>
      <c r="I113" s="21">
        <f t="shared" si="48"/>
        <v>346</v>
      </c>
      <c r="J113" s="6" t="str">
        <f t="shared" si="49"/>
        <v>OK</v>
      </c>
      <c r="K113" s="1" t="s">
        <v>333</v>
      </c>
      <c r="L113" s="1" t="s">
        <v>80</v>
      </c>
      <c r="M113" s="1" t="str">
        <f t="shared" si="28"/>
        <v>Vikram Iyer</v>
      </c>
      <c r="N113" s="1" t="s">
        <v>25</v>
      </c>
      <c r="O113" s="1" t="str">
        <f t="shared" si="29"/>
        <v>Consumer</v>
      </c>
      <c r="P113" s="1" t="s">
        <v>60</v>
      </c>
      <c r="Q113" s="1" t="str">
        <f t="shared" si="30"/>
        <v>South</v>
      </c>
      <c r="R113" s="1" t="str">
        <f t="shared" si="31"/>
        <v>OK</v>
      </c>
      <c r="S113" s="1" t="s">
        <v>309</v>
      </c>
      <c r="T113" s="1" t="str">
        <f t="shared" si="32"/>
        <v>Tamil Nadu</v>
      </c>
      <c r="U113" s="1" t="s">
        <v>310</v>
      </c>
      <c r="V113" s="1" t="str">
        <f t="shared" si="33"/>
        <v>Chennai</v>
      </c>
      <c r="W113" s="1" t="s">
        <v>44</v>
      </c>
      <c r="X113" s="1" t="str">
        <f t="shared" si="34"/>
        <v>Furniture</v>
      </c>
      <c r="Y113" s="1" t="s">
        <v>45</v>
      </c>
      <c r="Z113" s="1" t="str">
        <f t="shared" si="35"/>
        <v>Tables</v>
      </c>
      <c r="AA113" s="1" t="s">
        <v>895</v>
      </c>
      <c r="AB113" s="1" t="s">
        <v>55</v>
      </c>
      <c r="AC113" s="1" t="str">
        <f t="shared" si="36"/>
        <v>First Class</v>
      </c>
      <c r="AD113" s="1" t="str">
        <f t="shared" si="37"/>
        <v>OK</v>
      </c>
      <c r="AE113" s="1">
        <v>7</v>
      </c>
      <c r="AF113" s="1">
        <v>3608.43</v>
      </c>
      <c r="AG113" s="9">
        <v>0.05</v>
      </c>
      <c r="AH113" s="9">
        <f t="shared" si="38"/>
        <v>0.05</v>
      </c>
      <c r="AI113" s="1" t="str">
        <f t="shared" si="39"/>
        <v>OK</v>
      </c>
      <c r="AJ113" s="1">
        <v>23996.06</v>
      </c>
      <c r="AK113" s="1">
        <v>20167.28</v>
      </c>
      <c r="AL113" s="1">
        <v>3828.78</v>
      </c>
      <c r="AM113" s="13">
        <f t="shared" si="40"/>
        <v>23996.059499999996</v>
      </c>
      <c r="AN113" s="9">
        <f t="shared" si="41"/>
        <v>3828.7794999999969</v>
      </c>
      <c r="AO113" s="9">
        <f t="shared" si="50"/>
        <v>0.15955867670689838</v>
      </c>
      <c r="AP113" s="1" t="s">
        <v>33</v>
      </c>
      <c r="AQ113" s="1" t="str">
        <f t="shared" si="42"/>
        <v>Paid</v>
      </c>
      <c r="AR113" s="1" t="str">
        <f t="shared" si="43"/>
        <v>OK</v>
      </c>
      <c r="AS113" s="1" t="s">
        <v>34</v>
      </c>
      <c r="AT113" s="4" t="str">
        <f t="shared" si="44"/>
        <v>Completed</v>
      </c>
      <c r="AU113" s="3" t="str">
        <f t="shared" si="45"/>
        <v>OK</v>
      </c>
      <c r="AV113" s="3" t="str">
        <f t="shared" si="51"/>
        <v>CLEAN</v>
      </c>
      <c r="AW113" t="str">
        <f t="shared" si="52"/>
        <v>MATCH</v>
      </c>
      <c r="AX113" t="str">
        <f t="shared" si="53"/>
        <v>MATCH</v>
      </c>
    </row>
    <row r="114" spans="1:50" ht="15.6">
      <c r="A114" s="1" t="s">
        <v>914</v>
      </c>
      <c r="B114" s="1">
        <f t="shared" si="27"/>
        <v>1</v>
      </c>
      <c r="C114" s="16">
        <v>45584</v>
      </c>
      <c r="D114" s="16">
        <v>45584</v>
      </c>
      <c r="E114" s="16" t="str">
        <f t="shared" si="46"/>
        <v>Oct</v>
      </c>
      <c r="F114" s="1">
        <f t="shared" si="47"/>
        <v>2024</v>
      </c>
      <c r="G114" t="s">
        <v>585</v>
      </c>
      <c r="H114" s="17">
        <v>45305</v>
      </c>
      <c r="I114" s="21">
        <f t="shared" si="48"/>
        <v>-279</v>
      </c>
      <c r="J114" s="6" t="str">
        <f t="shared" si="49"/>
        <v>INVALID_SHIPPING</v>
      </c>
      <c r="K114" s="1" t="s">
        <v>915</v>
      </c>
      <c r="L114" s="1" t="s">
        <v>158</v>
      </c>
      <c r="M114" s="1" t="str">
        <f t="shared" si="28"/>
        <v>Sneha Kapoor</v>
      </c>
      <c r="N114" s="1" t="s">
        <v>40</v>
      </c>
      <c r="O114" s="1" t="str">
        <f t="shared" si="29"/>
        <v>Small Business</v>
      </c>
      <c r="P114" s="1" t="s">
        <v>60</v>
      </c>
      <c r="Q114" s="1" t="str">
        <f t="shared" si="30"/>
        <v>South</v>
      </c>
      <c r="R114" s="1" t="str">
        <f t="shared" si="31"/>
        <v>OK</v>
      </c>
      <c r="S114" s="1" t="s">
        <v>309</v>
      </c>
      <c r="T114" s="1" t="str">
        <f t="shared" si="32"/>
        <v>Tamil Nadu</v>
      </c>
      <c r="U114" s="1" t="s">
        <v>310</v>
      </c>
      <c r="V114" s="1" t="str">
        <f t="shared" si="33"/>
        <v>Chennai</v>
      </c>
      <c r="W114" s="1" t="s">
        <v>44</v>
      </c>
      <c r="X114" s="1" t="str">
        <f t="shared" si="34"/>
        <v>Furniture</v>
      </c>
      <c r="Y114" s="1" t="s">
        <v>190</v>
      </c>
      <c r="Z114" s="1" t="str">
        <f t="shared" si="35"/>
        <v>Bookcases</v>
      </c>
      <c r="AA114" s="1" t="s">
        <v>916</v>
      </c>
      <c r="AB114" s="1" t="s">
        <v>32</v>
      </c>
      <c r="AC114" s="1" t="str">
        <f t="shared" si="36"/>
        <v>Second Class</v>
      </c>
      <c r="AD114" s="1" t="str">
        <f t="shared" si="37"/>
        <v>OK</v>
      </c>
      <c r="AE114" s="1">
        <v>6</v>
      </c>
      <c r="AF114" s="1">
        <v>4308.3999999999996</v>
      </c>
      <c r="AG114" s="9">
        <v>0.65</v>
      </c>
      <c r="AH114" s="9">
        <f t="shared" si="38"/>
        <v>0.65</v>
      </c>
      <c r="AI114" s="1" t="str">
        <f t="shared" si="39"/>
        <v>OK</v>
      </c>
      <c r="AJ114" s="1">
        <v>25850.400000000001</v>
      </c>
      <c r="AK114" s="1">
        <v>19397.68</v>
      </c>
      <c r="AL114" s="1">
        <v>6452.72</v>
      </c>
      <c r="AM114" s="13">
        <f t="shared" si="40"/>
        <v>9047.64</v>
      </c>
      <c r="AN114" s="9">
        <f t="shared" si="41"/>
        <v>-10350.040000000001</v>
      </c>
      <c r="AO114" s="9">
        <f t="shared" si="50"/>
        <v>-1.1439491403283069</v>
      </c>
      <c r="AP114" s="1" t="s">
        <v>33</v>
      </c>
      <c r="AQ114" s="1" t="str">
        <f t="shared" si="42"/>
        <v>Paid</v>
      </c>
      <c r="AR114" s="1" t="str">
        <f t="shared" si="43"/>
        <v>OK</v>
      </c>
      <c r="AS114" s="1" t="s">
        <v>34</v>
      </c>
      <c r="AT114" s="4" t="str">
        <f t="shared" si="44"/>
        <v>Completed</v>
      </c>
      <c r="AU114" s="3" t="str">
        <f t="shared" si="45"/>
        <v>OK</v>
      </c>
      <c r="AV114" s="3" t="str">
        <f t="shared" si="51"/>
        <v>INVALID</v>
      </c>
      <c r="AW114" t="str">
        <f t="shared" si="52"/>
        <v>MISMATCH</v>
      </c>
      <c r="AX114" t="str">
        <f t="shared" si="53"/>
        <v>MISMATCH</v>
      </c>
    </row>
    <row r="115" spans="1:50" ht="15.6" hidden="1">
      <c r="A115" s="1" t="s">
        <v>917</v>
      </c>
      <c r="B115" s="1">
        <f t="shared" si="27"/>
        <v>1</v>
      </c>
      <c r="C115" s="16">
        <v>45547</v>
      </c>
      <c r="D115" s="16">
        <v>45547</v>
      </c>
      <c r="E115" s="16" t="str">
        <f t="shared" si="46"/>
        <v>Sep</v>
      </c>
      <c r="F115" s="1">
        <f t="shared" si="47"/>
        <v>2024</v>
      </c>
      <c r="G115" t="s">
        <v>589</v>
      </c>
      <c r="H115" s="17">
        <v>45628</v>
      </c>
      <c r="I115" s="21">
        <f t="shared" si="48"/>
        <v>81</v>
      </c>
      <c r="J115" s="6" t="str">
        <f t="shared" si="49"/>
        <v>OK</v>
      </c>
      <c r="K115" s="1" t="s">
        <v>919</v>
      </c>
      <c r="L115" s="1" t="s">
        <v>52</v>
      </c>
      <c r="M115" s="1" t="str">
        <f t="shared" si="28"/>
        <v>Isha Nair</v>
      </c>
      <c r="N115" s="1" t="s">
        <v>110</v>
      </c>
      <c r="O115" s="1" t="str">
        <f t="shared" si="29"/>
        <v>Home Office</v>
      </c>
      <c r="P115" s="1" t="s">
        <v>71</v>
      </c>
      <c r="Q115" s="1" t="str">
        <f t="shared" si="30"/>
        <v>West</v>
      </c>
      <c r="R115" s="1" t="str">
        <f t="shared" si="31"/>
        <v>OK</v>
      </c>
      <c r="S115" s="1" t="s">
        <v>218</v>
      </c>
      <c r="T115" s="1" t="str">
        <f t="shared" si="32"/>
        <v>Gujarat</v>
      </c>
      <c r="U115" s="1" t="s">
        <v>219</v>
      </c>
      <c r="V115" s="1" t="str">
        <f t="shared" si="33"/>
        <v>Ahmedabad</v>
      </c>
      <c r="W115" s="1" t="s">
        <v>44</v>
      </c>
      <c r="X115" s="1" t="str">
        <f t="shared" si="34"/>
        <v>Furniture</v>
      </c>
      <c r="Y115" s="1" t="s">
        <v>74</v>
      </c>
      <c r="Z115" s="1" t="str">
        <f t="shared" si="35"/>
        <v>Chairs</v>
      </c>
      <c r="AA115" s="1" t="s">
        <v>920</v>
      </c>
      <c r="AB115" s="1" t="s">
        <v>55</v>
      </c>
      <c r="AC115" s="1" t="str">
        <f t="shared" si="36"/>
        <v>First Class</v>
      </c>
      <c r="AD115" s="1" t="str">
        <f t="shared" si="37"/>
        <v>OK</v>
      </c>
      <c r="AE115" s="1">
        <v>4</v>
      </c>
      <c r="AF115" s="1">
        <v>2191.0300000000002</v>
      </c>
      <c r="AG115" s="9">
        <v>0</v>
      </c>
      <c r="AH115" s="9">
        <f t="shared" si="38"/>
        <v>0</v>
      </c>
      <c r="AI115" s="1" t="str">
        <f t="shared" si="39"/>
        <v>OK</v>
      </c>
      <c r="AJ115" s="1">
        <v>8764.1200000000008</v>
      </c>
      <c r="AK115" s="1">
        <v>7220.05</v>
      </c>
      <c r="AL115" s="1">
        <v>1544.07</v>
      </c>
      <c r="AM115" s="13">
        <f t="shared" si="40"/>
        <v>8764.1200000000008</v>
      </c>
      <c r="AN115" s="9">
        <f t="shared" si="41"/>
        <v>1544.0700000000006</v>
      </c>
      <c r="AO115" s="9">
        <f t="shared" si="50"/>
        <v>0.17618083732308554</v>
      </c>
      <c r="AP115" s="1" t="s">
        <v>33</v>
      </c>
      <c r="AQ115" s="1" t="str">
        <f t="shared" si="42"/>
        <v>Paid</v>
      </c>
      <c r="AR115" s="1" t="str">
        <f t="shared" si="43"/>
        <v>OK</v>
      </c>
      <c r="AS115" s="1" t="s">
        <v>34</v>
      </c>
      <c r="AT115" s="4" t="str">
        <f t="shared" si="44"/>
        <v>Completed</v>
      </c>
      <c r="AU115" s="3" t="str">
        <f t="shared" si="45"/>
        <v>OK</v>
      </c>
      <c r="AV115" s="3" t="str">
        <f t="shared" si="51"/>
        <v>CLEAN</v>
      </c>
      <c r="AW115" t="str">
        <f t="shared" si="52"/>
        <v>MATCH</v>
      </c>
      <c r="AX115" t="str">
        <f t="shared" si="53"/>
        <v>MATCH</v>
      </c>
    </row>
    <row r="116" spans="1:50" ht="15.6" hidden="1">
      <c r="A116" s="1" t="s">
        <v>921</v>
      </c>
      <c r="B116" s="1">
        <f t="shared" si="27"/>
        <v>1</v>
      </c>
      <c r="C116" s="16">
        <v>45466</v>
      </c>
      <c r="D116" s="16">
        <v>45466</v>
      </c>
      <c r="E116" s="16" t="str">
        <f t="shared" si="46"/>
        <v>Jun</v>
      </c>
      <c r="F116" s="1">
        <f t="shared" si="47"/>
        <v>2024</v>
      </c>
      <c r="G116" t="s">
        <v>592</v>
      </c>
      <c r="H116" s="17">
        <v>45565</v>
      </c>
      <c r="I116" s="21">
        <f t="shared" si="48"/>
        <v>99</v>
      </c>
      <c r="J116" s="6" t="str">
        <f t="shared" si="49"/>
        <v>OK</v>
      </c>
      <c r="K116" s="1" t="s">
        <v>923</v>
      </c>
      <c r="L116" s="1" t="s">
        <v>136</v>
      </c>
      <c r="M116" s="1" t="str">
        <f t="shared" si="28"/>
        <v>Priya Menon</v>
      </c>
      <c r="N116" s="1" t="s">
        <v>40</v>
      </c>
      <c r="O116" s="1" t="str">
        <f t="shared" si="29"/>
        <v>Small Business</v>
      </c>
      <c r="P116" s="1" t="s">
        <v>26</v>
      </c>
      <c r="Q116" s="1" t="str">
        <f t="shared" si="30"/>
        <v>North</v>
      </c>
      <c r="R116" s="1" t="str">
        <f t="shared" si="31"/>
        <v>OK</v>
      </c>
      <c r="S116" s="1" t="s">
        <v>146</v>
      </c>
      <c r="T116" s="1" t="str">
        <f t="shared" si="32"/>
        <v>Punjab</v>
      </c>
      <c r="U116" s="1" t="s">
        <v>147</v>
      </c>
      <c r="V116" s="1" t="str">
        <f t="shared" si="33"/>
        <v>Ludhiana</v>
      </c>
      <c r="W116" s="1" t="s">
        <v>83</v>
      </c>
      <c r="X116" s="1" t="str">
        <f t="shared" si="34"/>
        <v>Technology</v>
      </c>
      <c r="Y116" s="1" t="s">
        <v>91</v>
      </c>
      <c r="Z116" s="1" t="str">
        <f t="shared" si="35"/>
        <v>Copiers</v>
      </c>
      <c r="AA116" s="1" t="s">
        <v>924</v>
      </c>
      <c r="AB116" s="1" t="s">
        <v>47</v>
      </c>
      <c r="AC116" s="1" t="str">
        <f t="shared" si="36"/>
        <v>Same Day</v>
      </c>
      <c r="AD116" s="1" t="str">
        <f t="shared" si="37"/>
        <v>OK</v>
      </c>
      <c r="AE116" s="1">
        <v>6</v>
      </c>
      <c r="AF116" s="1">
        <v>1956.63</v>
      </c>
      <c r="AG116" s="9">
        <v>0.2</v>
      </c>
      <c r="AH116" s="9">
        <f t="shared" si="38"/>
        <v>0.2</v>
      </c>
      <c r="AI116" s="1" t="str">
        <f t="shared" si="39"/>
        <v>OK</v>
      </c>
      <c r="AJ116" s="1">
        <v>9391.82</v>
      </c>
      <c r="AK116" s="1">
        <v>6013.22</v>
      </c>
      <c r="AL116" s="1">
        <v>3378.6</v>
      </c>
      <c r="AM116" s="13">
        <f t="shared" si="40"/>
        <v>9391.8240000000005</v>
      </c>
      <c r="AN116" s="9">
        <f t="shared" si="41"/>
        <v>3378.6040000000003</v>
      </c>
      <c r="AO116" s="9">
        <f t="shared" si="50"/>
        <v>0.35973885370935399</v>
      </c>
      <c r="AP116" s="1" t="s">
        <v>119</v>
      </c>
      <c r="AQ116" s="1" t="str">
        <f t="shared" si="42"/>
        <v>Refunded</v>
      </c>
      <c r="AR116" s="1" t="str">
        <f t="shared" si="43"/>
        <v>REFUNDED_PAYMENT</v>
      </c>
      <c r="AS116" s="1" t="s">
        <v>120</v>
      </c>
      <c r="AT116" s="4" t="str">
        <f t="shared" si="44"/>
        <v>Returned</v>
      </c>
      <c r="AU116" s="3" t="str">
        <f t="shared" si="45"/>
        <v>RETURNED_ORDER</v>
      </c>
      <c r="AV116" s="3" t="str">
        <f t="shared" si="51"/>
        <v>CLEAN</v>
      </c>
      <c r="AW116" t="str">
        <f t="shared" si="52"/>
        <v>MATCH</v>
      </c>
      <c r="AX116" t="str">
        <f t="shared" si="53"/>
        <v>MATCH</v>
      </c>
    </row>
    <row r="117" spans="1:50" ht="15.6" hidden="1">
      <c r="A117" s="1" t="s">
        <v>934</v>
      </c>
      <c r="B117" s="1">
        <f t="shared" si="27"/>
        <v>1</v>
      </c>
      <c r="C117" s="16">
        <v>45313</v>
      </c>
      <c r="D117" s="16">
        <v>45313</v>
      </c>
      <c r="E117" s="16" t="str">
        <f t="shared" si="46"/>
        <v>Jan</v>
      </c>
      <c r="F117" s="1">
        <f t="shared" si="47"/>
        <v>2024</v>
      </c>
      <c r="G117" t="s">
        <v>596</v>
      </c>
      <c r="H117" s="17">
        <v>45658</v>
      </c>
      <c r="I117" s="21">
        <f t="shared" si="48"/>
        <v>345</v>
      </c>
      <c r="J117" s="6" t="str">
        <f t="shared" si="49"/>
        <v>OK</v>
      </c>
      <c r="K117" s="1" t="s">
        <v>937</v>
      </c>
      <c r="L117" s="1" t="s">
        <v>334</v>
      </c>
      <c r="M117" s="1" t="str">
        <f t="shared" si="28"/>
        <v>Kabir Singh</v>
      </c>
      <c r="N117" s="1" t="s">
        <v>110</v>
      </c>
      <c r="O117" s="1" t="str">
        <f t="shared" si="29"/>
        <v>Home Office</v>
      </c>
      <c r="P117" s="1" t="s">
        <v>26</v>
      </c>
      <c r="Q117" s="1" t="str">
        <f t="shared" si="30"/>
        <v>North</v>
      </c>
      <c r="R117" s="1" t="str">
        <f t="shared" si="31"/>
        <v>OK</v>
      </c>
      <c r="S117" s="1" t="s">
        <v>163</v>
      </c>
      <c r="T117" s="1" t="str">
        <f t="shared" si="32"/>
        <v>Uttar Pradesh</v>
      </c>
      <c r="U117" s="1" t="s">
        <v>164</v>
      </c>
      <c r="V117" s="1" t="str">
        <f t="shared" si="33"/>
        <v>Noida</v>
      </c>
      <c r="W117" s="1" t="s">
        <v>29</v>
      </c>
      <c r="X117" s="1" t="str">
        <f t="shared" si="34"/>
        <v>Office Supplies</v>
      </c>
      <c r="Y117" s="1" t="s">
        <v>148</v>
      </c>
      <c r="Z117" s="1" t="str">
        <f t="shared" si="35"/>
        <v>Storage</v>
      </c>
      <c r="AA117" s="1" t="s">
        <v>938</v>
      </c>
      <c r="AB117" s="1" t="s">
        <v>55</v>
      </c>
      <c r="AC117" s="1" t="str">
        <f t="shared" si="36"/>
        <v>First Class</v>
      </c>
      <c r="AD117" s="1" t="str">
        <f t="shared" si="37"/>
        <v>OK</v>
      </c>
      <c r="AE117" s="1">
        <v>3</v>
      </c>
      <c r="AF117" s="1">
        <v>1212.03</v>
      </c>
      <c r="AG117" s="9">
        <v>0.1</v>
      </c>
      <c r="AH117" s="9">
        <f t="shared" si="38"/>
        <v>0.1</v>
      </c>
      <c r="AI117" s="1" t="str">
        <f t="shared" si="39"/>
        <v>OK</v>
      </c>
      <c r="AJ117" s="1">
        <v>3272.48</v>
      </c>
      <c r="AK117" s="1">
        <v>2517.44</v>
      </c>
      <c r="AL117" s="1">
        <v>755.04</v>
      </c>
      <c r="AM117" s="13">
        <f t="shared" si="40"/>
        <v>3272.4810000000002</v>
      </c>
      <c r="AN117" s="9">
        <f t="shared" si="41"/>
        <v>755.04100000000017</v>
      </c>
      <c r="AO117" s="9">
        <f t="shared" si="50"/>
        <v>0.23072433422837293</v>
      </c>
      <c r="AP117" s="1" t="s">
        <v>33</v>
      </c>
      <c r="AQ117" s="1" t="str">
        <f t="shared" si="42"/>
        <v>Paid</v>
      </c>
      <c r="AR117" s="1" t="str">
        <f t="shared" si="43"/>
        <v>OK</v>
      </c>
      <c r="AS117" s="1" t="s">
        <v>34</v>
      </c>
      <c r="AT117" s="4" t="str">
        <f t="shared" si="44"/>
        <v>Completed</v>
      </c>
      <c r="AU117" s="3" t="str">
        <f t="shared" si="45"/>
        <v>OK</v>
      </c>
      <c r="AV117" s="3" t="str">
        <f t="shared" si="51"/>
        <v>CLEAN</v>
      </c>
      <c r="AW117" t="str">
        <f t="shared" si="52"/>
        <v>MATCH</v>
      </c>
      <c r="AX117" t="str">
        <f t="shared" si="53"/>
        <v>MATCH</v>
      </c>
    </row>
    <row r="118" spans="1:50" ht="15.6" hidden="1">
      <c r="A118" s="1" t="s">
        <v>942</v>
      </c>
      <c r="B118" s="1">
        <f t="shared" si="27"/>
        <v>1</v>
      </c>
      <c r="C118" s="16">
        <v>45448</v>
      </c>
      <c r="D118" s="16">
        <v>45448</v>
      </c>
      <c r="E118" s="16" t="str">
        <f t="shared" si="46"/>
        <v>Jun</v>
      </c>
      <c r="F118" s="1">
        <f t="shared" si="47"/>
        <v>2024</v>
      </c>
      <c r="G118" t="s">
        <v>600</v>
      </c>
      <c r="H118" s="17">
        <v>45707</v>
      </c>
      <c r="I118" s="21">
        <f t="shared" si="48"/>
        <v>259</v>
      </c>
      <c r="J118" s="6" t="str">
        <f t="shared" si="49"/>
        <v>OK</v>
      </c>
      <c r="K118" s="1" t="s">
        <v>944</v>
      </c>
      <c r="L118" s="1" t="s">
        <v>158</v>
      </c>
      <c r="M118" s="1" t="str">
        <f t="shared" si="28"/>
        <v>Sneha Kapoor</v>
      </c>
      <c r="N118" s="1" t="s">
        <v>25</v>
      </c>
      <c r="O118" s="1" t="str">
        <f t="shared" si="29"/>
        <v>Consumer</v>
      </c>
      <c r="P118" s="1" t="s">
        <v>71</v>
      </c>
      <c r="Q118" s="1" t="str">
        <f t="shared" si="30"/>
        <v>West</v>
      </c>
      <c r="R118" s="1" t="str">
        <f t="shared" si="31"/>
        <v>OK</v>
      </c>
      <c r="S118" s="1" t="s">
        <v>218</v>
      </c>
      <c r="T118" s="1" t="str">
        <f t="shared" si="32"/>
        <v>Gujarat</v>
      </c>
      <c r="U118" s="1" t="s">
        <v>219</v>
      </c>
      <c r="V118" s="1" t="str">
        <f t="shared" si="33"/>
        <v>Ahmedabad</v>
      </c>
      <c r="W118" s="1" t="s">
        <v>29</v>
      </c>
      <c r="X118" s="1" t="str">
        <f t="shared" si="34"/>
        <v>Office Supplies</v>
      </c>
      <c r="Y118" s="1" t="s">
        <v>53</v>
      </c>
      <c r="Z118" s="1" t="str">
        <f t="shared" si="35"/>
        <v>Art</v>
      </c>
      <c r="AA118" s="1" t="s">
        <v>945</v>
      </c>
      <c r="AB118" s="1" t="s">
        <v>32</v>
      </c>
      <c r="AC118" s="1" t="str">
        <f t="shared" si="36"/>
        <v>Second Class</v>
      </c>
      <c r="AD118" s="1" t="str">
        <f t="shared" si="37"/>
        <v>OK</v>
      </c>
      <c r="AE118" s="1">
        <v>1</v>
      </c>
      <c r="AF118" s="1">
        <v>1184.58</v>
      </c>
      <c r="AG118" s="9">
        <v>0.05</v>
      </c>
      <c r="AH118" s="9">
        <f t="shared" si="38"/>
        <v>0.05</v>
      </c>
      <c r="AI118" s="1" t="str">
        <f t="shared" si="39"/>
        <v>OK</v>
      </c>
      <c r="AJ118" s="1">
        <v>1125.3499999999999</v>
      </c>
      <c r="AK118" s="1">
        <v>676.97</v>
      </c>
      <c r="AL118" s="1">
        <v>448.38</v>
      </c>
      <c r="AM118" s="13">
        <f t="shared" si="40"/>
        <v>1125.3509999999999</v>
      </c>
      <c r="AN118" s="9">
        <f t="shared" si="41"/>
        <v>448.38099999999986</v>
      </c>
      <c r="AO118" s="9">
        <f t="shared" si="50"/>
        <v>0.39843657667696558</v>
      </c>
      <c r="AP118" s="1" t="s">
        <v>186</v>
      </c>
      <c r="AQ118" s="1" t="str">
        <f t="shared" si="42"/>
        <v>Failed</v>
      </c>
      <c r="AR118" s="1" t="str">
        <f t="shared" si="43"/>
        <v>EXCLUDE_FROM_SALES</v>
      </c>
      <c r="AS118" s="1" t="s">
        <v>76</v>
      </c>
      <c r="AT118" s="4" t="str">
        <f t="shared" si="44"/>
        <v>Cancelled</v>
      </c>
      <c r="AU118" s="3" t="str">
        <f t="shared" si="45"/>
        <v>EXCLUDE_FROM_SALES</v>
      </c>
      <c r="AV118" s="3" t="str">
        <f t="shared" si="51"/>
        <v>CLEAN</v>
      </c>
      <c r="AW118" t="str">
        <f t="shared" si="52"/>
        <v>MATCH</v>
      </c>
      <c r="AX118" t="str">
        <f t="shared" si="53"/>
        <v>MATCH</v>
      </c>
    </row>
    <row r="119" spans="1:50" ht="15.6">
      <c r="A119" s="1" t="s">
        <v>946</v>
      </c>
      <c r="B119" s="1">
        <f t="shared" si="27"/>
        <v>1</v>
      </c>
      <c r="C119" s="16">
        <v>45629</v>
      </c>
      <c r="D119" s="16">
        <v>45629</v>
      </c>
      <c r="E119" s="16" t="str">
        <f t="shared" si="46"/>
        <v>Dec</v>
      </c>
      <c r="F119" s="1">
        <f t="shared" si="47"/>
        <v>2024</v>
      </c>
      <c r="G119" t="s">
        <v>604</v>
      </c>
      <c r="H119" s="17">
        <v>45339</v>
      </c>
      <c r="I119" s="21">
        <f t="shared" si="48"/>
        <v>-290</v>
      </c>
      <c r="J119" s="6" t="str">
        <f t="shared" si="49"/>
        <v>INVALID_SHIPPING</v>
      </c>
      <c r="K119" s="1" t="s">
        <v>948</v>
      </c>
      <c r="L119" s="1" t="s">
        <v>141</v>
      </c>
      <c r="M119" s="1" t="str">
        <f t="shared" si="28"/>
        <v>Rahul Verma</v>
      </c>
      <c r="N119" s="1" t="s">
        <v>110</v>
      </c>
      <c r="O119" s="1" t="str">
        <f t="shared" si="29"/>
        <v>Home Office</v>
      </c>
      <c r="P119" s="1" t="s">
        <v>41</v>
      </c>
      <c r="Q119" s="1" t="str">
        <f t="shared" si="30"/>
        <v>East</v>
      </c>
      <c r="R119" s="1" t="str">
        <f t="shared" si="31"/>
        <v>OK</v>
      </c>
      <c r="S119" s="1" t="s">
        <v>174</v>
      </c>
      <c r="T119" s="1" t="str">
        <f t="shared" si="32"/>
        <v>Bihar</v>
      </c>
      <c r="U119" s="1" t="s">
        <v>175</v>
      </c>
      <c r="V119" s="1" t="str">
        <f t="shared" si="33"/>
        <v>Patna</v>
      </c>
      <c r="W119" s="1" t="s">
        <v>83</v>
      </c>
      <c r="X119" s="1" t="str">
        <f t="shared" si="34"/>
        <v>Technology</v>
      </c>
      <c r="Y119" s="1" t="s">
        <v>347</v>
      </c>
      <c r="Z119" s="1" t="str">
        <f t="shared" si="35"/>
        <v>Machines</v>
      </c>
      <c r="AA119" s="1" t="s">
        <v>949</v>
      </c>
      <c r="AB119" s="1"/>
      <c r="AC119" s="1" t="str">
        <f t="shared" si="36"/>
        <v>Unknown</v>
      </c>
      <c r="AD119" s="1" t="str">
        <f t="shared" si="37"/>
        <v>MISSING_SHIP_MODE</v>
      </c>
      <c r="AE119" s="1">
        <v>6</v>
      </c>
      <c r="AF119" s="1">
        <v>2185.58</v>
      </c>
      <c r="AG119" s="9">
        <v>0.25</v>
      </c>
      <c r="AH119" s="9">
        <f t="shared" si="38"/>
        <v>0.25</v>
      </c>
      <c r="AI119" s="1" t="str">
        <f t="shared" si="39"/>
        <v>OK</v>
      </c>
      <c r="AJ119" s="1">
        <v>9835.11</v>
      </c>
      <c r="AK119" s="1">
        <v>5437.64</v>
      </c>
      <c r="AL119" s="1">
        <v>4397.47</v>
      </c>
      <c r="AM119" s="13">
        <f t="shared" si="40"/>
        <v>9835.11</v>
      </c>
      <c r="AN119" s="9">
        <f t="shared" si="41"/>
        <v>4397.47</v>
      </c>
      <c r="AO119" s="9">
        <f t="shared" si="50"/>
        <v>0.44711955433136996</v>
      </c>
      <c r="AP119" s="1" t="s">
        <v>33</v>
      </c>
      <c r="AQ119" s="1" t="str">
        <f t="shared" si="42"/>
        <v>Paid</v>
      </c>
      <c r="AR119" s="1" t="str">
        <f t="shared" si="43"/>
        <v>OK</v>
      </c>
      <c r="AS119" s="1" t="s">
        <v>34</v>
      </c>
      <c r="AT119" s="4" t="str">
        <f t="shared" si="44"/>
        <v>Completed</v>
      </c>
      <c r="AU119" s="3" t="str">
        <f t="shared" si="45"/>
        <v>OK</v>
      </c>
      <c r="AV119" s="3" t="str">
        <f t="shared" si="51"/>
        <v>INVALID</v>
      </c>
      <c r="AW119" t="str">
        <f t="shared" si="52"/>
        <v>MATCH</v>
      </c>
      <c r="AX119" t="str">
        <f t="shared" si="53"/>
        <v>MATCH</v>
      </c>
    </row>
    <row r="120" spans="1:50" ht="15.6" hidden="1">
      <c r="A120" s="1" t="s">
        <v>962</v>
      </c>
      <c r="B120" s="1">
        <f t="shared" si="27"/>
        <v>1</v>
      </c>
      <c r="C120" s="16">
        <v>45379</v>
      </c>
      <c r="D120" s="16">
        <v>45379</v>
      </c>
      <c r="E120" s="16" t="str">
        <f t="shared" si="46"/>
        <v>Mar</v>
      </c>
      <c r="F120" s="1">
        <f t="shared" si="47"/>
        <v>2024</v>
      </c>
      <c r="G120" t="s">
        <v>609</v>
      </c>
      <c r="H120" s="17">
        <v>45461</v>
      </c>
      <c r="I120" s="21">
        <f t="shared" si="48"/>
        <v>82</v>
      </c>
      <c r="J120" s="6" t="str">
        <f t="shared" si="49"/>
        <v>OK</v>
      </c>
      <c r="K120" s="1" t="s">
        <v>964</v>
      </c>
      <c r="L120" s="1" t="s">
        <v>158</v>
      </c>
      <c r="M120" s="1" t="str">
        <f t="shared" si="28"/>
        <v>Sneha Kapoor</v>
      </c>
      <c r="N120" s="1" t="s">
        <v>104</v>
      </c>
      <c r="O120" s="1" t="str">
        <f t="shared" si="29"/>
        <v>Corporate</v>
      </c>
      <c r="P120" s="1" t="s">
        <v>71</v>
      </c>
      <c r="Q120" s="1" t="str">
        <f t="shared" si="30"/>
        <v>West</v>
      </c>
      <c r="R120" s="1" t="str">
        <f t="shared" si="31"/>
        <v>OK</v>
      </c>
      <c r="S120" s="1" t="s">
        <v>27</v>
      </c>
      <c r="T120" s="1" t="str">
        <f t="shared" si="32"/>
        <v>Rajasthan</v>
      </c>
      <c r="U120" s="1" t="s">
        <v>129</v>
      </c>
      <c r="V120" s="1" t="str">
        <f t="shared" si="33"/>
        <v>Udaipur</v>
      </c>
      <c r="W120" s="1" t="s">
        <v>83</v>
      </c>
      <c r="X120" s="1" t="str">
        <f t="shared" si="34"/>
        <v>Technology</v>
      </c>
      <c r="Y120" s="1" t="s">
        <v>84</v>
      </c>
      <c r="Z120" s="1" t="str">
        <f t="shared" si="35"/>
        <v>Accessories</v>
      </c>
      <c r="AA120" s="1" t="s">
        <v>965</v>
      </c>
      <c r="AB120" s="1" t="s">
        <v>32</v>
      </c>
      <c r="AC120" s="1" t="str">
        <f t="shared" si="36"/>
        <v>Second Class</v>
      </c>
      <c r="AD120" s="1" t="str">
        <f t="shared" si="37"/>
        <v>OK</v>
      </c>
      <c r="AE120" s="1">
        <v>1</v>
      </c>
      <c r="AF120" s="1">
        <v>570.34</v>
      </c>
      <c r="AG120" s="9">
        <v>0.15</v>
      </c>
      <c r="AH120" s="9">
        <f t="shared" si="38"/>
        <v>0.15</v>
      </c>
      <c r="AI120" s="1" t="str">
        <f t="shared" si="39"/>
        <v>OK</v>
      </c>
      <c r="AJ120" s="1">
        <v>484.79</v>
      </c>
      <c r="AK120" s="1">
        <v>333.54</v>
      </c>
      <c r="AL120" s="1">
        <v>151.25</v>
      </c>
      <c r="AM120" s="13">
        <f t="shared" si="40"/>
        <v>484.78899999999999</v>
      </c>
      <c r="AN120" s="9">
        <f t="shared" si="41"/>
        <v>151.24899999999997</v>
      </c>
      <c r="AO120" s="9">
        <f t="shared" si="50"/>
        <v>0.3119893396921134</v>
      </c>
      <c r="AP120" s="1" t="s">
        <v>33</v>
      </c>
      <c r="AQ120" s="1" t="str">
        <f t="shared" si="42"/>
        <v>Paid</v>
      </c>
      <c r="AR120" s="1" t="str">
        <f t="shared" si="43"/>
        <v>OK</v>
      </c>
      <c r="AS120" s="1" t="s">
        <v>34</v>
      </c>
      <c r="AT120" s="4" t="str">
        <f t="shared" si="44"/>
        <v>Completed</v>
      </c>
      <c r="AU120" s="3" t="str">
        <f t="shared" si="45"/>
        <v>OK</v>
      </c>
      <c r="AV120" s="3" t="str">
        <f t="shared" si="51"/>
        <v>CLEAN</v>
      </c>
      <c r="AW120" t="str">
        <f t="shared" si="52"/>
        <v>MATCH</v>
      </c>
      <c r="AX120" t="str">
        <f t="shared" si="53"/>
        <v>MATCH</v>
      </c>
    </row>
    <row r="121" spans="1:50" ht="15.6">
      <c r="A121" s="1" t="s">
        <v>977</v>
      </c>
      <c r="B121" s="1">
        <f t="shared" si="27"/>
        <v>1</v>
      </c>
      <c r="C121" s="16">
        <v>45572</v>
      </c>
      <c r="D121" s="16">
        <v>45572</v>
      </c>
      <c r="E121" s="16" t="str">
        <f t="shared" si="46"/>
        <v>Oct</v>
      </c>
      <c r="F121" s="1">
        <f t="shared" si="47"/>
        <v>2024</v>
      </c>
      <c r="G121" t="s">
        <v>614</v>
      </c>
      <c r="H121" s="17">
        <v>45462</v>
      </c>
      <c r="I121" s="21">
        <f t="shared" si="48"/>
        <v>-110</v>
      </c>
      <c r="J121" s="6" t="str">
        <f t="shared" si="49"/>
        <v>INVALID_SHIPPING</v>
      </c>
      <c r="K121" s="1" t="s">
        <v>979</v>
      </c>
      <c r="L121" s="1" t="s">
        <v>153</v>
      </c>
      <c r="M121" s="1" t="str">
        <f t="shared" si="28"/>
        <v>Aarav Sharma</v>
      </c>
      <c r="N121" s="1" t="s">
        <v>110</v>
      </c>
      <c r="O121" s="1" t="str">
        <f t="shared" si="29"/>
        <v>Home Office</v>
      </c>
      <c r="P121" s="1" t="s">
        <v>71</v>
      </c>
      <c r="Q121" s="1" t="str">
        <f t="shared" si="30"/>
        <v>West</v>
      </c>
      <c r="R121" s="1" t="str">
        <f t="shared" si="31"/>
        <v>OK</v>
      </c>
      <c r="S121" s="1" t="s">
        <v>230</v>
      </c>
      <c r="T121" s="1" t="str">
        <f t="shared" si="32"/>
        <v>Goa</v>
      </c>
      <c r="U121" s="1" t="s">
        <v>231</v>
      </c>
      <c r="V121" s="1" t="str">
        <f t="shared" si="33"/>
        <v>Panaji</v>
      </c>
      <c r="W121" s="1" t="s">
        <v>44</v>
      </c>
      <c r="X121" s="1" t="str">
        <f t="shared" si="34"/>
        <v>Furniture</v>
      </c>
      <c r="Y121" s="1" t="s">
        <v>190</v>
      </c>
      <c r="Z121" s="1" t="str">
        <f t="shared" si="35"/>
        <v>Bookcases</v>
      </c>
      <c r="AA121" s="1" t="s">
        <v>980</v>
      </c>
      <c r="AB121" s="1" t="s">
        <v>32</v>
      </c>
      <c r="AC121" s="1" t="str">
        <f t="shared" si="36"/>
        <v>Second Class</v>
      </c>
      <c r="AD121" s="1" t="str">
        <f t="shared" si="37"/>
        <v>OK</v>
      </c>
      <c r="AE121" s="1">
        <v>2</v>
      </c>
      <c r="AF121" s="1">
        <v>1095.45</v>
      </c>
      <c r="AG121" s="9">
        <v>0.2</v>
      </c>
      <c r="AH121" s="9">
        <f t="shared" si="38"/>
        <v>0.2</v>
      </c>
      <c r="AI121" s="1" t="str">
        <f t="shared" si="39"/>
        <v>OK</v>
      </c>
      <c r="AJ121" s="1">
        <v>1752.72</v>
      </c>
      <c r="AK121" s="1">
        <v>996.41</v>
      </c>
      <c r="AL121" s="1">
        <v>756.31</v>
      </c>
      <c r="AM121" s="13">
        <f t="shared" si="40"/>
        <v>1752.7200000000003</v>
      </c>
      <c r="AN121" s="9">
        <f t="shared" si="41"/>
        <v>756.31000000000029</v>
      </c>
      <c r="AO121" s="9">
        <f t="shared" si="50"/>
        <v>0.43150645853302305</v>
      </c>
      <c r="AP121" s="1" t="s">
        <v>33</v>
      </c>
      <c r="AQ121" s="1" t="str">
        <f t="shared" si="42"/>
        <v>Paid</v>
      </c>
      <c r="AR121" s="1" t="str">
        <f t="shared" si="43"/>
        <v>OK</v>
      </c>
      <c r="AS121" s="1" t="s">
        <v>34</v>
      </c>
      <c r="AT121" s="4" t="str">
        <f t="shared" si="44"/>
        <v>Completed</v>
      </c>
      <c r="AU121" s="3" t="str">
        <f t="shared" si="45"/>
        <v>OK</v>
      </c>
      <c r="AV121" s="3" t="str">
        <f t="shared" si="51"/>
        <v>INVALID</v>
      </c>
      <c r="AW121" t="str">
        <f t="shared" si="52"/>
        <v>MATCH</v>
      </c>
      <c r="AX121" t="str">
        <f t="shared" si="53"/>
        <v>MATCH</v>
      </c>
    </row>
    <row r="122" spans="1:50" ht="15.6" hidden="1">
      <c r="A122" s="1" t="s">
        <v>990</v>
      </c>
      <c r="B122" s="1">
        <f t="shared" si="27"/>
        <v>1</v>
      </c>
      <c r="C122" s="16">
        <v>45366</v>
      </c>
      <c r="D122" s="16">
        <v>45366</v>
      </c>
      <c r="E122" s="16" t="str">
        <f t="shared" si="46"/>
        <v>Mar</v>
      </c>
      <c r="F122" s="1">
        <f t="shared" si="47"/>
        <v>2024</v>
      </c>
      <c r="G122" t="s">
        <v>618</v>
      </c>
      <c r="H122" s="17">
        <v>45522</v>
      </c>
      <c r="I122" s="21">
        <f t="shared" si="48"/>
        <v>156</v>
      </c>
      <c r="J122" s="6" t="str">
        <f t="shared" si="49"/>
        <v>OK</v>
      </c>
      <c r="K122" s="1" t="s">
        <v>993</v>
      </c>
      <c r="L122" s="1" t="s">
        <v>334</v>
      </c>
      <c r="M122" s="1" t="str">
        <f t="shared" si="28"/>
        <v>Kabir Singh</v>
      </c>
      <c r="N122" s="1" t="s">
        <v>110</v>
      </c>
      <c r="O122" s="1" t="str">
        <f t="shared" si="29"/>
        <v>Home Office</v>
      </c>
      <c r="P122" s="1" t="s">
        <v>60</v>
      </c>
      <c r="Q122" s="1" t="str">
        <f t="shared" si="30"/>
        <v>South</v>
      </c>
      <c r="R122" s="1" t="str">
        <f t="shared" si="31"/>
        <v>OK</v>
      </c>
      <c r="S122" s="1" t="s">
        <v>212</v>
      </c>
      <c r="T122" s="1" t="str">
        <f t="shared" si="32"/>
        <v>Karnataka</v>
      </c>
      <c r="U122" s="1" t="s">
        <v>213</v>
      </c>
      <c r="V122" s="1" t="str">
        <f t="shared" si="33"/>
        <v>Bengaluru</v>
      </c>
      <c r="W122" s="1" t="s">
        <v>83</v>
      </c>
      <c r="X122" s="1" t="str">
        <f t="shared" si="34"/>
        <v>Technology</v>
      </c>
      <c r="Y122" s="1" t="s">
        <v>347</v>
      </c>
      <c r="Z122" s="1" t="str">
        <f t="shared" si="35"/>
        <v>Machines</v>
      </c>
      <c r="AA122" s="1" t="s">
        <v>994</v>
      </c>
      <c r="AB122" s="1" t="s">
        <v>32</v>
      </c>
      <c r="AC122" s="1" t="str">
        <f t="shared" si="36"/>
        <v>Second Class</v>
      </c>
      <c r="AD122" s="1" t="str">
        <f t="shared" si="37"/>
        <v>OK</v>
      </c>
      <c r="AE122" s="1">
        <v>1</v>
      </c>
      <c r="AF122" s="1">
        <v>4131.3599999999997</v>
      </c>
      <c r="AG122" s="9">
        <v>0</v>
      </c>
      <c r="AH122" s="9">
        <f t="shared" si="38"/>
        <v>0</v>
      </c>
      <c r="AI122" s="1" t="str">
        <f t="shared" si="39"/>
        <v>OK</v>
      </c>
      <c r="AJ122" s="1">
        <v>4131.3599999999997</v>
      </c>
      <c r="AK122" s="1">
        <v>2937.07</v>
      </c>
      <c r="AL122" s="1">
        <v>1194.29</v>
      </c>
      <c r="AM122" s="13">
        <f t="shared" si="40"/>
        <v>4131.3599999999997</v>
      </c>
      <c r="AN122" s="9">
        <f t="shared" si="41"/>
        <v>1194.2899999999995</v>
      </c>
      <c r="AO122" s="9">
        <f t="shared" si="50"/>
        <v>0.28907914100925591</v>
      </c>
      <c r="AP122" s="1" t="s">
        <v>186</v>
      </c>
      <c r="AQ122" s="1" t="str">
        <f t="shared" si="42"/>
        <v>Failed</v>
      </c>
      <c r="AR122" s="1" t="str">
        <f t="shared" si="43"/>
        <v>EXCLUDE_FROM_SALES</v>
      </c>
      <c r="AS122" s="1" t="s">
        <v>120</v>
      </c>
      <c r="AT122" s="4" t="str">
        <f t="shared" si="44"/>
        <v>Returned</v>
      </c>
      <c r="AU122" s="3" t="str">
        <f t="shared" si="45"/>
        <v>RETURNED_ORDER</v>
      </c>
      <c r="AV122" s="3" t="str">
        <f t="shared" si="51"/>
        <v>CLEAN</v>
      </c>
      <c r="AW122" t="str">
        <f t="shared" si="52"/>
        <v>MATCH</v>
      </c>
      <c r="AX122" t="str">
        <f t="shared" si="53"/>
        <v>MATCH</v>
      </c>
    </row>
    <row r="123" spans="1:50" ht="15.6" hidden="1">
      <c r="A123" s="1" t="s">
        <v>995</v>
      </c>
      <c r="B123" s="1">
        <f t="shared" si="27"/>
        <v>1</v>
      </c>
      <c r="C123" s="16">
        <v>45428</v>
      </c>
      <c r="D123" s="16">
        <v>45428</v>
      </c>
      <c r="E123" s="16" t="str">
        <f t="shared" si="46"/>
        <v>May</v>
      </c>
      <c r="F123" s="1">
        <f t="shared" si="47"/>
        <v>2024</v>
      </c>
      <c r="G123" t="s">
        <v>623</v>
      </c>
      <c r="H123" s="17">
        <v>45895</v>
      </c>
      <c r="I123" s="21">
        <f t="shared" si="48"/>
        <v>467</v>
      </c>
      <c r="J123" s="6" t="str">
        <f t="shared" si="49"/>
        <v>OK</v>
      </c>
      <c r="K123" s="1" t="s">
        <v>997</v>
      </c>
      <c r="L123" s="1" t="s">
        <v>169</v>
      </c>
      <c r="M123" s="1" t="str">
        <f t="shared" si="28"/>
        <v>Rohan Mehta</v>
      </c>
      <c r="N123" s="1" t="s">
        <v>104</v>
      </c>
      <c r="O123" s="1" t="str">
        <f t="shared" si="29"/>
        <v>Corporate</v>
      </c>
      <c r="P123" s="1" t="s">
        <v>998</v>
      </c>
      <c r="Q123" s="1" t="str">
        <f t="shared" si="30"/>
        <v>East</v>
      </c>
      <c r="R123" s="1" t="str">
        <f t="shared" si="31"/>
        <v>OK</v>
      </c>
      <c r="S123" s="1" t="s">
        <v>116</v>
      </c>
      <c r="T123" s="1" t="str">
        <f t="shared" si="32"/>
        <v>West Bengal</v>
      </c>
      <c r="U123" s="1" t="s">
        <v>117</v>
      </c>
      <c r="V123" s="1" t="str">
        <f t="shared" si="33"/>
        <v>Kolkata</v>
      </c>
      <c r="W123" s="1" t="s">
        <v>83</v>
      </c>
      <c r="X123" s="1" t="str">
        <f t="shared" si="34"/>
        <v>Technology</v>
      </c>
      <c r="Y123" s="1" t="s">
        <v>91</v>
      </c>
      <c r="Z123" s="1" t="str">
        <f t="shared" si="35"/>
        <v>Copiers</v>
      </c>
      <c r="AA123" s="1" t="s">
        <v>999</v>
      </c>
      <c r="AB123" s="1" t="s">
        <v>32</v>
      </c>
      <c r="AC123" s="1" t="str">
        <f t="shared" si="36"/>
        <v>Second Class</v>
      </c>
      <c r="AD123" s="1" t="str">
        <f t="shared" si="37"/>
        <v>OK</v>
      </c>
      <c r="AE123" s="1">
        <v>8</v>
      </c>
      <c r="AF123" s="1">
        <v>4221.95</v>
      </c>
      <c r="AG123" s="9">
        <v>0.2</v>
      </c>
      <c r="AH123" s="9">
        <f t="shared" si="38"/>
        <v>0.2</v>
      </c>
      <c r="AI123" s="1" t="str">
        <f t="shared" si="39"/>
        <v>OK</v>
      </c>
      <c r="AJ123" s="1">
        <v>27020.48</v>
      </c>
      <c r="AK123" s="1">
        <v>22885.24</v>
      </c>
      <c r="AL123" s="1">
        <v>4135.24</v>
      </c>
      <c r="AM123" s="13">
        <f t="shared" si="40"/>
        <v>27020.48</v>
      </c>
      <c r="AN123" s="9">
        <f t="shared" si="41"/>
        <v>4135.239999999998</v>
      </c>
      <c r="AO123" s="9">
        <f t="shared" si="50"/>
        <v>0.15304095264036752</v>
      </c>
      <c r="AP123" s="1" t="s">
        <v>33</v>
      </c>
      <c r="AQ123" s="1" t="str">
        <f t="shared" si="42"/>
        <v>Paid</v>
      </c>
      <c r="AR123" s="1" t="str">
        <f t="shared" si="43"/>
        <v>OK</v>
      </c>
      <c r="AS123" s="1" t="s">
        <v>34</v>
      </c>
      <c r="AT123" s="4" t="str">
        <f t="shared" si="44"/>
        <v>Completed</v>
      </c>
      <c r="AU123" s="3" t="str">
        <f t="shared" si="45"/>
        <v>OK</v>
      </c>
      <c r="AV123" s="3" t="str">
        <f t="shared" si="51"/>
        <v>CLEAN</v>
      </c>
      <c r="AW123" t="str">
        <f t="shared" si="52"/>
        <v>MATCH</v>
      </c>
      <c r="AX123" t="str">
        <f t="shared" si="53"/>
        <v>MATCH</v>
      </c>
    </row>
    <row r="124" spans="1:50" ht="15.6">
      <c r="A124" s="1" t="s">
        <v>1000</v>
      </c>
      <c r="B124" s="1">
        <f t="shared" si="27"/>
        <v>1</v>
      </c>
      <c r="C124" s="16">
        <v>45556</v>
      </c>
      <c r="D124" s="16">
        <v>45556</v>
      </c>
      <c r="E124" s="16" t="str">
        <f t="shared" si="46"/>
        <v>Sep</v>
      </c>
      <c r="F124" s="1">
        <f t="shared" si="47"/>
        <v>2024</v>
      </c>
      <c r="G124" t="s">
        <v>628</v>
      </c>
      <c r="H124" s="17">
        <v>45394</v>
      </c>
      <c r="I124" s="21">
        <f t="shared" si="48"/>
        <v>-162</v>
      </c>
      <c r="J124" s="6" t="str">
        <f t="shared" si="49"/>
        <v>INVALID_SHIPPING</v>
      </c>
      <c r="K124" s="1" t="s">
        <v>1003</v>
      </c>
      <c r="L124" s="1" t="s">
        <v>70</v>
      </c>
      <c r="M124" s="1" t="str">
        <f t="shared" si="28"/>
        <v>Ananya Rao</v>
      </c>
      <c r="N124" s="1" t="s">
        <v>40</v>
      </c>
      <c r="O124" s="1" t="str">
        <f t="shared" si="29"/>
        <v>Small Business</v>
      </c>
      <c r="P124" s="1" t="s">
        <v>41</v>
      </c>
      <c r="Q124" s="1" t="str">
        <f t="shared" si="30"/>
        <v>East</v>
      </c>
      <c r="R124" s="1" t="str">
        <f t="shared" si="31"/>
        <v>OK</v>
      </c>
      <c r="S124" s="1" t="s">
        <v>42</v>
      </c>
      <c r="T124" s="1" t="str">
        <f t="shared" si="32"/>
        <v>Odisha</v>
      </c>
      <c r="U124" s="1" t="s">
        <v>43</v>
      </c>
      <c r="V124" s="1" t="str">
        <f t="shared" si="33"/>
        <v>Bhubaneswar</v>
      </c>
      <c r="W124" s="1" t="s">
        <v>83</v>
      </c>
      <c r="X124" s="1" t="str">
        <f t="shared" si="34"/>
        <v>Technology</v>
      </c>
      <c r="Y124" s="1" t="s">
        <v>207</v>
      </c>
      <c r="Z124" s="1" t="str">
        <f t="shared" si="35"/>
        <v>Phones</v>
      </c>
      <c r="AA124" s="1" t="s">
        <v>1004</v>
      </c>
      <c r="AB124" s="1" t="s">
        <v>47</v>
      </c>
      <c r="AC124" s="1" t="str">
        <f t="shared" si="36"/>
        <v>Same Day</v>
      </c>
      <c r="AD124" s="1" t="str">
        <f t="shared" si="37"/>
        <v>OK</v>
      </c>
      <c r="AE124" s="1">
        <v>2</v>
      </c>
      <c r="AF124" s="1">
        <v>214.5</v>
      </c>
      <c r="AG124" s="9">
        <v>0.15</v>
      </c>
      <c r="AH124" s="9">
        <f t="shared" si="38"/>
        <v>0.15</v>
      </c>
      <c r="AI124" s="1" t="str">
        <f t="shared" si="39"/>
        <v>OK</v>
      </c>
      <c r="AJ124" s="1">
        <v>364.65</v>
      </c>
      <c r="AK124" s="1">
        <v>280.74</v>
      </c>
      <c r="AL124" s="1">
        <v>83.91</v>
      </c>
      <c r="AM124" s="13">
        <f t="shared" si="40"/>
        <v>364.65</v>
      </c>
      <c r="AN124" s="9">
        <f t="shared" si="41"/>
        <v>83.909999999999968</v>
      </c>
      <c r="AO124" s="9">
        <f t="shared" si="50"/>
        <v>0.23011106540518297</v>
      </c>
      <c r="AP124" s="1" t="s">
        <v>33</v>
      </c>
      <c r="AQ124" s="1" t="str">
        <f t="shared" si="42"/>
        <v>Paid</v>
      </c>
      <c r="AR124" s="1" t="str">
        <f t="shared" si="43"/>
        <v>OK</v>
      </c>
      <c r="AS124" s="1" t="s">
        <v>34</v>
      </c>
      <c r="AT124" s="4" t="str">
        <f t="shared" si="44"/>
        <v>Completed</v>
      </c>
      <c r="AU124" s="3" t="str">
        <f t="shared" si="45"/>
        <v>OK</v>
      </c>
      <c r="AV124" s="3" t="str">
        <f t="shared" si="51"/>
        <v>INVALID</v>
      </c>
      <c r="AW124" t="str">
        <f t="shared" si="52"/>
        <v>MATCH</v>
      </c>
      <c r="AX124" t="str">
        <f t="shared" si="53"/>
        <v>MATCH</v>
      </c>
    </row>
    <row r="125" spans="1:50" ht="15.6" hidden="1">
      <c r="A125" s="1" t="s">
        <v>1005</v>
      </c>
      <c r="B125" s="1">
        <f t="shared" si="27"/>
        <v>1</v>
      </c>
      <c r="C125" s="16">
        <v>45427</v>
      </c>
      <c r="D125" s="16">
        <v>45427</v>
      </c>
      <c r="E125" s="16" t="str">
        <f t="shared" si="46"/>
        <v>May</v>
      </c>
      <c r="F125" s="1">
        <f t="shared" si="47"/>
        <v>2024</v>
      </c>
      <c r="G125" t="s">
        <v>633</v>
      </c>
      <c r="H125" s="17">
        <v>45437</v>
      </c>
      <c r="I125" s="21">
        <f t="shared" si="48"/>
        <v>10</v>
      </c>
      <c r="J125" s="6" t="str">
        <f t="shared" si="49"/>
        <v>OK</v>
      </c>
      <c r="K125" s="1" t="s">
        <v>1007</v>
      </c>
      <c r="L125" s="1" t="s">
        <v>52</v>
      </c>
      <c r="M125" s="1" t="str">
        <f t="shared" si="28"/>
        <v>Isha Nair</v>
      </c>
      <c r="N125" s="1" t="s">
        <v>40</v>
      </c>
      <c r="O125" s="1" t="str">
        <f t="shared" si="29"/>
        <v>Small Business</v>
      </c>
      <c r="P125" s="1" t="s">
        <v>41</v>
      </c>
      <c r="Q125" s="1" t="str">
        <f t="shared" si="30"/>
        <v>East</v>
      </c>
      <c r="R125" s="1" t="str">
        <f t="shared" si="31"/>
        <v>OK</v>
      </c>
      <c r="S125" s="1" t="s">
        <v>174</v>
      </c>
      <c r="T125" s="1" t="str">
        <f t="shared" si="32"/>
        <v>Bihar</v>
      </c>
      <c r="U125" s="1" t="s">
        <v>175</v>
      </c>
      <c r="V125" s="1" t="str">
        <f t="shared" si="33"/>
        <v>Patna</v>
      </c>
      <c r="W125" s="1" t="s">
        <v>83</v>
      </c>
      <c r="X125" s="1" t="str">
        <f t="shared" si="34"/>
        <v>Technology</v>
      </c>
      <c r="Y125" s="1" t="s">
        <v>84</v>
      </c>
      <c r="Z125" s="1" t="str">
        <f t="shared" si="35"/>
        <v>Accessories</v>
      </c>
      <c r="AA125" s="1" t="s">
        <v>1008</v>
      </c>
      <c r="AB125" s="1" t="s">
        <v>32</v>
      </c>
      <c r="AC125" s="1" t="str">
        <f t="shared" si="36"/>
        <v>Second Class</v>
      </c>
      <c r="AD125" s="1" t="str">
        <f t="shared" si="37"/>
        <v>OK</v>
      </c>
      <c r="AE125" s="1">
        <v>4</v>
      </c>
      <c r="AF125" s="1">
        <v>4332.7299999999996</v>
      </c>
      <c r="AG125" s="9">
        <v>0.2</v>
      </c>
      <c r="AH125" s="9">
        <f t="shared" si="38"/>
        <v>0.2</v>
      </c>
      <c r="AI125" s="1" t="str">
        <f t="shared" si="39"/>
        <v>OK</v>
      </c>
      <c r="AJ125" s="1">
        <v>13864.74</v>
      </c>
      <c r="AK125" s="1">
        <v>11294.06</v>
      </c>
      <c r="AL125" s="1">
        <v>2570.6799999999998</v>
      </c>
      <c r="AM125" s="13">
        <f t="shared" si="40"/>
        <v>13864.735999999999</v>
      </c>
      <c r="AN125" s="9">
        <f t="shared" si="41"/>
        <v>2570.6759999999995</v>
      </c>
      <c r="AO125" s="9">
        <f t="shared" si="50"/>
        <v>0.18541110339208763</v>
      </c>
      <c r="AP125" s="1" t="s">
        <v>33</v>
      </c>
      <c r="AQ125" s="1" t="str">
        <f t="shared" si="42"/>
        <v>Paid</v>
      </c>
      <c r="AR125" s="1" t="str">
        <f t="shared" si="43"/>
        <v>OK</v>
      </c>
      <c r="AS125" s="1" t="s">
        <v>34</v>
      </c>
      <c r="AT125" s="4" t="str">
        <f t="shared" si="44"/>
        <v>Completed</v>
      </c>
      <c r="AU125" s="3" t="str">
        <f t="shared" si="45"/>
        <v>OK</v>
      </c>
      <c r="AV125" s="3" t="str">
        <f t="shared" si="51"/>
        <v>CLEAN</v>
      </c>
      <c r="AW125" t="str">
        <f t="shared" si="52"/>
        <v>MATCH</v>
      </c>
      <c r="AX125" t="str">
        <f t="shared" si="53"/>
        <v>MATCH</v>
      </c>
    </row>
    <row r="126" spans="1:50" ht="15.6" hidden="1">
      <c r="A126" s="1" t="s">
        <v>1009</v>
      </c>
      <c r="B126" s="1">
        <f t="shared" si="27"/>
        <v>1</v>
      </c>
      <c r="C126" s="16">
        <v>45368</v>
      </c>
      <c r="D126" s="16">
        <v>45368</v>
      </c>
      <c r="E126" s="16" t="str">
        <f t="shared" si="46"/>
        <v>Mar</v>
      </c>
      <c r="F126" s="1">
        <f t="shared" si="47"/>
        <v>2024</v>
      </c>
      <c r="G126" t="s">
        <v>638</v>
      </c>
      <c r="H126" s="17">
        <v>45497</v>
      </c>
      <c r="I126" s="21">
        <f t="shared" si="48"/>
        <v>129</v>
      </c>
      <c r="J126" s="6" t="str">
        <f t="shared" si="49"/>
        <v>OK</v>
      </c>
      <c r="K126" s="1" t="s">
        <v>1011</v>
      </c>
      <c r="L126" s="1" t="s">
        <v>141</v>
      </c>
      <c r="M126" s="1" t="str">
        <f t="shared" si="28"/>
        <v>Rahul Verma</v>
      </c>
      <c r="N126" s="1" t="s">
        <v>25</v>
      </c>
      <c r="O126" s="1" t="str">
        <f t="shared" si="29"/>
        <v>Consumer</v>
      </c>
      <c r="P126" s="1" t="s">
        <v>26</v>
      </c>
      <c r="Q126" s="1" t="str">
        <f t="shared" si="30"/>
        <v>North</v>
      </c>
      <c r="R126" s="1" t="str">
        <f t="shared" si="31"/>
        <v>OK</v>
      </c>
      <c r="S126" s="1" t="s">
        <v>294</v>
      </c>
      <c r="T126" s="1" t="str">
        <f t="shared" si="32"/>
        <v>Haryana</v>
      </c>
      <c r="U126" s="1" t="s">
        <v>295</v>
      </c>
      <c r="V126" s="1" t="str">
        <f t="shared" si="33"/>
        <v>Gurugram</v>
      </c>
      <c r="W126" s="1" t="s">
        <v>83</v>
      </c>
      <c r="X126" s="1" t="str">
        <f t="shared" si="34"/>
        <v>Technology</v>
      </c>
      <c r="Y126" s="1" t="s">
        <v>84</v>
      </c>
      <c r="Z126" s="1" t="str">
        <f t="shared" si="35"/>
        <v>Accessories</v>
      </c>
      <c r="AA126" s="1" t="s">
        <v>1012</v>
      </c>
      <c r="AB126" s="1" t="s">
        <v>55</v>
      </c>
      <c r="AC126" s="1" t="str">
        <f t="shared" si="36"/>
        <v>First Class</v>
      </c>
      <c r="AD126" s="1" t="str">
        <f t="shared" si="37"/>
        <v>OK</v>
      </c>
      <c r="AE126" s="1">
        <v>3</v>
      </c>
      <c r="AF126" s="1">
        <v>248.18</v>
      </c>
      <c r="AG126" s="9">
        <v>0.05</v>
      </c>
      <c r="AH126" s="9">
        <f t="shared" si="38"/>
        <v>0.05</v>
      </c>
      <c r="AI126" s="1" t="str">
        <f t="shared" si="39"/>
        <v>OK</v>
      </c>
      <c r="AJ126" s="1">
        <v>707.31</v>
      </c>
      <c r="AK126" s="1">
        <v>569</v>
      </c>
      <c r="AL126" s="1">
        <v>138.31</v>
      </c>
      <c r="AM126" s="13">
        <f t="shared" si="40"/>
        <v>707.31299999999999</v>
      </c>
      <c r="AN126" s="9">
        <f t="shared" si="41"/>
        <v>138.31299999999999</v>
      </c>
      <c r="AO126" s="9">
        <f t="shared" si="50"/>
        <v>0.19554709159876885</v>
      </c>
      <c r="AP126" s="1" t="s">
        <v>33</v>
      </c>
      <c r="AQ126" s="1" t="str">
        <f t="shared" si="42"/>
        <v>Paid</v>
      </c>
      <c r="AR126" s="1" t="str">
        <f t="shared" si="43"/>
        <v>OK</v>
      </c>
      <c r="AS126" s="1" t="s">
        <v>34</v>
      </c>
      <c r="AT126" s="4" t="str">
        <f t="shared" si="44"/>
        <v>Completed</v>
      </c>
      <c r="AU126" s="3" t="str">
        <f t="shared" si="45"/>
        <v>OK</v>
      </c>
      <c r="AV126" s="3" t="str">
        <f t="shared" si="51"/>
        <v>CLEAN</v>
      </c>
      <c r="AW126" t="str">
        <f t="shared" si="52"/>
        <v>MATCH</v>
      </c>
      <c r="AX126" t="str">
        <f t="shared" si="53"/>
        <v>MATCH</v>
      </c>
    </row>
    <row r="127" spans="1:50" ht="15.6" hidden="1">
      <c r="A127" s="1" t="s">
        <v>1013</v>
      </c>
      <c r="B127" s="1">
        <f t="shared" si="27"/>
        <v>1</v>
      </c>
      <c r="C127" s="16">
        <v>45352</v>
      </c>
      <c r="D127" s="16">
        <v>45352</v>
      </c>
      <c r="E127" s="16" t="str">
        <f t="shared" si="46"/>
        <v>Mar</v>
      </c>
      <c r="F127" s="1">
        <f t="shared" si="47"/>
        <v>2024</v>
      </c>
      <c r="G127" t="s">
        <v>642</v>
      </c>
      <c r="H127" s="17">
        <v>45856</v>
      </c>
      <c r="I127" s="21">
        <f t="shared" si="48"/>
        <v>504</v>
      </c>
      <c r="J127" s="6" t="str">
        <f t="shared" si="49"/>
        <v>OK</v>
      </c>
      <c r="K127" s="1" t="s">
        <v>1014</v>
      </c>
      <c r="L127" s="1" t="s">
        <v>39</v>
      </c>
      <c r="M127" s="1" t="str">
        <f t="shared" si="28"/>
        <v>Mira Das</v>
      </c>
      <c r="N127" s="1" t="s">
        <v>25</v>
      </c>
      <c r="O127" s="1" t="str">
        <f t="shared" si="29"/>
        <v>Consumer</v>
      </c>
      <c r="P127" s="1" t="s">
        <v>71</v>
      </c>
      <c r="Q127" s="1" t="str">
        <f t="shared" si="30"/>
        <v>West</v>
      </c>
      <c r="R127" s="1" t="str">
        <f t="shared" si="31"/>
        <v>OK</v>
      </c>
      <c r="S127" s="1" t="s">
        <v>81</v>
      </c>
      <c r="T127" s="1" t="str">
        <f t="shared" si="32"/>
        <v>Madhya Pradesh</v>
      </c>
      <c r="U127" s="1" t="s">
        <v>82</v>
      </c>
      <c r="V127" s="1" t="str">
        <f t="shared" si="33"/>
        <v>Indore</v>
      </c>
      <c r="W127" s="1" t="s">
        <v>29</v>
      </c>
      <c r="X127" s="1" t="str">
        <f t="shared" si="34"/>
        <v>Office Supplies</v>
      </c>
      <c r="Y127" s="1" t="s">
        <v>30</v>
      </c>
      <c r="Z127" s="1" t="str">
        <f t="shared" si="35"/>
        <v>Paper</v>
      </c>
      <c r="AA127" s="1" t="s">
        <v>1015</v>
      </c>
      <c r="AB127" s="1" t="s">
        <v>55</v>
      </c>
      <c r="AC127" s="1" t="str">
        <f t="shared" si="36"/>
        <v>First Class</v>
      </c>
      <c r="AD127" s="1" t="str">
        <f t="shared" si="37"/>
        <v>OK</v>
      </c>
      <c r="AE127" s="1">
        <v>8</v>
      </c>
      <c r="AF127" s="1">
        <v>3202.4</v>
      </c>
      <c r="AG127" s="9">
        <v>0.25</v>
      </c>
      <c r="AH127" s="9">
        <f t="shared" si="38"/>
        <v>0.25</v>
      </c>
      <c r="AI127" s="1" t="str">
        <f t="shared" si="39"/>
        <v>OK</v>
      </c>
      <c r="AJ127" s="1">
        <v>19214.400000000001</v>
      </c>
      <c r="AK127" s="1">
        <v>10916.01</v>
      </c>
      <c r="AL127" s="1">
        <v>8298.39</v>
      </c>
      <c r="AM127" s="13">
        <f t="shared" si="40"/>
        <v>19214.400000000001</v>
      </c>
      <c r="AN127" s="9">
        <f t="shared" si="41"/>
        <v>8298.3900000000012</v>
      </c>
      <c r="AO127" s="9">
        <f t="shared" si="50"/>
        <v>0.43188389957531853</v>
      </c>
      <c r="AP127" s="1" t="s">
        <v>33</v>
      </c>
      <c r="AQ127" s="1" t="str">
        <f t="shared" si="42"/>
        <v>Paid</v>
      </c>
      <c r="AR127" s="1" t="str">
        <f t="shared" si="43"/>
        <v>OK</v>
      </c>
      <c r="AS127" s="1" t="s">
        <v>34</v>
      </c>
      <c r="AT127" s="4" t="str">
        <f t="shared" si="44"/>
        <v>Completed</v>
      </c>
      <c r="AU127" s="3" t="str">
        <f t="shared" si="45"/>
        <v>OK</v>
      </c>
      <c r="AV127" s="3" t="str">
        <f t="shared" si="51"/>
        <v>CLEAN</v>
      </c>
      <c r="AW127" t="str">
        <f t="shared" si="52"/>
        <v>MATCH</v>
      </c>
      <c r="AX127" t="str">
        <f t="shared" si="53"/>
        <v>MATCH</v>
      </c>
    </row>
    <row r="128" spans="1:50" ht="15.6" hidden="1">
      <c r="A128" s="1" t="s">
        <v>1028</v>
      </c>
      <c r="B128" s="1">
        <f t="shared" si="27"/>
        <v>1</v>
      </c>
      <c r="C128" s="16">
        <v>45461</v>
      </c>
      <c r="D128" s="16">
        <v>45461</v>
      </c>
      <c r="E128" s="16" t="str">
        <f t="shared" si="46"/>
        <v>Jun</v>
      </c>
      <c r="F128" s="1">
        <f t="shared" si="47"/>
        <v>2024</v>
      </c>
      <c r="G128" t="s">
        <v>646</v>
      </c>
      <c r="H128" s="17">
        <v>45926</v>
      </c>
      <c r="I128" s="21">
        <f t="shared" si="48"/>
        <v>465</v>
      </c>
      <c r="J128" s="6" t="str">
        <f t="shared" si="49"/>
        <v>OK</v>
      </c>
      <c r="K128" s="1" t="s">
        <v>1030</v>
      </c>
      <c r="L128" s="1" t="s">
        <v>141</v>
      </c>
      <c r="M128" s="1" t="str">
        <f t="shared" si="28"/>
        <v>Rahul Verma</v>
      </c>
      <c r="N128" s="1" t="s">
        <v>25</v>
      </c>
      <c r="O128" s="1" t="str">
        <f t="shared" si="29"/>
        <v>Consumer</v>
      </c>
      <c r="P128" s="1" t="s">
        <v>41</v>
      </c>
      <c r="Q128" s="1" t="str">
        <f t="shared" si="30"/>
        <v>East</v>
      </c>
      <c r="R128" s="1" t="str">
        <f t="shared" si="31"/>
        <v>OK</v>
      </c>
      <c r="S128" s="1" t="s">
        <v>174</v>
      </c>
      <c r="T128" s="1" t="str">
        <f t="shared" si="32"/>
        <v>Bihar</v>
      </c>
      <c r="U128" s="1" t="s">
        <v>175</v>
      </c>
      <c r="V128" s="1" t="str">
        <f t="shared" si="33"/>
        <v>Patna</v>
      </c>
      <c r="W128" s="1" t="s">
        <v>83</v>
      </c>
      <c r="X128" s="1" t="str">
        <f t="shared" si="34"/>
        <v>Technology</v>
      </c>
      <c r="Y128" s="1" t="s">
        <v>347</v>
      </c>
      <c r="Z128" s="1" t="str">
        <f t="shared" si="35"/>
        <v>Machines</v>
      </c>
      <c r="AA128" s="1" t="s">
        <v>1031</v>
      </c>
      <c r="AB128" s="1" t="s">
        <v>55</v>
      </c>
      <c r="AC128" s="1" t="str">
        <f t="shared" si="36"/>
        <v>First Class</v>
      </c>
      <c r="AD128" s="1" t="str">
        <f t="shared" si="37"/>
        <v>OK</v>
      </c>
      <c r="AE128" s="1">
        <v>2</v>
      </c>
      <c r="AF128" s="1">
        <v>121.49</v>
      </c>
      <c r="AG128" s="9" t="s">
        <v>1032</v>
      </c>
      <c r="AH128" s="9">
        <f t="shared" si="38"/>
        <v>0.85</v>
      </c>
      <c r="AI128" s="1" t="str">
        <f t="shared" si="39"/>
        <v>OK</v>
      </c>
      <c r="AJ128" s="1">
        <v>242.98</v>
      </c>
      <c r="AK128" s="1">
        <v>161.41999999999999</v>
      </c>
      <c r="AL128" s="1">
        <v>81.56</v>
      </c>
      <c r="AM128" s="13">
        <f t="shared" si="40"/>
        <v>36.447000000000003</v>
      </c>
      <c r="AN128" s="9">
        <f t="shared" si="41"/>
        <v>-124.97299999999998</v>
      </c>
      <c r="AO128" s="9">
        <f t="shared" si="50"/>
        <v>-3.4288967541910162</v>
      </c>
      <c r="AP128" s="1" t="s">
        <v>33</v>
      </c>
      <c r="AQ128" s="1" t="str">
        <f t="shared" si="42"/>
        <v>Paid</v>
      </c>
      <c r="AR128" s="1" t="str">
        <f t="shared" si="43"/>
        <v>OK</v>
      </c>
      <c r="AS128" s="1" t="s">
        <v>34</v>
      </c>
      <c r="AT128" s="4" t="str">
        <f t="shared" si="44"/>
        <v>Completed</v>
      </c>
      <c r="AU128" s="3" t="str">
        <f t="shared" si="45"/>
        <v>OK</v>
      </c>
      <c r="AV128" s="3" t="str">
        <f t="shared" si="51"/>
        <v>CLEAN</v>
      </c>
      <c r="AW128" t="str">
        <f t="shared" si="52"/>
        <v>MISMATCH</v>
      </c>
      <c r="AX128" t="str">
        <f t="shared" si="53"/>
        <v>MISMATCH</v>
      </c>
    </row>
    <row r="129" spans="1:50" ht="15.6" hidden="1">
      <c r="A129" s="1" t="s">
        <v>1033</v>
      </c>
      <c r="B129" s="1">
        <f t="shared" si="27"/>
        <v>1</v>
      </c>
      <c r="C129" s="16">
        <v>45360</v>
      </c>
      <c r="D129" s="16">
        <v>45360</v>
      </c>
      <c r="E129" s="16" t="str">
        <f t="shared" si="46"/>
        <v>Mar</v>
      </c>
      <c r="F129" s="1">
        <f t="shared" si="47"/>
        <v>2024</v>
      </c>
      <c r="G129" t="s">
        <v>650</v>
      </c>
      <c r="H129" s="17">
        <v>45683</v>
      </c>
      <c r="I129" s="21">
        <f t="shared" si="48"/>
        <v>323</v>
      </c>
      <c r="J129" s="6" t="str">
        <f t="shared" si="49"/>
        <v>OK</v>
      </c>
      <c r="K129" s="1" t="s">
        <v>1035</v>
      </c>
      <c r="L129" s="1" t="s">
        <v>158</v>
      </c>
      <c r="M129" s="1" t="str">
        <f t="shared" si="28"/>
        <v>Sneha Kapoor</v>
      </c>
      <c r="N129" s="1" t="s">
        <v>25</v>
      </c>
      <c r="O129" s="1" t="str">
        <f t="shared" si="29"/>
        <v>Consumer</v>
      </c>
      <c r="P129" s="1" t="s">
        <v>60</v>
      </c>
      <c r="Q129" s="1" t="str">
        <f t="shared" si="30"/>
        <v>South</v>
      </c>
      <c r="R129" s="1" t="str">
        <f t="shared" si="31"/>
        <v>OK</v>
      </c>
      <c r="S129" s="1" t="s">
        <v>224</v>
      </c>
      <c r="T129" s="1" t="str">
        <f t="shared" si="32"/>
        <v>Kerala</v>
      </c>
      <c r="U129" s="1" t="s">
        <v>225</v>
      </c>
      <c r="V129" s="1" t="str">
        <f t="shared" si="33"/>
        <v>Kochi</v>
      </c>
      <c r="W129" s="1" t="s">
        <v>29</v>
      </c>
      <c r="X129" s="1" t="str">
        <f t="shared" si="34"/>
        <v>Office Supplies</v>
      </c>
      <c r="Y129" s="1" t="s">
        <v>148</v>
      </c>
      <c r="Z129" s="1" t="str">
        <f t="shared" si="35"/>
        <v>Storage</v>
      </c>
      <c r="AA129" s="1" t="s">
        <v>1036</v>
      </c>
      <c r="AB129" s="1" t="s">
        <v>55</v>
      </c>
      <c r="AC129" s="1" t="str">
        <f t="shared" si="36"/>
        <v>First Class</v>
      </c>
      <c r="AD129" s="1" t="str">
        <f t="shared" si="37"/>
        <v>OK</v>
      </c>
      <c r="AE129" s="1">
        <v>4</v>
      </c>
      <c r="AF129" s="1">
        <v>2810.17</v>
      </c>
      <c r="AG129" s="9">
        <v>0.15</v>
      </c>
      <c r="AH129" s="9">
        <f t="shared" si="38"/>
        <v>0.15</v>
      </c>
      <c r="AI129" s="1" t="str">
        <f t="shared" si="39"/>
        <v>OK</v>
      </c>
      <c r="AJ129" s="1">
        <v>9554.58</v>
      </c>
      <c r="AK129" s="1">
        <v>6068.47</v>
      </c>
      <c r="AL129" s="1">
        <v>3486.11</v>
      </c>
      <c r="AM129" s="13">
        <f t="shared" si="40"/>
        <v>9554.5779999999995</v>
      </c>
      <c r="AN129" s="9">
        <f t="shared" si="41"/>
        <v>3486.1079999999993</v>
      </c>
      <c r="AO129" s="9">
        <f t="shared" si="50"/>
        <v>0.36486258210462036</v>
      </c>
      <c r="AP129" s="1" t="s">
        <v>119</v>
      </c>
      <c r="AQ129" s="1" t="str">
        <f t="shared" si="42"/>
        <v>Refunded</v>
      </c>
      <c r="AR129" s="1" t="str">
        <f t="shared" si="43"/>
        <v>REFUNDED_PAYMENT</v>
      </c>
      <c r="AS129" s="1" t="s">
        <v>76</v>
      </c>
      <c r="AT129" s="4" t="str">
        <f t="shared" si="44"/>
        <v>Cancelled</v>
      </c>
      <c r="AU129" s="3" t="str">
        <f t="shared" si="45"/>
        <v>EXCLUDE_FROM_SALES</v>
      </c>
      <c r="AV129" s="3" t="str">
        <f t="shared" si="51"/>
        <v>CLEAN</v>
      </c>
      <c r="AW129" t="str">
        <f t="shared" si="52"/>
        <v>MATCH</v>
      </c>
      <c r="AX129" t="str">
        <f t="shared" si="53"/>
        <v>MATCH</v>
      </c>
    </row>
    <row r="130" spans="1:50" ht="15.6" hidden="1">
      <c r="A130" s="1" t="s">
        <v>1053</v>
      </c>
      <c r="B130" s="1">
        <f t="shared" ref="B130:B193" si="54">COUNTIF($A:$A,A130)</f>
        <v>1</v>
      </c>
      <c r="C130" s="16">
        <v>45331</v>
      </c>
      <c r="D130" s="16">
        <v>45331</v>
      </c>
      <c r="E130" s="16" t="str">
        <f t="shared" si="46"/>
        <v>Feb</v>
      </c>
      <c r="F130" s="1">
        <f t="shared" si="47"/>
        <v>2024</v>
      </c>
      <c r="G130" t="s">
        <v>655</v>
      </c>
      <c r="H130" s="17">
        <v>45642</v>
      </c>
      <c r="I130" s="21">
        <f t="shared" si="48"/>
        <v>311</v>
      </c>
      <c r="J130" s="6" t="str">
        <f t="shared" si="49"/>
        <v>OK</v>
      </c>
      <c r="K130" s="1" t="s">
        <v>1056</v>
      </c>
      <c r="L130" s="1" t="s">
        <v>39</v>
      </c>
      <c r="M130" s="1" t="str">
        <f t="shared" ref="M130:M193" si="55">PROPER(TRIM(SUBSTITUTE(L130,CHAR(160)," ")))</f>
        <v>Mira Das</v>
      </c>
      <c r="N130" s="1" t="s">
        <v>104</v>
      </c>
      <c r="O130" s="1" t="str">
        <f t="shared" ref="O130:O193" si="56">PROPER(TRIM(SUBSTITUTE(N130,CHAR(160)," ")))</f>
        <v>Corporate</v>
      </c>
      <c r="P130" s="1" t="s">
        <v>71</v>
      </c>
      <c r="Q130" s="1" t="str">
        <f t="shared" ref="Q130:Q193" si="57">IF(TRIM(P130)="","Unknown",PROPER(TRIM(P130)))</f>
        <v>West</v>
      </c>
      <c r="R130" s="1" t="str">
        <f t="shared" ref="R130:R193" si="58">IF(Q130="Unknown","MISSING_REGION","OK")</f>
        <v>OK</v>
      </c>
      <c r="S130" s="1" t="s">
        <v>230</v>
      </c>
      <c r="T130" s="1" t="str">
        <f t="shared" ref="T130:T193" si="59">PROPER(TRIM(SUBSTITUTE(S130,CHAR(160)," ")))</f>
        <v>Goa</v>
      </c>
      <c r="U130" s="1" t="s">
        <v>231</v>
      </c>
      <c r="V130" s="1" t="str">
        <f t="shared" ref="V130:V193" si="60">PROPER(TRIM(SUBSTITUTE(U130,CHAR(160)," ")))</f>
        <v>Panaji</v>
      </c>
      <c r="W130" s="1" t="s">
        <v>83</v>
      </c>
      <c r="X130" s="1" t="str">
        <f t="shared" ref="X130:X193" si="61">PROPER(TRIM(SUBSTITUTE(W130,CHAR(160)," ")))</f>
        <v>Technology</v>
      </c>
      <c r="Y130" s="1" t="s">
        <v>207</v>
      </c>
      <c r="Z130" s="1" t="str">
        <f t="shared" ref="Z130:Z193" si="62">PROPER(TRIM(SUBSTITUTE(Y130,CHAR(160)," ")))</f>
        <v>Phones</v>
      </c>
      <c r="AA130" s="1" t="s">
        <v>1057</v>
      </c>
      <c r="AB130" s="1" t="s">
        <v>65</v>
      </c>
      <c r="AC130" s="1" t="str">
        <f t="shared" ref="AC130:AC193" si="63">IF(TRIM(AB130)="","Unknown",PROPER(TRIM(AB130)))</f>
        <v>Standard Class</v>
      </c>
      <c r="AD130" s="1" t="str">
        <f t="shared" ref="AD130:AD193" si="64">IF(AC130="Unknown","MISSING_SHIP_MODE","OK")</f>
        <v>OK</v>
      </c>
      <c r="AE130" s="1">
        <v>6</v>
      </c>
      <c r="AF130" s="1">
        <v>1032.47</v>
      </c>
      <c r="AG130" s="9">
        <v>0.15</v>
      </c>
      <c r="AH130" s="9">
        <f t="shared" ref="AH130:AH193" si="65">IF(RIGHT(AG130,1)="%",VALUE(SUBSTITUTE(AG130,"%",""))/100,AG130)</f>
        <v>0.15</v>
      </c>
      <c r="AI130" s="1" t="str">
        <f t="shared" ref="AI130:AI193" si="66">IF(AG130="","Missing Discount",
IF(AG130&lt;0,"Invalid Negative Discount",
"OK"))</f>
        <v>OK</v>
      </c>
      <c r="AJ130" s="1">
        <v>5265.6</v>
      </c>
      <c r="AK130" s="1">
        <v>4293.1099999999997</v>
      </c>
      <c r="AL130" s="1">
        <v>787.57</v>
      </c>
      <c r="AM130" s="13">
        <f t="shared" ref="AM130:AM193" si="67">IF(AH130&lt;0,"INVALID",AE130*AF130*(1-AH130))</f>
        <v>5265.5969999999998</v>
      </c>
      <c r="AN130" s="9">
        <f t="shared" ref="AN130:AN193" si="68">IF(AM130="INVALID","INVALID",
AM130-AK130)</f>
        <v>972.48700000000008</v>
      </c>
      <c r="AO130" s="9">
        <f t="shared" si="50"/>
        <v>0.18468694053114967</v>
      </c>
      <c r="AP130" s="1" t="s">
        <v>33</v>
      </c>
      <c r="AQ130" s="1" t="str">
        <f t="shared" ref="AQ130:AQ193" si="69">PROPER(TRIM(SUBSTITUTE(AP130,CHAR(160)," ")))</f>
        <v>Paid</v>
      </c>
      <c r="AR130" s="1" t="str">
        <f t="shared" ref="AR130:AR193" si="70">IF(AQ130="Failed","EXCLUDE_FROM_SALES",
IF(AQ130="Refunded","REFUNDED_PAYMENT",
"OK"))</f>
        <v>OK</v>
      </c>
      <c r="AS130" s="1" t="s">
        <v>34</v>
      </c>
      <c r="AT130" s="4" t="str">
        <f t="shared" ref="AT130:AT193" si="71">PROPER(TRIM(SUBSTITUTE(AS130,CHAR(160)," ")))</f>
        <v>Completed</v>
      </c>
      <c r="AU130" s="3" t="str">
        <f t="shared" ref="AU130:AU193" si="72">IF(AT130="Cancelled","EXCLUDE_FROM_SALES",
IF(AT130="Returned","RETURNED_ORDER",
"OK"))</f>
        <v>OK</v>
      </c>
      <c r="AV130" s="3" t="str">
        <f t="shared" si="51"/>
        <v>CLEAN</v>
      </c>
      <c r="AW130" t="str">
        <f t="shared" si="52"/>
        <v>MATCH</v>
      </c>
      <c r="AX130" t="str">
        <f t="shared" si="53"/>
        <v>MISMATCH</v>
      </c>
    </row>
    <row r="131" spans="1:50" ht="15.6" hidden="1">
      <c r="A131" s="1" t="s">
        <v>1061</v>
      </c>
      <c r="B131" s="1">
        <f t="shared" si="54"/>
        <v>1</v>
      </c>
      <c r="C131" s="16">
        <v>45419</v>
      </c>
      <c r="D131" s="16">
        <v>45419</v>
      </c>
      <c r="E131" s="16" t="str">
        <f t="shared" ref="E131:E194" si="73">TEXT(D131,"mmm")</f>
        <v>May</v>
      </c>
      <c r="F131" s="1">
        <f t="shared" ref="F131:F194" si="74">YEAR(D131)</f>
        <v>2024</v>
      </c>
      <c r="G131" t="s">
        <v>659</v>
      </c>
      <c r="H131" s="17">
        <v>45498</v>
      </c>
      <c r="I131" s="21">
        <f t="shared" ref="I131:I194" si="75">H131-D131</f>
        <v>79</v>
      </c>
      <c r="J131" s="6" t="str">
        <f t="shared" ref="J131:J194" si="76">IF(I131&lt;0,"INVALID_SHIPPING","OK")</f>
        <v>OK</v>
      </c>
      <c r="K131" s="1" t="s">
        <v>1063</v>
      </c>
      <c r="L131" s="1" t="s">
        <v>70</v>
      </c>
      <c r="M131" s="1" t="str">
        <f t="shared" si="55"/>
        <v>Ananya Rao</v>
      </c>
      <c r="N131" s="1" t="s">
        <v>1064</v>
      </c>
      <c r="O131" s="1" t="str">
        <f t="shared" si="56"/>
        <v>Small Business</v>
      </c>
      <c r="P131" s="1" t="s">
        <v>71</v>
      </c>
      <c r="Q131" s="1" t="str">
        <f t="shared" si="57"/>
        <v>West</v>
      </c>
      <c r="R131" s="1" t="str">
        <f t="shared" si="58"/>
        <v>OK</v>
      </c>
      <c r="S131" s="1" t="s">
        <v>230</v>
      </c>
      <c r="T131" s="1" t="str">
        <f t="shared" si="59"/>
        <v>Goa</v>
      </c>
      <c r="U131" s="1" t="s">
        <v>231</v>
      </c>
      <c r="V131" s="1" t="str">
        <f t="shared" si="60"/>
        <v>Panaji</v>
      </c>
      <c r="W131" s="1" t="s">
        <v>29</v>
      </c>
      <c r="X131" s="1" t="str">
        <f t="shared" si="61"/>
        <v>Office Supplies</v>
      </c>
      <c r="Y131" s="1" t="s">
        <v>184</v>
      </c>
      <c r="Z131" s="1" t="str">
        <f t="shared" si="62"/>
        <v>Binders</v>
      </c>
      <c r="AA131" s="1" t="s">
        <v>1065</v>
      </c>
      <c r="AB131" s="1" t="s">
        <v>55</v>
      </c>
      <c r="AC131" s="1" t="str">
        <f t="shared" si="63"/>
        <v>First Class</v>
      </c>
      <c r="AD131" s="1" t="str">
        <f t="shared" si="64"/>
        <v>OK</v>
      </c>
      <c r="AE131" s="1">
        <v>3</v>
      </c>
      <c r="AF131" s="1">
        <v>577.75</v>
      </c>
      <c r="AG131" s="9">
        <v>0.15</v>
      </c>
      <c r="AH131" s="9">
        <f t="shared" si="65"/>
        <v>0.15</v>
      </c>
      <c r="AI131" s="1" t="str">
        <f t="shared" si="66"/>
        <v>OK</v>
      </c>
      <c r="AJ131" s="1">
        <v>1473.26</v>
      </c>
      <c r="AK131" s="1">
        <v>899.86</v>
      </c>
      <c r="AL131" s="1">
        <v>573.4</v>
      </c>
      <c r="AM131" s="13">
        <f t="shared" si="67"/>
        <v>1473.2625</v>
      </c>
      <c r="AN131" s="9">
        <f t="shared" si="68"/>
        <v>573.40250000000003</v>
      </c>
      <c r="AO131" s="9">
        <f t="shared" ref="AO131:AO194" si="77">IF(OR(AM131="INVALID",AN131="INVALID"),"",AN131/AM131)</f>
        <v>0.38920592901808065</v>
      </c>
      <c r="AP131" s="1" t="s">
        <v>33</v>
      </c>
      <c r="AQ131" s="1" t="str">
        <f t="shared" si="69"/>
        <v>Paid</v>
      </c>
      <c r="AR131" s="1" t="str">
        <f t="shared" si="70"/>
        <v>OK</v>
      </c>
      <c r="AS131" s="1" t="s">
        <v>34</v>
      </c>
      <c r="AT131" s="4" t="str">
        <f t="shared" si="71"/>
        <v>Completed</v>
      </c>
      <c r="AU131" s="3" t="str">
        <f t="shared" si="72"/>
        <v>OK</v>
      </c>
      <c r="AV131" s="3" t="str">
        <f t="shared" ref="AV131:AV194" si="78">IF(OR(AI131&lt;&gt;"OK",J131="INVALID_SHIPPING"),
"INVALID",
IF(OR(R131&lt;&gt;"OK",AD131&lt;&gt;"OK"),
"WARNING",
"CLEAN"))</f>
        <v>CLEAN</v>
      </c>
      <c r="AW131" t="str">
        <f t="shared" ref="AW131:AW194" si="79">IF(AM131="INVALID","INVALID",
IF(ROUND(AJ131,2)=ROUND(AM131,2),"MATCH","MISMATCH"))</f>
        <v>MATCH</v>
      </c>
      <c r="AX131" t="str">
        <f t="shared" ref="AX131:AX194" si="80">IF(AN131="INVALID","INVALID",IF(ROUND(AL131,2)=ROUND(AN131,2),"MATCH","MISMATCH"))</f>
        <v>MATCH</v>
      </c>
    </row>
    <row r="132" spans="1:50" ht="15.6">
      <c r="A132" s="1" t="s">
        <v>1066</v>
      </c>
      <c r="B132" s="1">
        <f t="shared" si="54"/>
        <v>1</v>
      </c>
      <c r="C132" s="16">
        <v>45406</v>
      </c>
      <c r="D132" s="16">
        <v>45406</v>
      </c>
      <c r="E132" s="16" t="str">
        <f t="shared" si="73"/>
        <v>Apr</v>
      </c>
      <c r="F132" s="1">
        <f t="shared" si="74"/>
        <v>2024</v>
      </c>
      <c r="G132" t="s">
        <v>663</v>
      </c>
      <c r="H132" s="17">
        <v>45324</v>
      </c>
      <c r="I132" s="21">
        <f t="shared" si="75"/>
        <v>-82</v>
      </c>
      <c r="J132" s="6" t="str">
        <f t="shared" si="76"/>
        <v>INVALID_SHIPPING</v>
      </c>
      <c r="K132" s="1" t="s">
        <v>1068</v>
      </c>
      <c r="L132" s="1" t="s">
        <v>24</v>
      </c>
      <c r="M132" s="1" t="str">
        <f t="shared" si="55"/>
        <v>Karan Malhotra</v>
      </c>
      <c r="N132" s="1" t="s">
        <v>40</v>
      </c>
      <c r="O132" s="1" t="str">
        <f t="shared" si="56"/>
        <v>Small Business</v>
      </c>
      <c r="P132" s="1" t="s">
        <v>60</v>
      </c>
      <c r="Q132" s="1" t="str">
        <f t="shared" si="57"/>
        <v>South</v>
      </c>
      <c r="R132" s="1" t="str">
        <f t="shared" si="58"/>
        <v>OK</v>
      </c>
      <c r="S132" s="1" t="s">
        <v>61</v>
      </c>
      <c r="T132" s="1" t="str">
        <f t="shared" si="59"/>
        <v>Telangana</v>
      </c>
      <c r="U132" s="1" t="s">
        <v>62</v>
      </c>
      <c r="V132" s="1" t="str">
        <f t="shared" si="60"/>
        <v>Hyderabad</v>
      </c>
      <c r="W132" s="1" t="s">
        <v>29</v>
      </c>
      <c r="X132" s="1" t="str">
        <f t="shared" si="61"/>
        <v>Office Supplies</v>
      </c>
      <c r="Y132" s="1" t="s">
        <v>105</v>
      </c>
      <c r="Z132" s="1" t="str">
        <f t="shared" si="62"/>
        <v>Labels</v>
      </c>
      <c r="AA132" s="1" t="s">
        <v>1069</v>
      </c>
      <c r="AB132" s="1" t="s">
        <v>32</v>
      </c>
      <c r="AC132" s="1" t="str">
        <f t="shared" si="63"/>
        <v>Second Class</v>
      </c>
      <c r="AD132" s="1" t="str">
        <f t="shared" si="64"/>
        <v>OK</v>
      </c>
      <c r="AE132" s="1">
        <v>1</v>
      </c>
      <c r="AF132" s="1">
        <v>3194.37</v>
      </c>
      <c r="AG132" s="9">
        <v>0.15</v>
      </c>
      <c r="AH132" s="9">
        <f t="shared" si="65"/>
        <v>0.15</v>
      </c>
      <c r="AI132" s="1" t="str">
        <f t="shared" si="66"/>
        <v>OK</v>
      </c>
      <c r="AJ132" s="1">
        <v>2715.21</v>
      </c>
      <c r="AK132" s="1">
        <v>1551.55</v>
      </c>
      <c r="AL132" s="1">
        <v>1163.6600000000001</v>
      </c>
      <c r="AM132" s="13">
        <f t="shared" si="67"/>
        <v>2715.2145</v>
      </c>
      <c r="AN132" s="9">
        <f t="shared" si="68"/>
        <v>1163.6645000000001</v>
      </c>
      <c r="AO132" s="9">
        <f t="shared" si="77"/>
        <v>0.42857184948003191</v>
      </c>
      <c r="AP132" s="1" t="s">
        <v>33</v>
      </c>
      <c r="AQ132" s="1" t="str">
        <f t="shared" si="69"/>
        <v>Paid</v>
      </c>
      <c r="AR132" s="1" t="str">
        <f t="shared" si="70"/>
        <v>OK</v>
      </c>
      <c r="AS132" s="1" t="s">
        <v>34</v>
      </c>
      <c r="AT132" s="4" t="str">
        <f t="shared" si="71"/>
        <v>Completed</v>
      </c>
      <c r="AU132" s="3" t="str">
        <f t="shared" si="72"/>
        <v>OK</v>
      </c>
      <c r="AV132" s="3" t="str">
        <f t="shared" si="78"/>
        <v>INVALID</v>
      </c>
      <c r="AW132" t="str">
        <f t="shared" si="79"/>
        <v>MATCH</v>
      </c>
      <c r="AX132" t="str">
        <f t="shared" si="80"/>
        <v>MATCH</v>
      </c>
    </row>
    <row r="133" spans="1:50" ht="15.6" hidden="1">
      <c r="A133" s="1" t="s">
        <v>1075</v>
      </c>
      <c r="B133" s="1">
        <f t="shared" si="54"/>
        <v>1</v>
      </c>
      <c r="C133" s="16">
        <v>45440</v>
      </c>
      <c r="D133" s="16">
        <v>45440</v>
      </c>
      <c r="E133" s="16" t="str">
        <f t="shared" si="73"/>
        <v>May</v>
      </c>
      <c r="F133" s="1">
        <f t="shared" si="74"/>
        <v>2024</v>
      </c>
      <c r="G133" t="s">
        <v>668</v>
      </c>
      <c r="H133" s="17">
        <v>45934</v>
      </c>
      <c r="I133" s="21">
        <f t="shared" si="75"/>
        <v>494</v>
      </c>
      <c r="J133" s="6" t="str">
        <f t="shared" si="76"/>
        <v>OK</v>
      </c>
      <c r="K133" s="1" t="s">
        <v>1077</v>
      </c>
      <c r="L133" s="1" t="s">
        <v>90</v>
      </c>
      <c r="M133" s="1" t="str">
        <f t="shared" si="55"/>
        <v>Neha Gupta</v>
      </c>
      <c r="N133" s="1" t="s">
        <v>40</v>
      </c>
      <c r="O133" s="1" t="str">
        <f t="shared" si="56"/>
        <v>Small Business</v>
      </c>
      <c r="P133" s="1" t="s">
        <v>26</v>
      </c>
      <c r="Q133" s="1" t="str">
        <f t="shared" si="57"/>
        <v>North</v>
      </c>
      <c r="R133" s="1" t="str">
        <f t="shared" si="58"/>
        <v>OK</v>
      </c>
      <c r="S133" s="1" t="s">
        <v>27</v>
      </c>
      <c r="T133" s="1" t="str">
        <f t="shared" si="59"/>
        <v>Rajasthan</v>
      </c>
      <c r="U133" s="1" t="s">
        <v>28</v>
      </c>
      <c r="V133" s="1" t="str">
        <f t="shared" si="60"/>
        <v>Jaipur</v>
      </c>
      <c r="W133" s="1" t="s">
        <v>29</v>
      </c>
      <c r="X133" s="1" t="str">
        <f t="shared" si="61"/>
        <v>Office Supplies</v>
      </c>
      <c r="Y133" s="1" t="s">
        <v>30</v>
      </c>
      <c r="Z133" s="1" t="str">
        <f t="shared" si="62"/>
        <v>Paper</v>
      </c>
      <c r="AA133" s="1" t="s">
        <v>1078</v>
      </c>
      <c r="AB133" s="1" t="s">
        <v>65</v>
      </c>
      <c r="AC133" s="1" t="str">
        <f t="shared" si="63"/>
        <v>Standard Class</v>
      </c>
      <c r="AD133" s="1" t="str">
        <f t="shared" si="64"/>
        <v>OK</v>
      </c>
      <c r="AE133" s="1">
        <v>8</v>
      </c>
      <c r="AF133" s="1">
        <v>1540.33</v>
      </c>
      <c r="AG133" s="9">
        <v>0.1</v>
      </c>
      <c r="AH133" s="9">
        <f t="shared" si="65"/>
        <v>0.1</v>
      </c>
      <c r="AI133" s="1" t="str">
        <f t="shared" si="66"/>
        <v>OK</v>
      </c>
      <c r="AJ133" s="1">
        <v>11090.38</v>
      </c>
      <c r="AK133" s="1">
        <v>8840.9500000000007</v>
      </c>
      <c r="AL133" s="1">
        <v>2249.4299999999998</v>
      </c>
      <c r="AM133" s="13">
        <f t="shared" si="67"/>
        <v>11090.376</v>
      </c>
      <c r="AN133" s="9">
        <f t="shared" si="68"/>
        <v>2249.4259999999995</v>
      </c>
      <c r="AO133" s="9">
        <f t="shared" si="77"/>
        <v>0.20282684734944958</v>
      </c>
      <c r="AP133" s="1" t="s">
        <v>33</v>
      </c>
      <c r="AQ133" s="1" t="str">
        <f t="shared" si="69"/>
        <v>Paid</v>
      </c>
      <c r="AR133" s="1" t="str">
        <f t="shared" si="70"/>
        <v>OK</v>
      </c>
      <c r="AS133" s="1" t="s">
        <v>34</v>
      </c>
      <c r="AT133" s="4" t="str">
        <f t="shared" si="71"/>
        <v>Completed</v>
      </c>
      <c r="AU133" s="3" t="str">
        <f t="shared" si="72"/>
        <v>OK</v>
      </c>
      <c r="AV133" s="3" t="str">
        <f t="shared" si="78"/>
        <v>CLEAN</v>
      </c>
      <c r="AW133" t="str">
        <f t="shared" si="79"/>
        <v>MATCH</v>
      </c>
      <c r="AX133" t="str">
        <f t="shared" si="80"/>
        <v>MATCH</v>
      </c>
    </row>
    <row r="134" spans="1:50" ht="15.6" hidden="1">
      <c r="A134" s="1" t="s">
        <v>1079</v>
      </c>
      <c r="B134" s="1">
        <f t="shared" si="54"/>
        <v>1</v>
      </c>
      <c r="C134" s="16">
        <v>45327</v>
      </c>
      <c r="D134" s="16">
        <v>45327</v>
      </c>
      <c r="E134" s="16" t="str">
        <f t="shared" si="73"/>
        <v>Feb</v>
      </c>
      <c r="F134" s="1">
        <f t="shared" si="74"/>
        <v>2024</v>
      </c>
      <c r="G134" t="s">
        <v>672</v>
      </c>
      <c r="H134" s="17">
        <v>45600</v>
      </c>
      <c r="I134" s="21">
        <f t="shared" si="75"/>
        <v>273</v>
      </c>
      <c r="J134" s="6" t="str">
        <f t="shared" si="76"/>
        <v>OK</v>
      </c>
      <c r="K134" s="1" t="s">
        <v>1081</v>
      </c>
      <c r="L134" s="1" t="s">
        <v>70</v>
      </c>
      <c r="M134" s="1" t="str">
        <f t="shared" si="55"/>
        <v>Ananya Rao</v>
      </c>
      <c r="N134" s="1" t="s">
        <v>104</v>
      </c>
      <c r="O134" s="1" t="str">
        <f t="shared" si="56"/>
        <v>Corporate</v>
      </c>
      <c r="P134" s="1" t="s">
        <v>26</v>
      </c>
      <c r="Q134" s="1" t="str">
        <f t="shared" si="57"/>
        <v>North</v>
      </c>
      <c r="R134" s="1" t="str">
        <f t="shared" si="58"/>
        <v>OK</v>
      </c>
      <c r="S134" s="1" t="s">
        <v>27</v>
      </c>
      <c r="T134" s="1" t="str">
        <f t="shared" si="59"/>
        <v>Rajasthan</v>
      </c>
      <c r="U134" s="1" t="s">
        <v>28</v>
      </c>
      <c r="V134" s="1" t="str">
        <f t="shared" si="60"/>
        <v>Jaipur</v>
      </c>
      <c r="W134" s="1" t="s">
        <v>1082</v>
      </c>
      <c r="X134" s="1" t="str">
        <f t="shared" si="61"/>
        <v>Office Supplies</v>
      </c>
      <c r="Y134" s="1" t="s">
        <v>105</v>
      </c>
      <c r="Z134" s="1" t="str">
        <f t="shared" si="62"/>
        <v>Labels</v>
      </c>
      <c r="AA134" s="1" t="s">
        <v>1083</v>
      </c>
      <c r="AB134" s="1" t="s">
        <v>55</v>
      </c>
      <c r="AC134" s="1" t="str">
        <f t="shared" si="63"/>
        <v>First Class</v>
      </c>
      <c r="AD134" s="1" t="str">
        <f t="shared" si="64"/>
        <v>OK</v>
      </c>
      <c r="AE134" s="1">
        <v>7</v>
      </c>
      <c r="AF134" s="1">
        <v>2183.38</v>
      </c>
      <c r="AG134" s="9">
        <v>0.25</v>
      </c>
      <c r="AH134" s="9">
        <f t="shared" si="65"/>
        <v>0.25</v>
      </c>
      <c r="AI134" s="1" t="str">
        <f t="shared" si="66"/>
        <v>OK</v>
      </c>
      <c r="AJ134" s="1">
        <v>11462.74</v>
      </c>
      <c r="AK134" s="1">
        <v>7163.54</v>
      </c>
      <c r="AL134" s="1">
        <v>4299.2</v>
      </c>
      <c r="AM134" s="13">
        <f t="shared" si="67"/>
        <v>11462.744999999999</v>
      </c>
      <c r="AN134" s="9">
        <f t="shared" si="68"/>
        <v>4299.204999999999</v>
      </c>
      <c r="AO134" s="9">
        <f t="shared" si="77"/>
        <v>0.37505894094302888</v>
      </c>
      <c r="AP134" s="1" t="s">
        <v>119</v>
      </c>
      <c r="AQ134" s="1" t="str">
        <f t="shared" si="69"/>
        <v>Refunded</v>
      </c>
      <c r="AR134" s="1" t="str">
        <f t="shared" si="70"/>
        <v>REFUNDED_PAYMENT</v>
      </c>
      <c r="AS134" s="1" t="s">
        <v>76</v>
      </c>
      <c r="AT134" s="4" t="str">
        <f t="shared" si="71"/>
        <v>Cancelled</v>
      </c>
      <c r="AU134" s="3" t="str">
        <f t="shared" si="72"/>
        <v>EXCLUDE_FROM_SALES</v>
      </c>
      <c r="AV134" s="3" t="str">
        <f t="shared" si="78"/>
        <v>CLEAN</v>
      </c>
      <c r="AW134" t="str">
        <f t="shared" si="79"/>
        <v>MISMATCH</v>
      </c>
      <c r="AX134" t="str">
        <f t="shared" si="80"/>
        <v>MISMATCH</v>
      </c>
    </row>
    <row r="135" spans="1:50" ht="15.6" hidden="1">
      <c r="A135" s="1" t="s">
        <v>1088</v>
      </c>
      <c r="B135" s="1">
        <f t="shared" si="54"/>
        <v>1</v>
      </c>
      <c r="C135" s="16">
        <v>45579</v>
      </c>
      <c r="D135" s="16">
        <v>45579</v>
      </c>
      <c r="E135" s="16" t="str">
        <f t="shared" si="73"/>
        <v>Oct</v>
      </c>
      <c r="F135" s="1">
        <f t="shared" si="74"/>
        <v>2024</v>
      </c>
      <c r="G135" t="s">
        <v>676</v>
      </c>
      <c r="H135" s="17">
        <v>45644</v>
      </c>
      <c r="I135" s="21">
        <f t="shared" si="75"/>
        <v>65</v>
      </c>
      <c r="J135" s="6" t="str">
        <f t="shared" si="76"/>
        <v>OK</v>
      </c>
      <c r="K135" s="1" t="s">
        <v>1090</v>
      </c>
      <c r="L135" s="1" t="s">
        <v>80</v>
      </c>
      <c r="M135" s="1" t="str">
        <f t="shared" si="55"/>
        <v>Vikram Iyer</v>
      </c>
      <c r="N135" s="1" t="s">
        <v>104</v>
      </c>
      <c r="O135" s="1" t="str">
        <f t="shared" si="56"/>
        <v>Corporate</v>
      </c>
      <c r="P135" s="1" t="s">
        <v>60</v>
      </c>
      <c r="Q135" s="1" t="str">
        <f t="shared" si="57"/>
        <v>South</v>
      </c>
      <c r="R135" s="1" t="str">
        <f t="shared" si="58"/>
        <v>OK</v>
      </c>
      <c r="S135" s="1" t="s">
        <v>212</v>
      </c>
      <c r="T135" s="1" t="str">
        <f t="shared" si="59"/>
        <v>Karnataka</v>
      </c>
      <c r="U135" s="1" t="s">
        <v>213</v>
      </c>
      <c r="V135" s="1" t="str">
        <f t="shared" si="60"/>
        <v>Bengaluru</v>
      </c>
      <c r="W135" s="1" t="s">
        <v>44</v>
      </c>
      <c r="X135" s="1" t="str">
        <f t="shared" si="61"/>
        <v>Furniture</v>
      </c>
      <c r="Y135" s="1" t="s">
        <v>190</v>
      </c>
      <c r="Z135" s="1" t="str">
        <f t="shared" si="62"/>
        <v>Bookcases</v>
      </c>
      <c r="AA135" s="1" t="s">
        <v>1091</v>
      </c>
      <c r="AB135" s="1"/>
      <c r="AC135" s="1" t="str">
        <f t="shared" si="63"/>
        <v>Unknown</v>
      </c>
      <c r="AD135" s="1" t="str">
        <f t="shared" si="64"/>
        <v>MISSING_SHIP_MODE</v>
      </c>
      <c r="AE135" s="1">
        <v>8</v>
      </c>
      <c r="AF135" s="1">
        <v>3904.59</v>
      </c>
      <c r="AG135" s="9">
        <v>0</v>
      </c>
      <c r="AH135" s="9">
        <f t="shared" si="65"/>
        <v>0</v>
      </c>
      <c r="AI135" s="1" t="str">
        <f t="shared" si="66"/>
        <v>OK</v>
      </c>
      <c r="AJ135" s="1">
        <v>31236.720000000001</v>
      </c>
      <c r="AK135" s="1">
        <v>26377.7</v>
      </c>
      <c r="AL135" s="1">
        <v>4859.0200000000004</v>
      </c>
      <c r="AM135" s="13">
        <f t="shared" si="67"/>
        <v>31236.720000000001</v>
      </c>
      <c r="AN135" s="9">
        <f t="shared" si="68"/>
        <v>4859.0200000000004</v>
      </c>
      <c r="AO135" s="9">
        <f t="shared" si="77"/>
        <v>0.15555474454424154</v>
      </c>
      <c r="AP135" s="1" t="s">
        <v>33</v>
      </c>
      <c r="AQ135" s="1" t="str">
        <f t="shared" si="69"/>
        <v>Paid</v>
      </c>
      <c r="AR135" s="1" t="str">
        <f t="shared" si="70"/>
        <v>OK</v>
      </c>
      <c r="AS135" s="1" t="s">
        <v>34</v>
      </c>
      <c r="AT135" s="4" t="str">
        <f t="shared" si="71"/>
        <v>Completed</v>
      </c>
      <c r="AU135" s="3" t="str">
        <f t="shared" si="72"/>
        <v>OK</v>
      </c>
      <c r="AV135" s="3" t="str">
        <f t="shared" si="78"/>
        <v>WARNING</v>
      </c>
      <c r="AW135" t="str">
        <f t="shared" si="79"/>
        <v>MATCH</v>
      </c>
      <c r="AX135" t="str">
        <f t="shared" si="80"/>
        <v>MATCH</v>
      </c>
    </row>
    <row r="136" spans="1:50" ht="15.6" hidden="1">
      <c r="A136" s="1" t="s">
        <v>1092</v>
      </c>
      <c r="B136" s="1">
        <f t="shared" si="54"/>
        <v>1</v>
      </c>
      <c r="C136" s="16">
        <v>45331</v>
      </c>
      <c r="D136" s="16">
        <v>45331</v>
      </c>
      <c r="E136" s="16" t="str">
        <f t="shared" si="73"/>
        <v>Feb</v>
      </c>
      <c r="F136" s="1">
        <f t="shared" si="74"/>
        <v>2024</v>
      </c>
      <c r="G136" t="s">
        <v>680</v>
      </c>
      <c r="H136" s="17">
        <v>45852</v>
      </c>
      <c r="I136" s="21">
        <f t="shared" si="75"/>
        <v>521</v>
      </c>
      <c r="J136" s="6" t="str">
        <f t="shared" si="76"/>
        <v>OK</v>
      </c>
      <c r="K136" s="1" t="s">
        <v>1094</v>
      </c>
      <c r="L136" s="1" t="s">
        <v>334</v>
      </c>
      <c r="M136" s="1" t="str">
        <f t="shared" si="55"/>
        <v>Kabir Singh</v>
      </c>
      <c r="N136" s="1" t="s">
        <v>110</v>
      </c>
      <c r="O136" s="1" t="str">
        <f t="shared" si="56"/>
        <v>Home Office</v>
      </c>
      <c r="P136" s="1" t="s">
        <v>26</v>
      </c>
      <c r="Q136" s="1" t="str">
        <f t="shared" si="57"/>
        <v>North</v>
      </c>
      <c r="R136" s="1" t="str">
        <f t="shared" si="58"/>
        <v>OK</v>
      </c>
      <c r="S136" s="1" t="s">
        <v>454</v>
      </c>
      <c r="T136" s="1" t="str">
        <f t="shared" si="59"/>
        <v>Delhi</v>
      </c>
      <c r="U136" s="1" t="s">
        <v>455</v>
      </c>
      <c r="V136" s="1" t="str">
        <f t="shared" si="60"/>
        <v>New Delhi</v>
      </c>
      <c r="W136" s="1" t="s">
        <v>44</v>
      </c>
      <c r="X136" s="1" t="str">
        <f t="shared" si="61"/>
        <v>Furniture</v>
      </c>
      <c r="Y136" s="1" t="s">
        <v>63</v>
      </c>
      <c r="Z136" s="1" t="str">
        <f t="shared" si="62"/>
        <v>Furnishings</v>
      </c>
      <c r="AA136" s="1" t="s">
        <v>1095</v>
      </c>
      <c r="AB136" s="1" t="s">
        <v>55</v>
      </c>
      <c r="AC136" s="1" t="str">
        <f t="shared" si="63"/>
        <v>First Class</v>
      </c>
      <c r="AD136" s="1" t="str">
        <f t="shared" si="64"/>
        <v>OK</v>
      </c>
      <c r="AE136" s="1">
        <v>9</v>
      </c>
      <c r="AF136" s="1">
        <v>1353.61</v>
      </c>
      <c r="AG136" s="9">
        <v>0.1</v>
      </c>
      <c r="AH136" s="9">
        <f t="shared" si="65"/>
        <v>0.1</v>
      </c>
      <c r="AI136" s="1" t="str">
        <f t="shared" si="66"/>
        <v>OK</v>
      </c>
      <c r="AJ136" s="1">
        <v>10964.24</v>
      </c>
      <c r="AK136" s="1">
        <v>9262.4699999999993</v>
      </c>
      <c r="AL136" s="1">
        <v>1701.77</v>
      </c>
      <c r="AM136" s="13">
        <f t="shared" si="67"/>
        <v>10964.241</v>
      </c>
      <c r="AN136" s="9">
        <f t="shared" si="68"/>
        <v>1701.7710000000006</v>
      </c>
      <c r="AO136" s="9">
        <f t="shared" si="77"/>
        <v>0.15521101734265058</v>
      </c>
      <c r="AP136" s="1" t="s">
        <v>33</v>
      </c>
      <c r="AQ136" s="1" t="str">
        <f t="shared" si="69"/>
        <v>Paid</v>
      </c>
      <c r="AR136" s="1" t="str">
        <f t="shared" si="70"/>
        <v>OK</v>
      </c>
      <c r="AS136" s="1" t="s">
        <v>34</v>
      </c>
      <c r="AT136" s="4" t="str">
        <f t="shared" si="71"/>
        <v>Completed</v>
      </c>
      <c r="AU136" s="3" t="str">
        <f t="shared" si="72"/>
        <v>OK</v>
      </c>
      <c r="AV136" s="3" t="str">
        <f t="shared" si="78"/>
        <v>CLEAN</v>
      </c>
      <c r="AW136" t="str">
        <f t="shared" si="79"/>
        <v>MATCH</v>
      </c>
      <c r="AX136" t="str">
        <f t="shared" si="80"/>
        <v>MATCH</v>
      </c>
    </row>
    <row r="137" spans="1:50" ht="15.6" hidden="1">
      <c r="A137" s="1" t="s">
        <v>1096</v>
      </c>
      <c r="B137" s="1">
        <f t="shared" si="54"/>
        <v>1</v>
      </c>
      <c r="C137" s="16">
        <v>45333</v>
      </c>
      <c r="D137" s="16">
        <v>45333</v>
      </c>
      <c r="E137" s="16" t="str">
        <f t="shared" si="73"/>
        <v>Feb</v>
      </c>
      <c r="F137" s="1">
        <f t="shared" si="74"/>
        <v>2024</v>
      </c>
      <c r="G137" t="s">
        <v>684</v>
      </c>
      <c r="H137" s="17">
        <v>45893</v>
      </c>
      <c r="I137" s="21">
        <f t="shared" si="75"/>
        <v>560</v>
      </c>
      <c r="J137" s="6" t="str">
        <f t="shared" si="76"/>
        <v>OK</v>
      </c>
      <c r="K137" s="1" t="s">
        <v>1098</v>
      </c>
      <c r="L137" s="1" t="s">
        <v>141</v>
      </c>
      <c r="M137" s="1" t="str">
        <f t="shared" si="55"/>
        <v>Rahul Verma</v>
      </c>
      <c r="N137" s="1" t="s">
        <v>40</v>
      </c>
      <c r="O137" s="1" t="str">
        <f t="shared" si="56"/>
        <v>Small Business</v>
      </c>
      <c r="P137" s="1" t="s">
        <v>71</v>
      </c>
      <c r="Q137" s="1" t="str">
        <f t="shared" si="57"/>
        <v>West</v>
      </c>
      <c r="R137" s="1" t="str">
        <f t="shared" si="58"/>
        <v>OK</v>
      </c>
      <c r="S137" s="1" t="s">
        <v>27</v>
      </c>
      <c r="T137" s="1" t="str">
        <f t="shared" si="59"/>
        <v>Rajasthan</v>
      </c>
      <c r="U137" s="1" t="s">
        <v>129</v>
      </c>
      <c r="V137" s="1" t="str">
        <f t="shared" si="60"/>
        <v>Udaipur</v>
      </c>
      <c r="W137" s="1" t="s">
        <v>29</v>
      </c>
      <c r="X137" s="1" t="str">
        <f t="shared" si="61"/>
        <v>Office Supplies</v>
      </c>
      <c r="Y137" s="1" t="s">
        <v>148</v>
      </c>
      <c r="Z137" s="1" t="str">
        <f t="shared" si="62"/>
        <v>Storage</v>
      </c>
      <c r="AA137" s="1" t="s">
        <v>1099</v>
      </c>
      <c r="AB137" s="1" t="s">
        <v>65</v>
      </c>
      <c r="AC137" s="1" t="str">
        <f t="shared" si="63"/>
        <v>Standard Class</v>
      </c>
      <c r="AD137" s="1" t="str">
        <f t="shared" si="64"/>
        <v>OK</v>
      </c>
      <c r="AE137" s="1">
        <v>6</v>
      </c>
      <c r="AF137" s="1">
        <v>2671.29</v>
      </c>
      <c r="AG137" s="9">
        <v>0.05</v>
      </c>
      <c r="AH137" s="9">
        <f t="shared" si="65"/>
        <v>0.05</v>
      </c>
      <c r="AI137" s="1" t="str">
        <f t="shared" si="66"/>
        <v>OK</v>
      </c>
      <c r="AJ137" s="1">
        <v>15226.35</v>
      </c>
      <c r="AK137" s="1">
        <v>11145.28</v>
      </c>
      <c r="AL137" s="1">
        <v>4081.07</v>
      </c>
      <c r="AM137" s="13">
        <f t="shared" si="67"/>
        <v>15226.352999999999</v>
      </c>
      <c r="AN137" s="9">
        <f t="shared" si="68"/>
        <v>4081.0729999999985</v>
      </c>
      <c r="AO137" s="9">
        <f t="shared" si="77"/>
        <v>0.26802695300706603</v>
      </c>
      <c r="AP137" s="1" t="s">
        <v>33</v>
      </c>
      <c r="AQ137" s="1" t="str">
        <f t="shared" si="69"/>
        <v>Paid</v>
      </c>
      <c r="AR137" s="1" t="str">
        <f t="shared" si="70"/>
        <v>OK</v>
      </c>
      <c r="AS137" s="1" t="s">
        <v>34</v>
      </c>
      <c r="AT137" s="4" t="str">
        <f t="shared" si="71"/>
        <v>Completed</v>
      </c>
      <c r="AU137" s="3" t="str">
        <f t="shared" si="72"/>
        <v>OK</v>
      </c>
      <c r="AV137" s="3" t="str">
        <f t="shared" si="78"/>
        <v>CLEAN</v>
      </c>
      <c r="AW137" t="str">
        <f t="shared" si="79"/>
        <v>MATCH</v>
      </c>
      <c r="AX137" t="str">
        <f t="shared" si="80"/>
        <v>MATCH</v>
      </c>
    </row>
    <row r="138" spans="1:50" ht="15.6" hidden="1">
      <c r="A138" s="1" t="s">
        <v>1100</v>
      </c>
      <c r="B138" s="1">
        <f t="shared" si="54"/>
        <v>1</v>
      </c>
      <c r="C138" s="16">
        <v>45579</v>
      </c>
      <c r="D138" s="16">
        <v>45579</v>
      </c>
      <c r="E138" s="16" t="str">
        <f t="shared" si="73"/>
        <v>Oct</v>
      </c>
      <c r="F138" s="1">
        <f t="shared" si="74"/>
        <v>2024</v>
      </c>
      <c r="G138" t="s">
        <v>688</v>
      </c>
      <c r="H138" s="17">
        <v>45703</v>
      </c>
      <c r="I138" s="21">
        <f t="shared" si="75"/>
        <v>124</v>
      </c>
      <c r="J138" s="6" t="str">
        <f t="shared" si="76"/>
        <v>OK</v>
      </c>
      <c r="K138" s="1" t="s">
        <v>1102</v>
      </c>
      <c r="L138" s="1" t="s">
        <v>136</v>
      </c>
      <c r="M138" s="1" t="str">
        <f t="shared" si="55"/>
        <v>Priya Menon</v>
      </c>
      <c r="N138" s="1" t="s">
        <v>104</v>
      </c>
      <c r="O138" s="1" t="str">
        <f t="shared" si="56"/>
        <v>Corporate</v>
      </c>
      <c r="P138" s="1" t="s">
        <v>26</v>
      </c>
      <c r="Q138" s="1" t="str">
        <f t="shared" si="57"/>
        <v>North</v>
      </c>
      <c r="R138" s="1" t="str">
        <f t="shared" si="58"/>
        <v>OK</v>
      </c>
      <c r="S138" s="1" t="s">
        <v>163</v>
      </c>
      <c r="T138" s="1" t="str">
        <f t="shared" si="59"/>
        <v>Uttar Pradesh</v>
      </c>
      <c r="U138" s="1" t="s">
        <v>164</v>
      </c>
      <c r="V138" s="1" t="str">
        <f t="shared" si="60"/>
        <v>Noida</v>
      </c>
      <c r="W138" s="1" t="s">
        <v>44</v>
      </c>
      <c r="X138" s="1" t="str">
        <f t="shared" si="61"/>
        <v>Furniture</v>
      </c>
      <c r="Y138" s="1" t="s">
        <v>190</v>
      </c>
      <c r="Z138" s="1" t="str">
        <f t="shared" si="62"/>
        <v>Bookcases</v>
      </c>
      <c r="AA138" s="1" t="s">
        <v>1103</v>
      </c>
      <c r="AB138" s="1" t="s">
        <v>55</v>
      </c>
      <c r="AC138" s="1" t="str">
        <f t="shared" si="63"/>
        <v>First Class</v>
      </c>
      <c r="AD138" s="1" t="str">
        <f t="shared" si="64"/>
        <v>OK</v>
      </c>
      <c r="AE138" s="1">
        <v>6</v>
      </c>
      <c r="AF138" s="1">
        <v>4062.78</v>
      </c>
      <c r="AG138" s="9">
        <v>0</v>
      </c>
      <c r="AH138" s="9">
        <f t="shared" si="65"/>
        <v>0</v>
      </c>
      <c r="AI138" s="1" t="str">
        <f t="shared" si="66"/>
        <v>OK</v>
      </c>
      <c r="AJ138" s="1">
        <v>24376.68</v>
      </c>
      <c r="AK138" s="1">
        <v>18533.39</v>
      </c>
      <c r="AL138" s="1">
        <v>5843.29</v>
      </c>
      <c r="AM138" s="13">
        <f t="shared" si="67"/>
        <v>24376.68</v>
      </c>
      <c r="AN138" s="9">
        <f t="shared" si="68"/>
        <v>5843.2900000000009</v>
      </c>
      <c r="AO138" s="9">
        <f t="shared" si="77"/>
        <v>0.23970819652224998</v>
      </c>
      <c r="AP138" s="1" t="s">
        <v>33</v>
      </c>
      <c r="AQ138" s="1" t="str">
        <f t="shared" si="69"/>
        <v>Paid</v>
      </c>
      <c r="AR138" s="1" t="str">
        <f t="shared" si="70"/>
        <v>OK</v>
      </c>
      <c r="AS138" s="1" t="s">
        <v>34</v>
      </c>
      <c r="AT138" s="4" t="str">
        <f t="shared" si="71"/>
        <v>Completed</v>
      </c>
      <c r="AU138" s="3" t="str">
        <f t="shared" si="72"/>
        <v>OK</v>
      </c>
      <c r="AV138" s="3" t="str">
        <f t="shared" si="78"/>
        <v>CLEAN</v>
      </c>
      <c r="AW138" t="str">
        <f t="shared" si="79"/>
        <v>MATCH</v>
      </c>
      <c r="AX138" t="str">
        <f t="shared" si="80"/>
        <v>MATCH</v>
      </c>
    </row>
    <row r="139" spans="1:50" ht="15.6" hidden="1">
      <c r="A139" s="1" t="s">
        <v>1104</v>
      </c>
      <c r="B139" s="1">
        <f t="shared" si="54"/>
        <v>1</v>
      </c>
      <c r="C139" s="16">
        <v>45531</v>
      </c>
      <c r="D139" s="16">
        <v>45531</v>
      </c>
      <c r="E139" s="16" t="str">
        <f t="shared" si="73"/>
        <v>Aug</v>
      </c>
      <c r="F139" s="1">
        <f t="shared" si="74"/>
        <v>2024</v>
      </c>
      <c r="G139" t="s">
        <v>693</v>
      </c>
      <c r="H139" s="17">
        <v>45666</v>
      </c>
      <c r="I139" s="21">
        <f t="shared" si="75"/>
        <v>135</v>
      </c>
      <c r="J139" s="6" t="str">
        <f t="shared" si="76"/>
        <v>OK</v>
      </c>
      <c r="K139" s="1" t="s">
        <v>1106</v>
      </c>
      <c r="L139" s="1" t="s">
        <v>39</v>
      </c>
      <c r="M139" s="1" t="str">
        <f t="shared" si="55"/>
        <v>Mira Das</v>
      </c>
      <c r="N139" s="1" t="s">
        <v>25</v>
      </c>
      <c r="O139" s="1" t="str">
        <f t="shared" si="56"/>
        <v>Consumer</v>
      </c>
      <c r="P139" s="1" t="s">
        <v>26</v>
      </c>
      <c r="Q139" s="1" t="str">
        <f t="shared" si="57"/>
        <v>North</v>
      </c>
      <c r="R139" s="1" t="str">
        <f t="shared" si="58"/>
        <v>OK</v>
      </c>
      <c r="S139" s="1" t="s">
        <v>294</v>
      </c>
      <c r="T139" s="1" t="str">
        <f t="shared" si="59"/>
        <v>Haryana</v>
      </c>
      <c r="U139" s="1" t="s">
        <v>295</v>
      </c>
      <c r="V139" s="1" t="str">
        <f t="shared" si="60"/>
        <v>Gurugram</v>
      </c>
      <c r="W139" s="1" t="s">
        <v>83</v>
      </c>
      <c r="X139" s="1" t="str">
        <f t="shared" si="61"/>
        <v>Technology</v>
      </c>
      <c r="Y139" s="1" t="s">
        <v>91</v>
      </c>
      <c r="Z139" s="1" t="str">
        <f t="shared" si="62"/>
        <v>Copiers</v>
      </c>
      <c r="AA139" s="1" t="s">
        <v>1107</v>
      </c>
      <c r="AB139" s="1" t="s">
        <v>65</v>
      </c>
      <c r="AC139" s="1" t="str">
        <f t="shared" si="63"/>
        <v>Standard Class</v>
      </c>
      <c r="AD139" s="1" t="str">
        <f t="shared" si="64"/>
        <v>OK</v>
      </c>
      <c r="AE139" s="1">
        <v>9</v>
      </c>
      <c r="AF139" s="1">
        <v>2330.3000000000002</v>
      </c>
      <c r="AG139" s="9">
        <v>0</v>
      </c>
      <c r="AH139" s="9">
        <f t="shared" si="65"/>
        <v>0</v>
      </c>
      <c r="AI139" s="1" t="str">
        <f t="shared" si="66"/>
        <v>OK</v>
      </c>
      <c r="AJ139" s="1">
        <v>20972.7</v>
      </c>
      <c r="AK139" s="1">
        <v>13504.88</v>
      </c>
      <c r="AL139" s="1">
        <v>7467.82</v>
      </c>
      <c r="AM139" s="13">
        <f t="shared" si="67"/>
        <v>20972.7</v>
      </c>
      <c r="AN139" s="9">
        <f t="shared" si="68"/>
        <v>7467.8200000000015</v>
      </c>
      <c r="AO139" s="9">
        <f t="shared" si="77"/>
        <v>0.35607337157352181</v>
      </c>
      <c r="AP139" s="1" t="s">
        <v>33</v>
      </c>
      <c r="AQ139" s="1" t="str">
        <f t="shared" si="69"/>
        <v>Paid</v>
      </c>
      <c r="AR139" s="1" t="str">
        <f t="shared" si="70"/>
        <v>OK</v>
      </c>
      <c r="AS139" s="1" t="s">
        <v>34</v>
      </c>
      <c r="AT139" s="4" t="str">
        <f t="shared" si="71"/>
        <v>Completed</v>
      </c>
      <c r="AU139" s="3" t="str">
        <f t="shared" si="72"/>
        <v>OK</v>
      </c>
      <c r="AV139" s="3" t="str">
        <f t="shared" si="78"/>
        <v>CLEAN</v>
      </c>
      <c r="AW139" t="str">
        <f t="shared" si="79"/>
        <v>MATCH</v>
      </c>
      <c r="AX139" t="str">
        <f t="shared" si="80"/>
        <v>MATCH</v>
      </c>
    </row>
    <row r="140" spans="1:50" ht="15.6">
      <c r="A140" s="1" t="s">
        <v>1108</v>
      </c>
      <c r="B140" s="1">
        <f t="shared" si="54"/>
        <v>1</v>
      </c>
      <c r="C140" s="16">
        <v>45627</v>
      </c>
      <c r="D140" s="16">
        <v>45627</v>
      </c>
      <c r="E140" s="16" t="str">
        <f t="shared" si="73"/>
        <v>Dec</v>
      </c>
      <c r="F140" s="1">
        <f t="shared" si="74"/>
        <v>2024</v>
      </c>
      <c r="G140" t="s">
        <v>697</v>
      </c>
      <c r="H140" s="17">
        <v>45317</v>
      </c>
      <c r="I140" s="21">
        <f t="shared" si="75"/>
        <v>-310</v>
      </c>
      <c r="J140" s="6" t="str">
        <f t="shared" si="76"/>
        <v>INVALID_SHIPPING</v>
      </c>
      <c r="K140" s="1" t="s">
        <v>1110</v>
      </c>
      <c r="L140" s="1" t="s">
        <v>59</v>
      </c>
      <c r="M140" s="1" t="str">
        <f t="shared" si="55"/>
        <v>Arjun Bose</v>
      </c>
      <c r="N140" s="1" t="s">
        <v>25</v>
      </c>
      <c r="O140" s="1" t="str">
        <f t="shared" si="56"/>
        <v>Consumer</v>
      </c>
      <c r="P140" s="1" t="s">
        <v>60</v>
      </c>
      <c r="Q140" s="1" t="str">
        <f t="shared" si="57"/>
        <v>South</v>
      </c>
      <c r="R140" s="1" t="str">
        <f t="shared" si="58"/>
        <v>OK</v>
      </c>
      <c r="S140" s="1" t="s">
        <v>97</v>
      </c>
      <c r="T140" s="1" t="str">
        <f t="shared" si="59"/>
        <v>Andhra Pradesh</v>
      </c>
      <c r="U140" s="1" t="s">
        <v>98</v>
      </c>
      <c r="V140" s="1" t="str">
        <f t="shared" si="60"/>
        <v>Vijayawada</v>
      </c>
      <c r="W140" s="1" t="s">
        <v>29</v>
      </c>
      <c r="X140" s="1" t="str">
        <f t="shared" si="61"/>
        <v>Office Supplies</v>
      </c>
      <c r="Y140" s="1" t="s">
        <v>148</v>
      </c>
      <c r="Z140" s="1" t="str">
        <f t="shared" si="62"/>
        <v>Storage</v>
      </c>
      <c r="AA140" s="1" t="s">
        <v>1111</v>
      </c>
      <c r="AB140" s="1" t="s">
        <v>55</v>
      </c>
      <c r="AC140" s="1" t="str">
        <f t="shared" si="63"/>
        <v>First Class</v>
      </c>
      <c r="AD140" s="1" t="str">
        <f t="shared" si="64"/>
        <v>OK</v>
      </c>
      <c r="AE140" s="1">
        <v>7</v>
      </c>
      <c r="AF140" s="1">
        <v>4005.05</v>
      </c>
      <c r="AG140" s="9">
        <v>0.55000000000000004</v>
      </c>
      <c r="AH140" s="9">
        <f t="shared" si="65"/>
        <v>0.55000000000000004</v>
      </c>
      <c r="AI140" s="1" t="str">
        <f t="shared" si="66"/>
        <v>OK</v>
      </c>
      <c r="AJ140" s="1">
        <v>26633.58</v>
      </c>
      <c r="AK140" s="1">
        <v>18838.75</v>
      </c>
      <c r="AL140" s="1">
        <v>7794.83</v>
      </c>
      <c r="AM140" s="13">
        <f t="shared" si="67"/>
        <v>12615.907499999999</v>
      </c>
      <c r="AN140" s="9">
        <f t="shared" si="68"/>
        <v>-6222.8425000000007</v>
      </c>
      <c r="AO140" s="9">
        <f t="shared" si="77"/>
        <v>-0.4932536561480021</v>
      </c>
      <c r="AP140" s="1" t="s">
        <v>33</v>
      </c>
      <c r="AQ140" s="1" t="str">
        <f t="shared" si="69"/>
        <v>Paid</v>
      </c>
      <c r="AR140" s="1" t="str">
        <f t="shared" si="70"/>
        <v>OK</v>
      </c>
      <c r="AS140" s="1" t="s">
        <v>34</v>
      </c>
      <c r="AT140" s="4" t="str">
        <f t="shared" si="71"/>
        <v>Completed</v>
      </c>
      <c r="AU140" s="3" t="str">
        <f t="shared" si="72"/>
        <v>OK</v>
      </c>
      <c r="AV140" s="3" t="str">
        <f t="shared" si="78"/>
        <v>INVALID</v>
      </c>
      <c r="AW140" t="str">
        <f t="shared" si="79"/>
        <v>MISMATCH</v>
      </c>
      <c r="AX140" t="str">
        <f t="shared" si="80"/>
        <v>MISMATCH</v>
      </c>
    </row>
    <row r="141" spans="1:50" ht="15.6" hidden="1">
      <c r="A141" s="1" t="s">
        <v>1112</v>
      </c>
      <c r="B141" s="1">
        <f t="shared" si="54"/>
        <v>1</v>
      </c>
      <c r="C141" s="16">
        <v>45556</v>
      </c>
      <c r="D141" s="16">
        <v>45556</v>
      </c>
      <c r="E141" s="16" t="str">
        <f t="shared" si="73"/>
        <v>Sep</v>
      </c>
      <c r="F141" s="1">
        <f t="shared" si="74"/>
        <v>2024</v>
      </c>
      <c r="G141" t="s">
        <v>701</v>
      </c>
      <c r="H141" s="17">
        <v>45841</v>
      </c>
      <c r="I141" s="21">
        <f t="shared" si="75"/>
        <v>285</v>
      </c>
      <c r="J141" s="6" t="str">
        <f t="shared" si="76"/>
        <v>OK</v>
      </c>
      <c r="K141" s="1" t="s">
        <v>1113</v>
      </c>
      <c r="L141" s="1" t="s">
        <v>334</v>
      </c>
      <c r="M141" s="1" t="str">
        <f t="shared" si="55"/>
        <v>Kabir Singh</v>
      </c>
      <c r="N141" s="1" t="s">
        <v>104</v>
      </c>
      <c r="O141" s="1" t="str">
        <f t="shared" si="56"/>
        <v>Corporate</v>
      </c>
      <c r="P141" s="1" t="s">
        <v>60</v>
      </c>
      <c r="Q141" s="1" t="str">
        <f t="shared" si="57"/>
        <v>South</v>
      </c>
      <c r="R141" s="1" t="str">
        <f t="shared" si="58"/>
        <v>OK</v>
      </c>
      <c r="S141" s="1" t="s">
        <v>212</v>
      </c>
      <c r="T141" s="1" t="str">
        <f t="shared" si="59"/>
        <v>Karnataka</v>
      </c>
      <c r="U141" s="1" t="s">
        <v>213</v>
      </c>
      <c r="V141" s="1" t="str">
        <f t="shared" si="60"/>
        <v>Bengaluru</v>
      </c>
      <c r="W141" s="1" t="s">
        <v>83</v>
      </c>
      <c r="X141" s="1" t="str">
        <f t="shared" si="61"/>
        <v>Technology</v>
      </c>
      <c r="Y141" s="1" t="s">
        <v>347</v>
      </c>
      <c r="Z141" s="1" t="str">
        <f t="shared" si="62"/>
        <v>Machines</v>
      </c>
      <c r="AA141" s="1" t="s">
        <v>1114</v>
      </c>
      <c r="AB141" s="1" t="s">
        <v>55</v>
      </c>
      <c r="AC141" s="1" t="str">
        <f t="shared" si="63"/>
        <v>First Class</v>
      </c>
      <c r="AD141" s="1" t="str">
        <f t="shared" si="64"/>
        <v>OK</v>
      </c>
      <c r="AE141" s="1">
        <v>2</v>
      </c>
      <c r="AF141" s="1">
        <v>1960.06</v>
      </c>
      <c r="AG141" s="9">
        <v>0.2</v>
      </c>
      <c r="AH141" s="9">
        <f t="shared" si="65"/>
        <v>0.2</v>
      </c>
      <c r="AI141" s="1" t="str">
        <f t="shared" si="66"/>
        <v>OK</v>
      </c>
      <c r="AJ141" s="1">
        <v>3136.1</v>
      </c>
      <c r="AK141" s="1">
        <v>2279.4899999999998</v>
      </c>
      <c r="AL141" s="1">
        <v>856.61</v>
      </c>
      <c r="AM141" s="13">
        <f t="shared" si="67"/>
        <v>3136.096</v>
      </c>
      <c r="AN141" s="9">
        <f t="shared" si="68"/>
        <v>856.60600000000022</v>
      </c>
      <c r="AO141" s="9">
        <f t="shared" si="77"/>
        <v>0.273144061916472</v>
      </c>
      <c r="AP141" s="1" t="s">
        <v>33</v>
      </c>
      <c r="AQ141" s="1" t="str">
        <f t="shared" si="69"/>
        <v>Paid</v>
      </c>
      <c r="AR141" s="1" t="str">
        <f t="shared" si="70"/>
        <v>OK</v>
      </c>
      <c r="AS141" s="1" t="s">
        <v>34</v>
      </c>
      <c r="AT141" s="4" t="str">
        <f t="shared" si="71"/>
        <v>Completed</v>
      </c>
      <c r="AU141" s="3" t="str">
        <f t="shared" si="72"/>
        <v>OK</v>
      </c>
      <c r="AV141" s="3" t="str">
        <f t="shared" si="78"/>
        <v>CLEAN</v>
      </c>
      <c r="AW141" t="str">
        <f t="shared" si="79"/>
        <v>MATCH</v>
      </c>
      <c r="AX141" t="str">
        <f t="shared" si="80"/>
        <v>MATCH</v>
      </c>
    </row>
    <row r="142" spans="1:50" ht="15.6">
      <c r="A142" s="1" t="s">
        <v>1115</v>
      </c>
      <c r="B142" s="1">
        <f t="shared" si="54"/>
        <v>1</v>
      </c>
      <c r="C142" s="16">
        <v>45643</v>
      </c>
      <c r="D142" s="16">
        <v>45643</v>
      </c>
      <c r="E142" s="16" t="str">
        <f t="shared" si="73"/>
        <v>Dec</v>
      </c>
      <c r="F142" s="1">
        <f t="shared" si="74"/>
        <v>2024</v>
      </c>
      <c r="G142" t="s">
        <v>705</v>
      </c>
      <c r="H142" s="17">
        <v>45444</v>
      </c>
      <c r="I142" s="21">
        <f t="shared" si="75"/>
        <v>-199</v>
      </c>
      <c r="J142" s="6" t="str">
        <f t="shared" si="76"/>
        <v>INVALID_SHIPPING</v>
      </c>
      <c r="K142" s="1" t="s">
        <v>1116</v>
      </c>
      <c r="L142" s="1" t="s">
        <v>153</v>
      </c>
      <c r="M142" s="1" t="str">
        <f t="shared" si="55"/>
        <v>Aarav Sharma</v>
      </c>
      <c r="N142" s="1" t="s">
        <v>104</v>
      </c>
      <c r="O142" s="1" t="str">
        <f t="shared" si="56"/>
        <v>Corporate</v>
      </c>
      <c r="P142" s="1" t="s">
        <v>60</v>
      </c>
      <c r="Q142" s="1" t="str">
        <f t="shared" si="57"/>
        <v>South</v>
      </c>
      <c r="R142" s="1" t="str">
        <f t="shared" si="58"/>
        <v>OK</v>
      </c>
      <c r="S142" s="1" t="s">
        <v>61</v>
      </c>
      <c r="T142" s="1" t="str">
        <f t="shared" si="59"/>
        <v>Telangana</v>
      </c>
      <c r="U142" s="1" t="s">
        <v>62</v>
      </c>
      <c r="V142" s="1" t="str">
        <f t="shared" si="60"/>
        <v>Hyderabad</v>
      </c>
      <c r="W142" s="1" t="s">
        <v>29</v>
      </c>
      <c r="X142" s="1" t="str">
        <f t="shared" si="61"/>
        <v>Office Supplies</v>
      </c>
      <c r="Y142" s="1" t="s">
        <v>184</v>
      </c>
      <c r="Z142" s="1" t="str">
        <f t="shared" si="62"/>
        <v>Binders</v>
      </c>
      <c r="AA142" s="1" t="s">
        <v>1117</v>
      </c>
      <c r="AB142" s="1" t="s">
        <v>55</v>
      </c>
      <c r="AC142" s="1" t="str">
        <f t="shared" si="63"/>
        <v>First Class</v>
      </c>
      <c r="AD142" s="1" t="str">
        <f t="shared" si="64"/>
        <v>OK</v>
      </c>
      <c r="AE142" s="1">
        <v>9</v>
      </c>
      <c r="AF142" s="1">
        <v>2315.1</v>
      </c>
      <c r="AG142" s="9">
        <v>0</v>
      </c>
      <c r="AH142" s="9">
        <f t="shared" si="65"/>
        <v>0</v>
      </c>
      <c r="AI142" s="1" t="str">
        <f t="shared" si="66"/>
        <v>OK</v>
      </c>
      <c r="AJ142" s="1">
        <v>20835.900000000001</v>
      </c>
      <c r="AK142" s="1">
        <v>13928.19</v>
      </c>
      <c r="AL142" s="1">
        <v>6907.71</v>
      </c>
      <c r="AM142" s="13">
        <f t="shared" si="67"/>
        <v>20835.899999999998</v>
      </c>
      <c r="AN142" s="9">
        <f t="shared" si="68"/>
        <v>6907.7099999999973</v>
      </c>
      <c r="AO142" s="9">
        <f t="shared" si="77"/>
        <v>0.33152923559817421</v>
      </c>
      <c r="AP142" s="1" t="s">
        <v>33</v>
      </c>
      <c r="AQ142" s="1" t="str">
        <f t="shared" si="69"/>
        <v>Paid</v>
      </c>
      <c r="AR142" s="1" t="str">
        <f t="shared" si="70"/>
        <v>OK</v>
      </c>
      <c r="AS142" s="1" t="s">
        <v>34</v>
      </c>
      <c r="AT142" s="4" t="str">
        <f t="shared" si="71"/>
        <v>Completed</v>
      </c>
      <c r="AU142" s="3" t="str">
        <f t="shared" si="72"/>
        <v>OK</v>
      </c>
      <c r="AV142" s="3" t="str">
        <f t="shared" si="78"/>
        <v>INVALID</v>
      </c>
      <c r="AW142" t="str">
        <f t="shared" si="79"/>
        <v>MATCH</v>
      </c>
      <c r="AX142" t="str">
        <f t="shared" si="80"/>
        <v>MATCH</v>
      </c>
    </row>
    <row r="143" spans="1:50" ht="15.6">
      <c r="A143" s="1" t="s">
        <v>1130</v>
      </c>
      <c r="B143" s="1">
        <f t="shared" si="54"/>
        <v>1</v>
      </c>
      <c r="C143" s="16">
        <v>45527</v>
      </c>
      <c r="D143" s="16">
        <v>45527</v>
      </c>
      <c r="E143" s="16" t="str">
        <f t="shared" si="73"/>
        <v>Aug</v>
      </c>
      <c r="F143" s="1">
        <f t="shared" si="74"/>
        <v>2024</v>
      </c>
      <c r="G143" t="s">
        <v>709</v>
      </c>
      <c r="H143" s="17">
        <v>45380</v>
      </c>
      <c r="I143" s="21">
        <f t="shared" si="75"/>
        <v>-147</v>
      </c>
      <c r="J143" s="6" t="str">
        <f t="shared" si="76"/>
        <v>INVALID_SHIPPING</v>
      </c>
      <c r="K143" s="1" t="s">
        <v>1132</v>
      </c>
      <c r="L143" s="1" t="s">
        <v>90</v>
      </c>
      <c r="M143" s="1" t="str">
        <f t="shared" si="55"/>
        <v>Neha Gupta</v>
      </c>
      <c r="N143" s="1" t="s">
        <v>25</v>
      </c>
      <c r="O143" s="1" t="str">
        <f t="shared" si="56"/>
        <v>Consumer</v>
      </c>
      <c r="P143" s="1" t="s">
        <v>60</v>
      </c>
      <c r="Q143" s="1" t="str">
        <f t="shared" si="57"/>
        <v>South</v>
      </c>
      <c r="R143" s="1" t="str">
        <f t="shared" si="58"/>
        <v>OK</v>
      </c>
      <c r="S143" s="1" t="s">
        <v>61</v>
      </c>
      <c r="T143" s="1" t="str">
        <f t="shared" si="59"/>
        <v>Telangana</v>
      </c>
      <c r="U143" s="1" t="s">
        <v>62</v>
      </c>
      <c r="V143" s="1" t="str">
        <f t="shared" si="60"/>
        <v>Hyderabad</v>
      </c>
      <c r="W143" s="1" t="s">
        <v>44</v>
      </c>
      <c r="X143" s="1" t="str">
        <f t="shared" si="61"/>
        <v>Furniture</v>
      </c>
      <c r="Y143" s="1" t="s">
        <v>190</v>
      </c>
      <c r="Z143" s="1" t="str">
        <f t="shared" si="62"/>
        <v>Bookcases</v>
      </c>
      <c r="AA143" s="1" t="s">
        <v>1133</v>
      </c>
      <c r="AB143" s="1" t="s">
        <v>47</v>
      </c>
      <c r="AC143" s="1" t="str">
        <f t="shared" si="63"/>
        <v>Same Day</v>
      </c>
      <c r="AD143" s="1" t="str">
        <f t="shared" si="64"/>
        <v>OK</v>
      </c>
      <c r="AE143" s="1">
        <v>6</v>
      </c>
      <c r="AF143" s="1">
        <v>1021.89</v>
      </c>
      <c r="AG143" s="9">
        <v>0</v>
      </c>
      <c r="AH143" s="9">
        <f t="shared" si="65"/>
        <v>0</v>
      </c>
      <c r="AI143" s="1" t="str">
        <f t="shared" si="66"/>
        <v>OK</v>
      </c>
      <c r="AJ143" s="1">
        <v>6131.34</v>
      </c>
      <c r="AK143" s="1">
        <v>4060.88</v>
      </c>
      <c r="AL143" s="1">
        <v>2070.46</v>
      </c>
      <c r="AM143" s="13">
        <f t="shared" si="67"/>
        <v>6131.34</v>
      </c>
      <c r="AN143" s="9">
        <f t="shared" si="68"/>
        <v>2070.46</v>
      </c>
      <c r="AO143" s="9">
        <f t="shared" si="77"/>
        <v>0.33768474754295147</v>
      </c>
      <c r="AP143" s="1" t="s">
        <v>33</v>
      </c>
      <c r="AQ143" s="1" t="str">
        <f t="shared" si="69"/>
        <v>Paid</v>
      </c>
      <c r="AR143" s="1" t="str">
        <f t="shared" si="70"/>
        <v>OK</v>
      </c>
      <c r="AS143" s="1" t="s">
        <v>34</v>
      </c>
      <c r="AT143" s="4" t="str">
        <f t="shared" si="71"/>
        <v>Completed</v>
      </c>
      <c r="AU143" s="3" t="str">
        <f t="shared" si="72"/>
        <v>OK</v>
      </c>
      <c r="AV143" s="3" t="str">
        <f t="shared" si="78"/>
        <v>INVALID</v>
      </c>
      <c r="AW143" t="str">
        <f t="shared" si="79"/>
        <v>MATCH</v>
      </c>
      <c r="AX143" t="str">
        <f t="shared" si="80"/>
        <v>MATCH</v>
      </c>
    </row>
    <row r="144" spans="1:50" ht="15.6">
      <c r="A144" s="1" t="s">
        <v>1134</v>
      </c>
      <c r="B144" s="1">
        <f t="shared" si="54"/>
        <v>1</v>
      </c>
      <c r="C144" s="16">
        <v>45583</v>
      </c>
      <c r="D144" s="16">
        <v>45583</v>
      </c>
      <c r="E144" s="16" t="str">
        <f t="shared" si="73"/>
        <v>Oct</v>
      </c>
      <c r="F144" s="1">
        <f t="shared" si="74"/>
        <v>2024</v>
      </c>
      <c r="G144" t="s">
        <v>713</v>
      </c>
      <c r="H144" s="17">
        <v>45377</v>
      </c>
      <c r="I144" s="21">
        <f t="shared" si="75"/>
        <v>-206</v>
      </c>
      <c r="J144" s="6" t="str">
        <f t="shared" si="76"/>
        <v>INVALID_SHIPPING</v>
      </c>
      <c r="K144" s="1" t="s">
        <v>1135</v>
      </c>
      <c r="L144" s="1" t="s">
        <v>90</v>
      </c>
      <c r="M144" s="1" t="str">
        <f t="shared" si="55"/>
        <v>Neha Gupta</v>
      </c>
      <c r="N144" s="1" t="s">
        <v>110</v>
      </c>
      <c r="O144" s="1" t="str">
        <f t="shared" si="56"/>
        <v>Home Office</v>
      </c>
      <c r="P144" s="1" t="s">
        <v>60</v>
      </c>
      <c r="Q144" s="1" t="str">
        <f t="shared" si="57"/>
        <v>South</v>
      </c>
      <c r="R144" s="1" t="str">
        <f t="shared" si="58"/>
        <v>OK</v>
      </c>
      <c r="S144" s="1" t="s">
        <v>224</v>
      </c>
      <c r="T144" s="1" t="str">
        <f t="shared" si="59"/>
        <v>Kerala</v>
      </c>
      <c r="U144" s="1" t="s">
        <v>225</v>
      </c>
      <c r="V144" s="1" t="str">
        <f t="shared" si="60"/>
        <v>Kochi</v>
      </c>
      <c r="W144" s="1" t="s">
        <v>1136</v>
      </c>
      <c r="X144" s="1" t="str">
        <f t="shared" si="61"/>
        <v>Furniture</v>
      </c>
      <c r="Y144" s="1" t="s">
        <v>74</v>
      </c>
      <c r="Z144" s="1" t="str">
        <f t="shared" si="62"/>
        <v>Chairs</v>
      </c>
      <c r="AA144" s="1" t="s">
        <v>1137</v>
      </c>
      <c r="AB144" s="1" t="s">
        <v>32</v>
      </c>
      <c r="AC144" s="1" t="str">
        <f t="shared" si="63"/>
        <v>Second Class</v>
      </c>
      <c r="AD144" s="1" t="str">
        <f t="shared" si="64"/>
        <v>OK</v>
      </c>
      <c r="AE144" s="1">
        <v>3</v>
      </c>
      <c r="AF144" s="1">
        <v>3275.93</v>
      </c>
      <c r="AG144" s="9">
        <v>0</v>
      </c>
      <c r="AH144" s="9">
        <f t="shared" si="65"/>
        <v>0</v>
      </c>
      <c r="AI144" s="1" t="str">
        <f t="shared" si="66"/>
        <v>OK</v>
      </c>
      <c r="AJ144" s="1">
        <v>9827.7900000000009</v>
      </c>
      <c r="AK144" s="1">
        <v>5478.28</v>
      </c>
      <c r="AL144" s="1">
        <v>4349.51</v>
      </c>
      <c r="AM144" s="13">
        <f t="shared" si="67"/>
        <v>9827.7899999999991</v>
      </c>
      <c r="AN144" s="9">
        <f t="shared" si="68"/>
        <v>4349.5099999999993</v>
      </c>
      <c r="AO144" s="9">
        <f t="shared" si="77"/>
        <v>0.44257254174132737</v>
      </c>
      <c r="AP144" s="1" t="s">
        <v>33</v>
      </c>
      <c r="AQ144" s="1" t="str">
        <f t="shared" si="69"/>
        <v>Paid</v>
      </c>
      <c r="AR144" s="1" t="str">
        <f t="shared" si="70"/>
        <v>OK</v>
      </c>
      <c r="AS144" s="1" t="s">
        <v>34</v>
      </c>
      <c r="AT144" s="4" t="str">
        <f t="shared" si="71"/>
        <v>Completed</v>
      </c>
      <c r="AU144" s="3" t="str">
        <f t="shared" si="72"/>
        <v>OK</v>
      </c>
      <c r="AV144" s="3" t="str">
        <f t="shared" si="78"/>
        <v>INVALID</v>
      </c>
      <c r="AW144" t="str">
        <f t="shared" si="79"/>
        <v>MATCH</v>
      </c>
      <c r="AX144" t="str">
        <f t="shared" si="80"/>
        <v>MATCH</v>
      </c>
    </row>
    <row r="145" spans="1:50" ht="15.6">
      <c r="A145" s="1" t="s">
        <v>1138</v>
      </c>
      <c r="B145" s="1">
        <f t="shared" si="54"/>
        <v>1</v>
      </c>
      <c r="C145" s="16">
        <v>45387</v>
      </c>
      <c r="D145" s="16">
        <v>45387</v>
      </c>
      <c r="E145" s="16" t="str">
        <f t="shared" si="73"/>
        <v>Apr</v>
      </c>
      <c r="F145" s="1">
        <f t="shared" si="74"/>
        <v>2024</v>
      </c>
      <c r="G145" t="s">
        <v>717</v>
      </c>
      <c r="H145" s="17">
        <v>45377</v>
      </c>
      <c r="I145" s="21">
        <f t="shared" si="75"/>
        <v>-10</v>
      </c>
      <c r="J145" s="6" t="str">
        <f t="shared" si="76"/>
        <v>INVALID_SHIPPING</v>
      </c>
      <c r="K145" s="1" t="s">
        <v>1141</v>
      </c>
      <c r="L145" s="1" t="s">
        <v>70</v>
      </c>
      <c r="M145" s="1" t="str">
        <f t="shared" si="55"/>
        <v>Ananya Rao</v>
      </c>
      <c r="N145" s="1" t="s">
        <v>104</v>
      </c>
      <c r="O145" s="1" t="str">
        <f t="shared" si="56"/>
        <v>Corporate</v>
      </c>
      <c r="P145" s="1" t="s">
        <v>26</v>
      </c>
      <c r="Q145" s="1" t="str">
        <f t="shared" si="57"/>
        <v>North</v>
      </c>
      <c r="R145" s="1" t="str">
        <f t="shared" si="58"/>
        <v>OK</v>
      </c>
      <c r="S145" s="1" t="s">
        <v>146</v>
      </c>
      <c r="T145" s="1" t="str">
        <f t="shared" si="59"/>
        <v>Punjab</v>
      </c>
      <c r="U145" s="1" t="s">
        <v>147</v>
      </c>
      <c r="V145" s="1" t="str">
        <f t="shared" si="60"/>
        <v>Ludhiana</v>
      </c>
      <c r="W145" s="1" t="s">
        <v>83</v>
      </c>
      <c r="X145" s="1" t="str">
        <f t="shared" si="61"/>
        <v>Technology</v>
      </c>
      <c r="Y145" s="1" t="s">
        <v>347</v>
      </c>
      <c r="Z145" s="1" t="str">
        <f t="shared" si="62"/>
        <v>Machines</v>
      </c>
      <c r="AA145" s="1" t="s">
        <v>1142</v>
      </c>
      <c r="AB145" s="1" t="s">
        <v>47</v>
      </c>
      <c r="AC145" s="1" t="str">
        <f t="shared" si="63"/>
        <v>Same Day</v>
      </c>
      <c r="AD145" s="1" t="str">
        <f t="shared" si="64"/>
        <v>OK</v>
      </c>
      <c r="AE145" s="1">
        <v>3</v>
      </c>
      <c r="AF145" s="1">
        <v>231.95</v>
      </c>
      <c r="AG145" s="9">
        <v>0.25</v>
      </c>
      <c r="AH145" s="9">
        <f t="shared" si="65"/>
        <v>0.25</v>
      </c>
      <c r="AI145" s="1" t="str">
        <f t="shared" si="66"/>
        <v>OK</v>
      </c>
      <c r="AJ145" s="1">
        <v>521.89</v>
      </c>
      <c r="AK145" s="1">
        <v>444.52</v>
      </c>
      <c r="AL145" s="1">
        <v>77.37</v>
      </c>
      <c r="AM145" s="13">
        <f t="shared" si="67"/>
        <v>521.88749999999993</v>
      </c>
      <c r="AN145" s="9">
        <f t="shared" si="68"/>
        <v>77.36749999999995</v>
      </c>
      <c r="AO145" s="9">
        <f t="shared" si="77"/>
        <v>0.14824555100476627</v>
      </c>
      <c r="AP145" s="1" t="s">
        <v>119</v>
      </c>
      <c r="AQ145" s="1" t="str">
        <f t="shared" si="69"/>
        <v>Refunded</v>
      </c>
      <c r="AR145" s="1" t="str">
        <f t="shared" si="70"/>
        <v>REFUNDED_PAYMENT</v>
      </c>
      <c r="AS145" s="1" t="s">
        <v>76</v>
      </c>
      <c r="AT145" s="4" t="str">
        <f t="shared" si="71"/>
        <v>Cancelled</v>
      </c>
      <c r="AU145" s="3" t="str">
        <f t="shared" si="72"/>
        <v>EXCLUDE_FROM_SALES</v>
      </c>
      <c r="AV145" s="3" t="str">
        <f t="shared" si="78"/>
        <v>INVALID</v>
      </c>
      <c r="AW145" t="str">
        <f t="shared" si="79"/>
        <v>MATCH</v>
      </c>
      <c r="AX145" t="str">
        <f t="shared" si="80"/>
        <v>MATCH</v>
      </c>
    </row>
    <row r="146" spans="1:50" ht="15.6">
      <c r="A146" s="1" t="s">
        <v>1143</v>
      </c>
      <c r="B146" s="1">
        <f t="shared" si="54"/>
        <v>1</v>
      </c>
      <c r="C146" s="16">
        <v>45498</v>
      </c>
      <c r="D146" s="16">
        <v>45498</v>
      </c>
      <c r="E146" s="16" t="str">
        <f t="shared" si="73"/>
        <v>Jul</v>
      </c>
      <c r="F146" s="1">
        <f t="shared" si="74"/>
        <v>2024</v>
      </c>
      <c r="G146" t="s">
        <v>721</v>
      </c>
      <c r="H146" s="17">
        <v>45458</v>
      </c>
      <c r="I146" s="21">
        <f t="shared" si="75"/>
        <v>-40</v>
      </c>
      <c r="J146" s="6" t="str">
        <f t="shared" si="76"/>
        <v>INVALID_SHIPPING</v>
      </c>
      <c r="K146" s="1" t="s">
        <v>1145</v>
      </c>
      <c r="L146" s="1" t="s">
        <v>141</v>
      </c>
      <c r="M146" s="1" t="str">
        <f t="shared" si="55"/>
        <v>Rahul Verma</v>
      </c>
      <c r="N146" s="1" t="s">
        <v>104</v>
      </c>
      <c r="O146" s="1" t="str">
        <f t="shared" si="56"/>
        <v>Corporate</v>
      </c>
      <c r="P146" s="1" t="s">
        <v>26</v>
      </c>
      <c r="Q146" s="1" t="str">
        <f t="shared" si="57"/>
        <v>North</v>
      </c>
      <c r="R146" s="1" t="str">
        <f t="shared" si="58"/>
        <v>OK</v>
      </c>
      <c r="S146" s="1" t="s">
        <v>27</v>
      </c>
      <c r="T146" s="1" t="str">
        <f t="shared" si="59"/>
        <v>Rajasthan</v>
      </c>
      <c r="U146" s="1" t="s">
        <v>28</v>
      </c>
      <c r="V146" s="1" t="str">
        <f t="shared" si="60"/>
        <v>Jaipur</v>
      </c>
      <c r="W146" s="1" t="s">
        <v>83</v>
      </c>
      <c r="X146" s="1" t="str">
        <f t="shared" si="61"/>
        <v>Technology</v>
      </c>
      <c r="Y146" s="1" t="s">
        <v>84</v>
      </c>
      <c r="Z146" s="1" t="str">
        <f t="shared" si="62"/>
        <v>Accessories</v>
      </c>
      <c r="AA146" s="1" t="s">
        <v>1146</v>
      </c>
      <c r="AB146" s="1" t="s">
        <v>32</v>
      </c>
      <c r="AC146" s="1" t="str">
        <f t="shared" si="63"/>
        <v>Second Class</v>
      </c>
      <c r="AD146" s="1" t="str">
        <f t="shared" si="64"/>
        <v>OK</v>
      </c>
      <c r="AE146" s="1">
        <v>8</v>
      </c>
      <c r="AF146" s="1">
        <v>2493.4</v>
      </c>
      <c r="AG146" s="9">
        <v>0.25</v>
      </c>
      <c r="AH146" s="9">
        <f t="shared" si="65"/>
        <v>0.25</v>
      </c>
      <c r="AI146" s="1" t="str">
        <f t="shared" si="66"/>
        <v>OK</v>
      </c>
      <c r="AJ146" s="1">
        <v>14960.4</v>
      </c>
      <c r="AK146" s="1">
        <v>12500.84</v>
      </c>
      <c r="AL146" s="1">
        <v>2459.56</v>
      </c>
      <c r="AM146" s="13">
        <f t="shared" si="67"/>
        <v>14960.400000000001</v>
      </c>
      <c r="AN146" s="9">
        <f t="shared" si="68"/>
        <v>2459.5600000000013</v>
      </c>
      <c r="AO146" s="9">
        <f t="shared" si="77"/>
        <v>0.16440469506162944</v>
      </c>
      <c r="AP146" s="1" t="s">
        <v>33</v>
      </c>
      <c r="AQ146" s="1" t="str">
        <f t="shared" si="69"/>
        <v>Paid</v>
      </c>
      <c r="AR146" s="1" t="str">
        <f t="shared" si="70"/>
        <v>OK</v>
      </c>
      <c r="AS146" s="1" t="s">
        <v>34</v>
      </c>
      <c r="AT146" s="4" t="str">
        <f t="shared" si="71"/>
        <v>Completed</v>
      </c>
      <c r="AU146" s="3" t="str">
        <f t="shared" si="72"/>
        <v>OK</v>
      </c>
      <c r="AV146" s="3" t="str">
        <f t="shared" si="78"/>
        <v>INVALID</v>
      </c>
      <c r="AW146" t="str">
        <f t="shared" si="79"/>
        <v>MATCH</v>
      </c>
      <c r="AX146" t="str">
        <f t="shared" si="80"/>
        <v>MATCH</v>
      </c>
    </row>
    <row r="147" spans="1:50" ht="15.6" hidden="1">
      <c r="A147" s="1" t="s">
        <v>1147</v>
      </c>
      <c r="B147" s="1">
        <f t="shared" si="54"/>
        <v>1</v>
      </c>
      <c r="C147" s="16">
        <v>45328</v>
      </c>
      <c r="D147" s="16">
        <v>45328</v>
      </c>
      <c r="E147" s="16" t="str">
        <f t="shared" si="73"/>
        <v>Feb</v>
      </c>
      <c r="F147" s="1">
        <f t="shared" si="74"/>
        <v>2024</v>
      </c>
      <c r="G147" t="s">
        <v>725</v>
      </c>
      <c r="H147" s="17">
        <v>45760</v>
      </c>
      <c r="I147" s="21">
        <f t="shared" si="75"/>
        <v>432</v>
      </c>
      <c r="J147" s="6" t="str">
        <f t="shared" si="76"/>
        <v>OK</v>
      </c>
      <c r="K147" s="1" t="s">
        <v>1148</v>
      </c>
      <c r="L147" s="1" t="s">
        <v>169</v>
      </c>
      <c r="M147" s="1" t="str">
        <f t="shared" si="55"/>
        <v>Rohan Mehta</v>
      </c>
      <c r="N147" s="1" t="s">
        <v>110</v>
      </c>
      <c r="O147" s="1" t="str">
        <f t="shared" si="56"/>
        <v>Home Office</v>
      </c>
      <c r="P147" s="1" t="s">
        <v>41</v>
      </c>
      <c r="Q147" s="1" t="str">
        <f t="shared" si="57"/>
        <v>East</v>
      </c>
      <c r="R147" s="1" t="str">
        <f t="shared" si="58"/>
        <v>OK</v>
      </c>
      <c r="S147" s="1" t="s">
        <v>42</v>
      </c>
      <c r="T147" s="1" t="str">
        <f t="shared" si="59"/>
        <v>Odisha</v>
      </c>
      <c r="U147" s="1" t="s">
        <v>43</v>
      </c>
      <c r="V147" s="1" t="str">
        <f t="shared" si="60"/>
        <v>Bhubaneswar</v>
      </c>
      <c r="W147" s="1" t="s">
        <v>29</v>
      </c>
      <c r="X147" s="1" t="str">
        <f t="shared" si="61"/>
        <v>Office Supplies</v>
      </c>
      <c r="Y147" s="1" t="s">
        <v>105</v>
      </c>
      <c r="Z147" s="1" t="str">
        <f t="shared" si="62"/>
        <v>Labels</v>
      </c>
      <c r="AA147" s="1" t="s">
        <v>1149</v>
      </c>
      <c r="AB147" s="1" t="s">
        <v>32</v>
      </c>
      <c r="AC147" s="1" t="str">
        <f t="shared" si="63"/>
        <v>Second Class</v>
      </c>
      <c r="AD147" s="1" t="str">
        <f t="shared" si="64"/>
        <v>OK</v>
      </c>
      <c r="AE147" s="1">
        <v>9</v>
      </c>
      <c r="AF147" s="1">
        <v>787.91</v>
      </c>
      <c r="AG147" s="9">
        <v>0.15</v>
      </c>
      <c r="AH147" s="9">
        <f t="shared" si="65"/>
        <v>0.15</v>
      </c>
      <c r="AI147" s="1" t="str">
        <f t="shared" si="66"/>
        <v>OK</v>
      </c>
      <c r="AJ147" s="1">
        <v>6027.51</v>
      </c>
      <c r="AK147" s="1">
        <v>4883.82</v>
      </c>
      <c r="AL147" s="1">
        <v>1143.69</v>
      </c>
      <c r="AM147" s="13">
        <f t="shared" si="67"/>
        <v>6027.5114999999996</v>
      </c>
      <c r="AN147" s="9">
        <f t="shared" si="68"/>
        <v>1143.6914999999999</v>
      </c>
      <c r="AO147" s="9">
        <f t="shared" si="77"/>
        <v>0.18974522072666306</v>
      </c>
      <c r="AP147" s="1" t="s">
        <v>33</v>
      </c>
      <c r="AQ147" s="1" t="str">
        <f t="shared" si="69"/>
        <v>Paid</v>
      </c>
      <c r="AR147" s="1" t="str">
        <f t="shared" si="70"/>
        <v>OK</v>
      </c>
      <c r="AS147" s="1" t="s">
        <v>34</v>
      </c>
      <c r="AT147" s="4" t="str">
        <f t="shared" si="71"/>
        <v>Completed</v>
      </c>
      <c r="AU147" s="3" t="str">
        <f t="shared" si="72"/>
        <v>OK</v>
      </c>
      <c r="AV147" s="3" t="str">
        <f t="shared" si="78"/>
        <v>CLEAN</v>
      </c>
      <c r="AW147" t="str">
        <f t="shared" si="79"/>
        <v>MATCH</v>
      </c>
      <c r="AX147" t="str">
        <f t="shared" si="80"/>
        <v>MATCH</v>
      </c>
    </row>
    <row r="148" spans="1:50" ht="15.6" hidden="1">
      <c r="A148" s="1" t="s">
        <v>1154</v>
      </c>
      <c r="B148" s="1">
        <f t="shared" si="54"/>
        <v>2</v>
      </c>
      <c r="C148" s="16">
        <v>45343</v>
      </c>
      <c r="D148" s="16">
        <v>45343</v>
      </c>
      <c r="E148" s="16" t="str">
        <f t="shared" si="73"/>
        <v>Feb</v>
      </c>
      <c r="F148" s="1">
        <f t="shared" si="74"/>
        <v>2024</v>
      </c>
      <c r="G148" t="s">
        <v>729</v>
      </c>
      <c r="H148" s="17">
        <v>45870</v>
      </c>
      <c r="I148" s="21">
        <f t="shared" si="75"/>
        <v>527</v>
      </c>
      <c r="J148" s="6" t="str">
        <f t="shared" si="76"/>
        <v>OK</v>
      </c>
      <c r="K148" s="1" t="s">
        <v>1156</v>
      </c>
      <c r="L148" s="1" t="s">
        <v>59</v>
      </c>
      <c r="M148" s="1" t="str">
        <f t="shared" si="55"/>
        <v>Arjun Bose</v>
      </c>
      <c r="N148" s="1" t="s">
        <v>40</v>
      </c>
      <c r="O148" s="1" t="str">
        <f t="shared" si="56"/>
        <v>Small Business</v>
      </c>
      <c r="P148" s="1" t="s">
        <v>41</v>
      </c>
      <c r="Q148" s="1" t="str">
        <f t="shared" si="57"/>
        <v>East</v>
      </c>
      <c r="R148" s="1" t="str">
        <f t="shared" si="58"/>
        <v>OK</v>
      </c>
      <c r="S148" s="1" t="s">
        <v>116</v>
      </c>
      <c r="T148" s="1" t="str">
        <f t="shared" si="59"/>
        <v>West Bengal</v>
      </c>
      <c r="U148" s="1" t="s">
        <v>117</v>
      </c>
      <c r="V148" s="1" t="str">
        <f t="shared" si="60"/>
        <v>Kolkata</v>
      </c>
      <c r="W148" s="1" t="s">
        <v>44</v>
      </c>
      <c r="X148" s="1" t="str">
        <f t="shared" si="61"/>
        <v>Furniture</v>
      </c>
      <c r="Y148" s="1" t="s">
        <v>63</v>
      </c>
      <c r="Z148" s="1" t="str">
        <f t="shared" si="62"/>
        <v>Furnishings</v>
      </c>
      <c r="AA148" s="1" t="s">
        <v>1157</v>
      </c>
      <c r="AB148" s="1" t="s">
        <v>65</v>
      </c>
      <c r="AC148" s="1" t="str">
        <f t="shared" si="63"/>
        <v>Standard Class</v>
      </c>
      <c r="AD148" s="1" t="str">
        <f t="shared" si="64"/>
        <v>OK</v>
      </c>
      <c r="AE148" s="1">
        <v>5</v>
      </c>
      <c r="AF148" s="1">
        <v>3373.86</v>
      </c>
      <c r="AG148" s="9">
        <v>0.15</v>
      </c>
      <c r="AH148" s="9">
        <f t="shared" si="65"/>
        <v>0.15</v>
      </c>
      <c r="AI148" s="1" t="str">
        <f t="shared" si="66"/>
        <v>OK</v>
      </c>
      <c r="AJ148" s="1">
        <v>14338.9</v>
      </c>
      <c r="AK148" s="1">
        <v>11897.65</v>
      </c>
      <c r="AL148" s="1">
        <v>2441.25</v>
      </c>
      <c r="AM148" s="13">
        <f t="shared" si="67"/>
        <v>14338.904999999999</v>
      </c>
      <c r="AN148" s="9">
        <f t="shared" si="68"/>
        <v>2441.2549999999992</v>
      </c>
      <c r="AO148" s="9">
        <f t="shared" si="77"/>
        <v>0.17025393501107647</v>
      </c>
      <c r="AP148" s="1" t="s">
        <v>131</v>
      </c>
      <c r="AQ148" s="1" t="str">
        <f t="shared" si="69"/>
        <v>Pending</v>
      </c>
      <c r="AR148" s="1" t="str">
        <f t="shared" si="70"/>
        <v>OK</v>
      </c>
      <c r="AS148" s="1" t="s">
        <v>120</v>
      </c>
      <c r="AT148" s="4" t="str">
        <f t="shared" si="71"/>
        <v>Returned</v>
      </c>
      <c r="AU148" s="3" t="str">
        <f t="shared" si="72"/>
        <v>RETURNED_ORDER</v>
      </c>
      <c r="AV148" s="3" t="str">
        <f t="shared" si="78"/>
        <v>CLEAN</v>
      </c>
      <c r="AW148" t="str">
        <f t="shared" si="79"/>
        <v>MISMATCH</v>
      </c>
      <c r="AX148" t="str">
        <f t="shared" si="80"/>
        <v>MISMATCH</v>
      </c>
    </row>
    <row r="149" spans="1:50" ht="15.6" hidden="1">
      <c r="A149" s="1" t="s">
        <v>1154</v>
      </c>
      <c r="B149" s="1">
        <f t="shared" si="54"/>
        <v>2</v>
      </c>
      <c r="C149" s="16">
        <v>45343</v>
      </c>
      <c r="D149" s="16">
        <v>45343</v>
      </c>
      <c r="E149" s="16" t="str">
        <f t="shared" si="73"/>
        <v>Feb</v>
      </c>
      <c r="F149" s="1">
        <f t="shared" si="74"/>
        <v>2024</v>
      </c>
      <c r="G149" t="s">
        <v>734</v>
      </c>
      <c r="H149" s="17">
        <v>45656</v>
      </c>
      <c r="I149" s="21">
        <f t="shared" si="75"/>
        <v>313</v>
      </c>
      <c r="J149" s="6" t="str">
        <f t="shared" si="76"/>
        <v>OK</v>
      </c>
      <c r="K149" s="1" t="s">
        <v>1156</v>
      </c>
      <c r="L149" s="1" t="s">
        <v>59</v>
      </c>
      <c r="M149" s="1" t="str">
        <f t="shared" si="55"/>
        <v>Arjun Bose</v>
      </c>
      <c r="N149" s="1" t="s">
        <v>40</v>
      </c>
      <c r="O149" s="1" t="str">
        <f t="shared" si="56"/>
        <v>Small Business</v>
      </c>
      <c r="P149" s="1" t="s">
        <v>41</v>
      </c>
      <c r="Q149" s="1" t="str">
        <f t="shared" si="57"/>
        <v>East</v>
      </c>
      <c r="R149" s="1" t="str">
        <f t="shared" si="58"/>
        <v>OK</v>
      </c>
      <c r="S149" s="1" t="s">
        <v>116</v>
      </c>
      <c r="T149" s="1" t="str">
        <f t="shared" si="59"/>
        <v>West Bengal</v>
      </c>
      <c r="U149" s="1" t="s">
        <v>117</v>
      </c>
      <c r="V149" s="1" t="str">
        <f t="shared" si="60"/>
        <v>Kolkata</v>
      </c>
      <c r="W149" s="1" t="s">
        <v>44</v>
      </c>
      <c r="X149" s="1" t="str">
        <f t="shared" si="61"/>
        <v>Furniture</v>
      </c>
      <c r="Y149" s="1" t="s">
        <v>63</v>
      </c>
      <c r="Z149" s="1" t="str">
        <f t="shared" si="62"/>
        <v>Furnishings</v>
      </c>
      <c r="AA149" s="1" t="s">
        <v>1157</v>
      </c>
      <c r="AB149" s="1" t="s">
        <v>65</v>
      </c>
      <c r="AC149" s="1" t="str">
        <f t="shared" si="63"/>
        <v>Standard Class</v>
      </c>
      <c r="AD149" s="1" t="str">
        <f t="shared" si="64"/>
        <v>OK</v>
      </c>
      <c r="AE149" s="1">
        <v>5</v>
      </c>
      <c r="AF149" s="1">
        <v>3373.86</v>
      </c>
      <c r="AG149" s="9">
        <v>0.15</v>
      </c>
      <c r="AH149" s="9">
        <f t="shared" si="65"/>
        <v>0.15</v>
      </c>
      <c r="AI149" s="1" t="str">
        <f t="shared" si="66"/>
        <v>OK</v>
      </c>
      <c r="AJ149" s="1">
        <v>14338.9</v>
      </c>
      <c r="AK149" s="1">
        <v>11897.65</v>
      </c>
      <c r="AL149" s="1">
        <v>2441.25</v>
      </c>
      <c r="AM149" s="13">
        <f t="shared" si="67"/>
        <v>14338.904999999999</v>
      </c>
      <c r="AN149" s="9">
        <f t="shared" si="68"/>
        <v>2441.2549999999992</v>
      </c>
      <c r="AO149" s="9">
        <f t="shared" si="77"/>
        <v>0.17025393501107647</v>
      </c>
      <c r="AP149" s="1" t="s">
        <v>131</v>
      </c>
      <c r="AQ149" s="1" t="str">
        <f t="shared" si="69"/>
        <v>Pending</v>
      </c>
      <c r="AR149" s="1" t="str">
        <f t="shared" si="70"/>
        <v>OK</v>
      </c>
      <c r="AS149" s="1" t="s">
        <v>120</v>
      </c>
      <c r="AT149" s="4" t="str">
        <f t="shared" si="71"/>
        <v>Returned</v>
      </c>
      <c r="AU149" s="3" t="str">
        <f t="shared" si="72"/>
        <v>RETURNED_ORDER</v>
      </c>
      <c r="AV149" s="3" t="str">
        <f t="shared" si="78"/>
        <v>CLEAN</v>
      </c>
      <c r="AW149" t="str">
        <f t="shared" si="79"/>
        <v>MISMATCH</v>
      </c>
      <c r="AX149" t="str">
        <f t="shared" si="80"/>
        <v>MISMATCH</v>
      </c>
    </row>
    <row r="150" spans="1:50" ht="15.6" hidden="1">
      <c r="A150" s="1" t="s">
        <v>1164</v>
      </c>
      <c r="B150" s="1">
        <f t="shared" si="54"/>
        <v>1</v>
      </c>
      <c r="C150" s="16">
        <v>45635</v>
      </c>
      <c r="D150" s="16">
        <v>45635</v>
      </c>
      <c r="E150" s="16" t="str">
        <f t="shared" si="73"/>
        <v>Dec</v>
      </c>
      <c r="F150" s="1">
        <f t="shared" si="74"/>
        <v>2024</v>
      </c>
      <c r="G150" t="s">
        <v>738</v>
      </c>
      <c r="H150" s="17">
        <v>45701</v>
      </c>
      <c r="I150" s="21">
        <f t="shared" si="75"/>
        <v>66</v>
      </c>
      <c r="J150" s="6" t="str">
        <f t="shared" si="76"/>
        <v>OK</v>
      </c>
      <c r="K150" s="1" t="s">
        <v>1166</v>
      </c>
      <c r="L150" s="1" t="s">
        <v>136</v>
      </c>
      <c r="M150" s="1" t="str">
        <f t="shared" si="55"/>
        <v>Priya Menon</v>
      </c>
      <c r="N150" s="1" t="s">
        <v>40</v>
      </c>
      <c r="O150" s="1" t="str">
        <f t="shared" si="56"/>
        <v>Small Business</v>
      </c>
      <c r="P150" s="1" t="s">
        <v>26</v>
      </c>
      <c r="Q150" s="1" t="str">
        <f t="shared" si="57"/>
        <v>North</v>
      </c>
      <c r="R150" s="1" t="str">
        <f t="shared" si="58"/>
        <v>OK</v>
      </c>
      <c r="S150" s="1" t="s">
        <v>27</v>
      </c>
      <c r="T150" s="1" t="str">
        <f t="shared" si="59"/>
        <v>Rajasthan</v>
      </c>
      <c r="U150" s="1" t="s">
        <v>28</v>
      </c>
      <c r="V150" s="1" t="str">
        <f t="shared" si="60"/>
        <v>Jaipur</v>
      </c>
      <c r="W150" s="1" t="s">
        <v>83</v>
      </c>
      <c r="X150" s="1" t="str">
        <f t="shared" si="61"/>
        <v>Technology</v>
      </c>
      <c r="Y150" s="1" t="s">
        <v>207</v>
      </c>
      <c r="Z150" s="1" t="str">
        <f t="shared" si="62"/>
        <v>Phones</v>
      </c>
      <c r="AA150" s="1" t="s">
        <v>1167</v>
      </c>
      <c r="AB150" s="1" t="s">
        <v>47</v>
      </c>
      <c r="AC150" s="1" t="str">
        <f t="shared" si="63"/>
        <v>Same Day</v>
      </c>
      <c r="AD150" s="1" t="str">
        <f t="shared" si="64"/>
        <v>OK</v>
      </c>
      <c r="AE150" s="1">
        <v>6</v>
      </c>
      <c r="AF150" s="1">
        <v>832.79</v>
      </c>
      <c r="AG150" s="9">
        <v>0.05</v>
      </c>
      <c r="AH150" s="9">
        <f t="shared" si="65"/>
        <v>0.05</v>
      </c>
      <c r="AI150" s="1" t="str">
        <f t="shared" si="66"/>
        <v>OK</v>
      </c>
      <c r="AJ150" s="1">
        <v>4746.8999999999996</v>
      </c>
      <c r="AK150" s="1">
        <v>2825.38</v>
      </c>
      <c r="AL150" s="1">
        <v>1472.89</v>
      </c>
      <c r="AM150" s="13">
        <f t="shared" si="67"/>
        <v>4746.9029999999993</v>
      </c>
      <c r="AN150" s="9">
        <f t="shared" si="68"/>
        <v>1921.5229999999992</v>
      </c>
      <c r="AO150" s="9">
        <f t="shared" si="77"/>
        <v>0.40479508428969363</v>
      </c>
      <c r="AP150" s="1" t="s">
        <v>119</v>
      </c>
      <c r="AQ150" s="1" t="str">
        <f t="shared" si="69"/>
        <v>Refunded</v>
      </c>
      <c r="AR150" s="1" t="str">
        <f t="shared" si="70"/>
        <v>REFUNDED_PAYMENT</v>
      </c>
      <c r="AS150" s="1" t="s">
        <v>76</v>
      </c>
      <c r="AT150" s="4" t="str">
        <f t="shared" si="71"/>
        <v>Cancelled</v>
      </c>
      <c r="AU150" s="3" t="str">
        <f t="shared" si="72"/>
        <v>EXCLUDE_FROM_SALES</v>
      </c>
      <c r="AV150" s="3" t="str">
        <f t="shared" si="78"/>
        <v>CLEAN</v>
      </c>
      <c r="AW150" t="str">
        <f t="shared" si="79"/>
        <v>MATCH</v>
      </c>
      <c r="AX150" t="str">
        <f t="shared" si="80"/>
        <v>MISMATCH</v>
      </c>
    </row>
    <row r="151" spans="1:50" ht="15.6">
      <c r="A151" s="1" t="s">
        <v>1176</v>
      </c>
      <c r="B151" s="1">
        <f t="shared" si="54"/>
        <v>1</v>
      </c>
      <c r="C151" s="16">
        <v>45423</v>
      </c>
      <c r="D151" s="16">
        <v>45423</v>
      </c>
      <c r="E151" s="16" t="str">
        <f t="shared" si="73"/>
        <v>May</v>
      </c>
      <c r="F151" s="1">
        <f t="shared" si="74"/>
        <v>2024</v>
      </c>
      <c r="G151" t="s">
        <v>742</v>
      </c>
      <c r="H151" s="17">
        <v>45321</v>
      </c>
      <c r="I151" s="21">
        <f t="shared" si="75"/>
        <v>-102</v>
      </c>
      <c r="J151" s="6" t="str">
        <f t="shared" si="76"/>
        <v>INVALID_SHIPPING</v>
      </c>
      <c r="K151" s="1" t="s">
        <v>1177</v>
      </c>
      <c r="L151" s="1" t="s">
        <v>70</v>
      </c>
      <c r="M151" s="1" t="str">
        <f t="shared" si="55"/>
        <v>Ananya Rao</v>
      </c>
      <c r="N151" s="1" t="s">
        <v>25</v>
      </c>
      <c r="O151" s="1" t="str">
        <f t="shared" si="56"/>
        <v>Consumer</v>
      </c>
      <c r="P151" s="1" t="s">
        <v>41</v>
      </c>
      <c r="Q151" s="1" t="str">
        <f t="shared" si="57"/>
        <v>East</v>
      </c>
      <c r="R151" s="1" t="str">
        <f t="shared" si="58"/>
        <v>OK</v>
      </c>
      <c r="S151" s="1" t="s">
        <v>116</v>
      </c>
      <c r="T151" s="1" t="str">
        <f t="shared" si="59"/>
        <v>West Bengal</v>
      </c>
      <c r="U151" s="1" t="s">
        <v>117</v>
      </c>
      <c r="V151" s="1" t="str">
        <f t="shared" si="60"/>
        <v>Kolkata</v>
      </c>
      <c r="W151" s="1" t="s">
        <v>44</v>
      </c>
      <c r="X151" s="1" t="str">
        <f t="shared" si="61"/>
        <v>Furniture</v>
      </c>
      <c r="Y151" s="1" t="s">
        <v>45</v>
      </c>
      <c r="Z151" s="1" t="str">
        <f t="shared" si="62"/>
        <v>Tables</v>
      </c>
      <c r="AA151" s="1" t="s">
        <v>1178</v>
      </c>
      <c r="AB151" s="1" t="s">
        <v>55</v>
      </c>
      <c r="AC151" s="1" t="str">
        <f t="shared" si="63"/>
        <v>First Class</v>
      </c>
      <c r="AD151" s="1" t="str">
        <f t="shared" si="64"/>
        <v>OK</v>
      </c>
      <c r="AE151" s="1">
        <v>9</v>
      </c>
      <c r="AF151" s="1">
        <v>2260.61</v>
      </c>
      <c r="AG151" s="9">
        <v>0.05</v>
      </c>
      <c r="AH151" s="9">
        <f t="shared" si="65"/>
        <v>0.05</v>
      </c>
      <c r="AI151" s="1" t="str">
        <f t="shared" si="66"/>
        <v>OK</v>
      </c>
      <c r="AJ151" s="1">
        <v>19328.22</v>
      </c>
      <c r="AK151" s="1">
        <v>12039.5</v>
      </c>
      <c r="AL151" s="1">
        <v>7288.72</v>
      </c>
      <c r="AM151" s="13">
        <f t="shared" si="67"/>
        <v>19328.215500000002</v>
      </c>
      <c r="AN151" s="9">
        <f t="shared" si="68"/>
        <v>7288.7155000000021</v>
      </c>
      <c r="AO151" s="9">
        <f t="shared" si="77"/>
        <v>0.3771023507058891</v>
      </c>
      <c r="AP151" s="1" t="s">
        <v>33</v>
      </c>
      <c r="AQ151" s="1" t="str">
        <f t="shared" si="69"/>
        <v>Paid</v>
      </c>
      <c r="AR151" s="1" t="str">
        <f t="shared" si="70"/>
        <v>OK</v>
      </c>
      <c r="AS151" s="1" t="s">
        <v>34</v>
      </c>
      <c r="AT151" s="4" t="str">
        <f t="shared" si="71"/>
        <v>Completed</v>
      </c>
      <c r="AU151" s="3" t="str">
        <f t="shared" si="72"/>
        <v>OK</v>
      </c>
      <c r="AV151" s="3" t="str">
        <f t="shared" si="78"/>
        <v>INVALID</v>
      </c>
      <c r="AW151" t="str">
        <f t="shared" si="79"/>
        <v>MATCH</v>
      </c>
      <c r="AX151" t="str">
        <f t="shared" si="80"/>
        <v>MATCH</v>
      </c>
    </row>
    <row r="152" spans="1:50" ht="15.6">
      <c r="A152" s="1" t="s">
        <v>1183</v>
      </c>
      <c r="B152" s="1">
        <f t="shared" si="54"/>
        <v>1</v>
      </c>
      <c r="C152" s="16">
        <v>45656</v>
      </c>
      <c r="D152" s="16">
        <v>45656</v>
      </c>
      <c r="E152" s="16" t="str">
        <f t="shared" si="73"/>
        <v>Dec</v>
      </c>
      <c r="F152" s="1">
        <f t="shared" si="74"/>
        <v>2024</v>
      </c>
      <c r="G152" t="s">
        <v>747</v>
      </c>
      <c r="H152" s="17">
        <v>45363</v>
      </c>
      <c r="I152" s="21">
        <f t="shared" si="75"/>
        <v>-293</v>
      </c>
      <c r="J152" s="6" t="str">
        <f t="shared" si="76"/>
        <v>INVALID_SHIPPING</v>
      </c>
      <c r="K152" s="1" t="s">
        <v>1185</v>
      </c>
      <c r="L152" s="1" t="s">
        <v>158</v>
      </c>
      <c r="M152" s="1" t="str">
        <f t="shared" si="55"/>
        <v>Sneha Kapoor</v>
      </c>
      <c r="N152" s="1" t="s">
        <v>104</v>
      </c>
      <c r="O152" s="1" t="str">
        <f t="shared" si="56"/>
        <v>Corporate</v>
      </c>
      <c r="P152" s="1" t="s">
        <v>60</v>
      </c>
      <c r="Q152" s="1" t="str">
        <f t="shared" si="57"/>
        <v>South</v>
      </c>
      <c r="R152" s="1" t="str">
        <f t="shared" si="58"/>
        <v>OK</v>
      </c>
      <c r="S152" s="1" t="s">
        <v>309</v>
      </c>
      <c r="T152" s="1" t="str">
        <f t="shared" si="59"/>
        <v>Tamil Nadu</v>
      </c>
      <c r="U152" s="1" t="s">
        <v>310</v>
      </c>
      <c r="V152" s="1" t="str">
        <f t="shared" si="60"/>
        <v>Chennai</v>
      </c>
      <c r="W152" s="1" t="s">
        <v>44</v>
      </c>
      <c r="X152" s="1" t="str">
        <f t="shared" si="61"/>
        <v>Furniture</v>
      </c>
      <c r="Y152" s="1" t="s">
        <v>45</v>
      </c>
      <c r="Z152" s="1" t="str">
        <f t="shared" si="62"/>
        <v>Tables</v>
      </c>
      <c r="AA152" s="1" t="s">
        <v>1186</v>
      </c>
      <c r="AB152" s="1" t="s">
        <v>47</v>
      </c>
      <c r="AC152" s="1" t="str">
        <f t="shared" si="63"/>
        <v>Same Day</v>
      </c>
      <c r="AD152" s="1" t="str">
        <f t="shared" si="64"/>
        <v>OK</v>
      </c>
      <c r="AE152" s="1">
        <v>2</v>
      </c>
      <c r="AF152" s="1">
        <v>3720.07</v>
      </c>
      <c r="AG152" s="9">
        <v>0.25</v>
      </c>
      <c r="AH152" s="9">
        <f t="shared" si="65"/>
        <v>0.25</v>
      </c>
      <c r="AI152" s="1" t="str">
        <f t="shared" si="66"/>
        <v>OK</v>
      </c>
      <c r="AJ152" s="1">
        <v>5580.11</v>
      </c>
      <c r="AK152" s="1">
        <v>4307.01</v>
      </c>
      <c r="AL152" s="1">
        <v>1273.0999999999999</v>
      </c>
      <c r="AM152" s="13">
        <f t="shared" si="67"/>
        <v>5580.1050000000005</v>
      </c>
      <c r="AN152" s="9">
        <f t="shared" si="68"/>
        <v>1273.0950000000003</v>
      </c>
      <c r="AO152" s="9">
        <f t="shared" si="77"/>
        <v>0.22814893268137429</v>
      </c>
      <c r="AP152" s="1" t="s">
        <v>33</v>
      </c>
      <c r="AQ152" s="1" t="str">
        <f t="shared" si="69"/>
        <v>Paid</v>
      </c>
      <c r="AR152" s="1" t="str">
        <f t="shared" si="70"/>
        <v>OK</v>
      </c>
      <c r="AS152" s="1" t="s">
        <v>34</v>
      </c>
      <c r="AT152" s="4" t="str">
        <f t="shared" si="71"/>
        <v>Completed</v>
      </c>
      <c r="AU152" s="3" t="str">
        <f t="shared" si="72"/>
        <v>OK</v>
      </c>
      <c r="AV152" s="3" t="str">
        <f t="shared" si="78"/>
        <v>INVALID</v>
      </c>
      <c r="AW152" t="str">
        <f t="shared" si="79"/>
        <v>MATCH</v>
      </c>
      <c r="AX152" t="str">
        <f t="shared" si="80"/>
        <v>MATCH</v>
      </c>
    </row>
    <row r="153" spans="1:50" ht="15.6" hidden="1">
      <c r="A153" s="1" t="s">
        <v>1187</v>
      </c>
      <c r="B153" s="1">
        <f t="shared" si="54"/>
        <v>1</v>
      </c>
      <c r="C153" s="16">
        <v>45464</v>
      </c>
      <c r="D153" s="16">
        <v>45464</v>
      </c>
      <c r="E153" s="16" t="str">
        <f t="shared" si="73"/>
        <v>Jun</v>
      </c>
      <c r="F153" s="1">
        <f t="shared" si="74"/>
        <v>2024</v>
      </c>
      <c r="G153" t="s">
        <v>751</v>
      </c>
      <c r="H153" s="17">
        <v>45470</v>
      </c>
      <c r="I153" s="21">
        <f t="shared" si="75"/>
        <v>6</v>
      </c>
      <c r="J153" s="6" t="str">
        <f t="shared" si="76"/>
        <v>OK</v>
      </c>
      <c r="K153" s="1" t="s">
        <v>1189</v>
      </c>
      <c r="L153" s="1" t="s">
        <v>90</v>
      </c>
      <c r="M153" s="1" t="str">
        <f t="shared" si="55"/>
        <v>Neha Gupta</v>
      </c>
      <c r="N153" s="1" t="s">
        <v>25</v>
      </c>
      <c r="O153" s="1" t="str">
        <f t="shared" si="56"/>
        <v>Consumer</v>
      </c>
      <c r="P153" s="1" t="s">
        <v>60</v>
      </c>
      <c r="Q153" s="1" t="str">
        <f t="shared" si="57"/>
        <v>South</v>
      </c>
      <c r="R153" s="1" t="str">
        <f t="shared" si="58"/>
        <v>OK</v>
      </c>
      <c r="S153" s="1" t="s">
        <v>309</v>
      </c>
      <c r="T153" s="1" t="str">
        <f t="shared" si="59"/>
        <v>Tamil Nadu</v>
      </c>
      <c r="U153" s="1" t="s">
        <v>310</v>
      </c>
      <c r="V153" s="1" t="str">
        <f t="shared" si="60"/>
        <v>Chennai</v>
      </c>
      <c r="W153" s="1" t="s">
        <v>83</v>
      </c>
      <c r="X153" s="1" t="str">
        <f t="shared" si="61"/>
        <v>Technology</v>
      </c>
      <c r="Y153" s="1" t="s">
        <v>347</v>
      </c>
      <c r="Z153" s="1" t="str">
        <f t="shared" si="62"/>
        <v>Machines</v>
      </c>
      <c r="AA153" s="1" t="s">
        <v>1190</v>
      </c>
      <c r="AB153" s="1" t="s">
        <v>65</v>
      </c>
      <c r="AC153" s="1" t="str">
        <f t="shared" si="63"/>
        <v>Standard Class</v>
      </c>
      <c r="AD153" s="1" t="str">
        <f t="shared" si="64"/>
        <v>OK</v>
      </c>
      <c r="AE153" s="1">
        <v>8</v>
      </c>
      <c r="AF153" s="1">
        <v>2853.92</v>
      </c>
      <c r="AG153" s="9">
        <v>0.2</v>
      </c>
      <c r="AH153" s="9">
        <f t="shared" si="65"/>
        <v>0.2</v>
      </c>
      <c r="AI153" s="1" t="str">
        <f t="shared" si="66"/>
        <v>OK</v>
      </c>
      <c r="AJ153" s="1">
        <v>18265.09</v>
      </c>
      <c r="AK153" s="1">
        <v>10437.14</v>
      </c>
      <c r="AL153" s="1">
        <v>7827.95</v>
      </c>
      <c r="AM153" s="13">
        <f t="shared" si="67"/>
        <v>18265.088</v>
      </c>
      <c r="AN153" s="9">
        <f t="shared" si="68"/>
        <v>7827.9480000000003</v>
      </c>
      <c r="AO153" s="9">
        <f t="shared" si="77"/>
        <v>0.42857433810338064</v>
      </c>
      <c r="AP153" s="1" t="s">
        <v>33</v>
      </c>
      <c r="AQ153" s="1" t="str">
        <f t="shared" si="69"/>
        <v>Paid</v>
      </c>
      <c r="AR153" s="1" t="str">
        <f t="shared" si="70"/>
        <v>OK</v>
      </c>
      <c r="AS153" s="1" t="s">
        <v>34</v>
      </c>
      <c r="AT153" s="4" t="str">
        <f t="shared" si="71"/>
        <v>Completed</v>
      </c>
      <c r="AU153" s="3" t="str">
        <f t="shared" si="72"/>
        <v>OK</v>
      </c>
      <c r="AV153" s="3" t="str">
        <f t="shared" si="78"/>
        <v>CLEAN</v>
      </c>
      <c r="AW153" t="str">
        <f t="shared" si="79"/>
        <v>MATCH</v>
      </c>
      <c r="AX153" t="str">
        <f t="shared" si="80"/>
        <v>MATCH</v>
      </c>
    </row>
    <row r="154" spans="1:50" ht="15.6" hidden="1">
      <c r="A154" s="1" t="s">
        <v>1205</v>
      </c>
      <c r="B154" s="1">
        <f t="shared" si="54"/>
        <v>1</v>
      </c>
      <c r="C154" s="16">
        <v>45428</v>
      </c>
      <c r="D154" s="16">
        <v>45428</v>
      </c>
      <c r="E154" s="16" t="str">
        <f t="shared" si="73"/>
        <v>May</v>
      </c>
      <c r="F154" s="1">
        <f t="shared" si="74"/>
        <v>2024</v>
      </c>
      <c r="G154" t="s">
        <v>755</v>
      </c>
      <c r="H154" s="17">
        <v>45460</v>
      </c>
      <c r="I154" s="21">
        <f t="shared" si="75"/>
        <v>32</v>
      </c>
      <c r="J154" s="6" t="str">
        <f t="shared" si="76"/>
        <v>OK</v>
      </c>
      <c r="K154" s="1" t="s">
        <v>1208</v>
      </c>
      <c r="L154" s="1" t="s">
        <v>196</v>
      </c>
      <c r="M154" s="1" t="str">
        <f t="shared" si="55"/>
        <v>Diya Patel</v>
      </c>
      <c r="N154" s="1" t="s">
        <v>40</v>
      </c>
      <c r="O154" s="1" t="str">
        <f t="shared" si="56"/>
        <v>Small Business</v>
      </c>
      <c r="P154" s="1" t="s">
        <v>41</v>
      </c>
      <c r="Q154" s="1" t="str">
        <f t="shared" si="57"/>
        <v>East</v>
      </c>
      <c r="R154" s="1" t="str">
        <f t="shared" si="58"/>
        <v>OK</v>
      </c>
      <c r="S154" s="1" t="s">
        <v>174</v>
      </c>
      <c r="T154" s="1" t="str">
        <f t="shared" si="59"/>
        <v>Bihar</v>
      </c>
      <c r="U154" s="1" t="s">
        <v>175</v>
      </c>
      <c r="V154" s="1" t="str">
        <f t="shared" si="60"/>
        <v>Patna</v>
      </c>
      <c r="W154" s="1" t="s">
        <v>83</v>
      </c>
      <c r="X154" s="1" t="str">
        <f t="shared" si="61"/>
        <v>Technology</v>
      </c>
      <c r="Y154" s="1" t="s">
        <v>91</v>
      </c>
      <c r="Z154" s="1" t="str">
        <f t="shared" si="62"/>
        <v>Copiers</v>
      </c>
      <c r="AA154" s="1" t="s">
        <v>1209</v>
      </c>
      <c r="AB154" s="1" t="s">
        <v>65</v>
      </c>
      <c r="AC154" s="1" t="str">
        <f t="shared" si="63"/>
        <v>Standard Class</v>
      </c>
      <c r="AD154" s="1" t="str">
        <f t="shared" si="64"/>
        <v>OK</v>
      </c>
      <c r="AE154" s="1">
        <v>4</v>
      </c>
      <c r="AF154" s="1">
        <v>1503.07</v>
      </c>
      <c r="AG154" s="9">
        <v>0</v>
      </c>
      <c r="AH154" s="9">
        <f t="shared" si="65"/>
        <v>0</v>
      </c>
      <c r="AI154" s="1" t="str">
        <f t="shared" si="66"/>
        <v>OK</v>
      </c>
      <c r="AJ154" s="1">
        <v>6012.28</v>
      </c>
      <c r="AK154" s="1">
        <v>3927.64</v>
      </c>
      <c r="AL154" s="1">
        <v>2084.64</v>
      </c>
      <c r="AM154" s="13">
        <f t="shared" si="67"/>
        <v>6012.28</v>
      </c>
      <c r="AN154" s="9">
        <f t="shared" si="68"/>
        <v>2084.64</v>
      </c>
      <c r="AO154" s="9">
        <f t="shared" si="77"/>
        <v>0.34673035853286938</v>
      </c>
      <c r="AP154" s="1" t="s">
        <v>33</v>
      </c>
      <c r="AQ154" s="1" t="str">
        <f t="shared" si="69"/>
        <v>Paid</v>
      </c>
      <c r="AR154" s="1" t="str">
        <f t="shared" si="70"/>
        <v>OK</v>
      </c>
      <c r="AS154" s="1" t="s">
        <v>34</v>
      </c>
      <c r="AT154" s="4" t="str">
        <f t="shared" si="71"/>
        <v>Completed</v>
      </c>
      <c r="AU154" s="3" t="str">
        <f t="shared" si="72"/>
        <v>OK</v>
      </c>
      <c r="AV154" s="3" t="str">
        <f t="shared" si="78"/>
        <v>CLEAN</v>
      </c>
      <c r="AW154" t="str">
        <f t="shared" si="79"/>
        <v>MATCH</v>
      </c>
      <c r="AX154" t="str">
        <f t="shared" si="80"/>
        <v>MATCH</v>
      </c>
    </row>
    <row r="155" spans="1:50" ht="15.6" hidden="1">
      <c r="A155" s="1" t="s">
        <v>1210</v>
      </c>
      <c r="B155" s="1">
        <f t="shared" si="54"/>
        <v>1</v>
      </c>
      <c r="C155" s="16">
        <v>45610</v>
      </c>
      <c r="D155" s="16">
        <v>45610</v>
      </c>
      <c r="E155" s="16" t="str">
        <f t="shared" si="73"/>
        <v>Nov</v>
      </c>
      <c r="F155" s="1">
        <f t="shared" si="74"/>
        <v>2024</v>
      </c>
      <c r="G155" t="s">
        <v>759</v>
      </c>
      <c r="H155" s="17">
        <v>45925</v>
      </c>
      <c r="I155" s="21">
        <f t="shared" si="75"/>
        <v>315</v>
      </c>
      <c r="J155" s="6" t="str">
        <f t="shared" si="76"/>
        <v>OK</v>
      </c>
      <c r="K155" s="1" t="s">
        <v>1212</v>
      </c>
      <c r="L155" s="1" t="s">
        <v>136</v>
      </c>
      <c r="M155" s="1" t="str">
        <f t="shared" si="55"/>
        <v>Priya Menon</v>
      </c>
      <c r="N155" s="1" t="s">
        <v>104</v>
      </c>
      <c r="O155" s="1" t="str">
        <f t="shared" si="56"/>
        <v>Corporate</v>
      </c>
      <c r="P155" s="1" t="s">
        <v>41</v>
      </c>
      <c r="Q155" s="1" t="str">
        <f t="shared" si="57"/>
        <v>East</v>
      </c>
      <c r="R155" s="1" t="str">
        <f t="shared" si="58"/>
        <v>OK</v>
      </c>
      <c r="S155" s="1" t="s">
        <v>174</v>
      </c>
      <c r="T155" s="1" t="str">
        <f t="shared" si="59"/>
        <v>Bihar</v>
      </c>
      <c r="U155" s="1" t="s">
        <v>175</v>
      </c>
      <c r="V155" s="1" t="str">
        <f t="shared" si="60"/>
        <v>Patna</v>
      </c>
      <c r="W155" s="1" t="s">
        <v>44</v>
      </c>
      <c r="X155" s="1" t="str">
        <f t="shared" si="61"/>
        <v>Furniture</v>
      </c>
      <c r="Y155" s="1" t="s">
        <v>190</v>
      </c>
      <c r="Z155" s="1" t="str">
        <f t="shared" si="62"/>
        <v>Bookcases</v>
      </c>
      <c r="AA155" s="1" t="s">
        <v>1213</v>
      </c>
      <c r="AB155" s="1" t="s">
        <v>47</v>
      </c>
      <c r="AC155" s="1" t="str">
        <f t="shared" si="63"/>
        <v>Same Day</v>
      </c>
      <c r="AD155" s="1" t="str">
        <f t="shared" si="64"/>
        <v>OK</v>
      </c>
      <c r="AE155" s="1">
        <v>1</v>
      </c>
      <c r="AF155" s="1">
        <v>582.37</v>
      </c>
      <c r="AG155" s="9">
        <v>0.15</v>
      </c>
      <c r="AH155" s="9">
        <f t="shared" si="65"/>
        <v>0.15</v>
      </c>
      <c r="AI155" s="1" t="str">
        <f t="shared" si="66"/>
        <v>OK</v>
      </c>
      <c r="AJ155" s="1">
        <v>495.01</v>
      </c>
      <c r="AK155" s="1">
        <v>285.13</v>
      </c>
      <c r="AL155" s="1">
        <v>209.88</v>
      </c>
      <c r="AM155" s="13">
        <f t="shared" si="67"/>
        <v>495.0145</v>
      </c>
      <c r="AN155" s="9">
        <f t="shared" si="68"/>
        <v>209.8845</v>
      </c>
      <c r="AO155" s="9">
        <f t="shared" si="77"/>
        <v>0.42399667080459258</v>
      </c>
      <c r="AP155" s="1" t="s">
        <v>119</v>
      </c>
      <c r="AQ155" s="1" t="str">
        <f t="shared" si="69"/>
        <v>Refunded</v>
      </c>
      <c r="AR155" s="1" t="str">
        <f t="shared" si="70"/>
        <v>REFUNDED_PAYMENT</v>
      </c>
      <c r="AS155" s="1" t="s">
        <v>76</v>
      </c>
      <c r="AT155" s="4" t="str">
        <f t="shared" si="71"/>
        <v>Cancelled</v>
      </c>
      <c r="AU155" s="3" t="str">
        <f t="shared" si="72"/>
        <v>EXCLUDE_FROM_SALES</v>
      </c>
      <c r="AV155" s="3" t="str">
        <f t="shared" si="78"/>
        <v>CLEAN</v>
      </c>
      <c r="AW155" t="str">
        <f t="shared" si="79"/>
        <v>MATCH</v>
      </c>
      <c r="AX155" t="str">
        <f t="shared" si="80"/>
        <v>MATCH</v>
      </c>
    </row>
    <row r="156" spans="1:50" ht="15.6">
      <c r="A156" s="1" t="s">
        <v>1230</v>
      </c>
      <c r="B156" s="1">
        <f t="shared" si="54"/>
        <v>1</v>
      </c>
      <c r="C156" s="16">
        <v>45627</v>
      </c>
      <c r="D156" s="16">
        <v>45627</v>
      </c>
      <c r="E156" s="16" t="str">
        <f t="shared" si="73"/>
        <v>Dec</v>
      </c>
      <c r="F156" s="1">
        <f t="shared" si="74"/>
        <v>2024</v>
      </c>
      <c r="G156" t="s">
        <v>763</v>
      </c>
      <c r="H156" s="17">
        <v>45333</v>
      </c>
      <c r="I156" s="21">
        <f t="shared" si="75"/>
        <v>-294</v>
      </c>
      <c r="J156" s="6" t="str">
        <f t="shared" si="76"/>
        <v>INVALID_SHIPPING</v>
      </c>
      <c r="K156" s="1" t="s">
        <v>1231</v>
      </c>
      <c r="L156" s="1" t="s">
        <v>103</v>
      </c>
      <c r="M156" s="1" t="str">
        <f t="shared" si="55"/>
        <v>Aditi Sen</v>
      </c>
      <c r="N156" s="1" t="s">
        <v>104</v>
      </c>
      <c r="O156" s="1" t="str">
        <f t="shared" si="56"/>
        <v>Corporate</v>
      </c>
      <c r="P156" s="1" t="s">
        <v>26</v>
      </c>
      <c r="Q156" s="1" t="str">
        <f t="shared" si="57"/>
        <v>North</v>
      </c>
      <c r="R156" s="1" t="str">
        <f t="shared" si="58"/>
        <v>OK</v>
      </c>
      <c r="S156" s="1" t="s">
        <v>163</v>
      </c>
      <c r="T156" s="1" t="str">
        <f t="shared" si="59"/>
        <v>Uttar Pradesh</v>
      </c>
      <c r="U156" s="1" t="s">
        <v>164</v>
      </c>
      <c r="V156" s="1" t="str">
        <f t="shared" si="60"/>
        <v>Noida</v>
      </c>
      <c r="W156" s="1" t="s">
        <v>83</v>
      </c>
      <c r="X156" s="1" t="str">
        <f t="shared" si="61"/>
        <v>Technology</v>
      </c>
      <c r="Y156" s="1" t="s">
        <v>347</v>
      </c>
      <c r="Z156" s="1" t="str">
        <f t="shared" si="62"/>
        <v>Machines</v>
      </c>
      <c r="AA156" s="1" t="s">
        <v>1232</v>
      </c>
      <c r="AB156" s="1" t="s">
        <v>47</v>
      </c>
      <c r="AC156" s="1" t="str">
        <f t="shared" si="63"/>
        <v>Same Day</v>
      </c>
      <c r="AD156" s="1" t="str">
        <f t="shared" si="64"/>
        <v>OK</v>
      </c>
      <c r="AE156" s="1">
        <v>3</v>
      </c>
      <c r="AF156" s="1">
        <v>827.44</v>
      </c>
      <c r="AG156" s="9">
        <v>0</v>
      </c>
      <c r="AH156" s="9">
        <f t="shared" si="65"/>
        <v>0</v>
      </c>
      <c r="AI156" s="1" t="str">
        <f t="shared" si="66"/>
        <v>OK</v>
      </c>
      <c r="AJ156" s="1">
        <v>2482.3200000000002</v>
      </c>
      <c r="AK156" s="1">
        <v>1520.21</v>
      </c>
      <c r="AL156" s="1">
        <v>962.11</v>
      </c>
      <c r="AM156" s="13">
        <f t="shared" si="67"/>
        <v>2482.3200000000002</v>
      </c>
      <c r="AN156" s="9">
        <f t="shared" si="68"/>
        <v>962.11000000000013</v>
      </c>
      <c r="AO156" s="9">
        <f t="shared" si="77"/>
        <v>0.38758500112797706</v>
      </c>
      <c r="AP156" s="1" t="s">
        <v>33</v>
      </c>
      <c r="AQ156" s="1" t="str">
        <f t="shared" si="69"/>
        <v>Paid</v>
      </c>
      <c r="AR156" s="1" t="str">
        <f t="shared" si="70"/>
        <v>OK</v>
      </c>
      <c r="AS156" s="1" t="s">
        <v>34</v>
      </c>
      <c r="AT156" s="4" t="str">
        <f t="shared" si="71"/>
        <v>Completed</v>
      </c>
      <c r="AU156" s="3" t="str">
        <f t="shared" si="72"/>
        <v>OK</v>
      </c>
      <c r="AV156" s="3" t="str">
        <f t="shared" si="78"/>
        <v>INVALID</v>
      </c>
      <c r="AW156" t="str">
        <f t="shared" si="79"/>
        <v>MATCH</v>
      </c>
      <c r="AX156" t="str">
        <f t="shared" si="80"/>
        <v>MATCH</v>
      </c>
    </row>
    <row r="157" spans="1:50" ht="15.6" hidden="1">
      <c r="A157" s="1" t="s">
        <v>1233</v>
      </c>
      <c r="B157" s="1">
        <f t="shared" si="54"/>
        <v>1</v>
      </c>
      <c r="C157" s="16">
        <v>45647</v>
      </c>
      <c r="D157" s="16">
        <v>45647</v>
      </c>
      <c r="E157" s="16" t="str">
        <f t="shared" si="73"/>
        <v>Dec</v>
      </c>
      <c r="F157" s="1">
        <f t="shared" si="74"/>
        <v>2024</v>
      </c>
      <c r="G157" t="s">
        <v>397</v>
      </c>
      <c r="H157" s="17">
        <v>45691</v>
      </c>
      <c r="I157" s="21">
        <f t="shared" si="75"/>
        <v>44</v>
      </c>
      <c r="J157" s="6" t="str">
        <f t="shared" si="76"/>
        <v>OK</v>
      </c>
      <c r="K157" s="1" t="s">
        <v>1236</v>
      </c>
      <c r="L157" s="1" t="s">
        <v>103</v>
      </c>
      <c r="M157" s="1" t="str">
        <f t="shared" si="55"/>
        <v>Aditi Sen</v>
      </c>
      <c r="N157" s="1" t="s">
        <v>25</v>
      </c>
      <c r="O157" s="1" t="str">
        <f t="shared" si="56"/>
        <v>Consumer</v>
      </c>
      <c r="P157" s="1" t="s">
        <v>60</v>
      </c>
      <c r="Q157" s="1" t="str">
        <f t="shared" si="57"/>
        <v>South</v>
      </c>
      <c r="R157" s="1" t="str">
        <f t="shared" si="58"/>
        <v>OK</v>
      </c>
      <c r="S157" s="1" t="s">
        <v>61</v>
      </c>
      <c r="T157" s="1" t="str">
        <f t="shared" si="59"/>
        <v>Telangana</v>
      </c>
      <c r="U157" s="1" t="s">
        <v>62</v>
      </c>
      <c r="V157" s="1" t="str">
        <f t="shared" si="60"/>
        <v>Hyderabad</v>
      </c>
      <c r="W157" s="1" t="s">
        <v>29</v>
      </c>
      <c r="X157" s="1" t="str">
        <f t="shared" si="61"/>
        <v>Office Supplies</v>
      </c>
      <c r="Y157" s="1" t="s">
        <v>184</v>
      </c>
      <c r="Z157" s="1" t="str">
        <f t="shared" si="62"/>
        <v>Binders</v>
      </c>
      <c r="AA157" s="1" t="s">
        <v>1237</v>
      </c>
      <c r="AB157" s="1" t="s">
        <v>65</v>
      </c>
      <c r="AC157" s="1" t="str">
        <f t="shared" si="63"/>
        <v>Standard Class</v>
      </c>
      <c r="AD157" s="1" t="str">
        <f t="shared" si="64"/>
        <v>OK</v>
      </c>
      <c r="AE157" s="1">
        <v>7</v>
      </c>
      <c r="AF157" s="1">
        <v>1667.75</v>
      </c>
      <c r="AG157" s="9">
        <v>0</v>
      </c>
      <c r="AH157" s="9">
        <f t="shared" si="65"/>
        <v>0</v>
      </c>
      <c r="AI157" s="1" t="str">
        <f t="shared" si="66"/>
        <v>OK</v>
      </c>
      <c r="AJ157" s="1">
        <v>11674.25</v>
      </c>
      <c r="AK157" s="1">
        <v>9621.19</v>
      </c>
      <c r="AL157" s="1">
        <v>2053.06</v>
      </c>
      <c r="AM157" s="13">
        <f t="shared" si="67"/>
        <v>11674.25</v>
      </c>
      <c r="AN157" s="9">
        <f t="shared" si="68"/>
        <v>2053.0599999999995</v>
      </c>
      <c r="AO157" s="9">
        <f t="shared" si="77"/>
        <v>0.17586226095894808</v>
      </c>
      <c r="AP157" s="1" t="s">
        <v>186</v>
      </c>
      <c r="AQ157" s="1" t="str">
        <f t="shared" si="69"/>
        <v>Failed</v>
      </c>
      <c r="AR157" s="1" t="str">
        <f t="shared" si="70"/>
        <v>EXCLUDE_FROM_SALES</v>
      </c>
      <c r="AS157" s="1" t="s">
        <v>76</v>
      </c>
      <c r="AT157" s="4" t="str">
        <f t="shared" si="71"/>
        <v>Cancelled</v>
      </c>
      <c r="AU157" s="3" t="str">
        <f t="shared" si="72"/>
        <v>EXCLUDE_FROM_SALES</v>
      </c>
      <c r="AV157" s="3" t="str">
        <f t="shared" si="78"/>
        <v>CLEAN</v>
      </c>
      <c r="AW157" t="str">
        <f t="shared" si="79"/>
        <v>MATCH</v>
      </c>
      <c r="AX157" t="str">
        <f t="shared" si="80"/>
        <v>MATCH</v>
      </c>
    </row>
    <row r="158" spans="1:50" ht="15.6" hidden="1">
      <c r="A158" s="1" t="s">
        <v>1238</v>
      </c>
      <c r="B158" s="1">
        <f t="shared" si="54"/>
        <v>2</v>
      </c>
      <c r="C158" s="16">
        <v>45522</v>
      </c>
      <c r="D158" s="16">
        <v>45522</v>
      </c>
      <c r="E158" s="16" t="str">
        <f t="shared" si="73"/>
        <v>Aug</v>
      </c>
      <c r="F158" s="1">
        <f t="shared" si="74"/>
        <v>2024</v>
      </c>
      <c r="G158" t="s">
        <v>769</v>
      </c>
      <c r="H158" s="17">
        <v>45743</v>
      </c>
      <c r="I158" s="21">
        <f t="shared" si="75"/>
        <v>221</v>
      </c>
      <c r="J158" s="6" t="str">
        <f t="shared" si="76"/>
        <v>OK</v>
      </c>
      <c r="K158" s="1" t="s">
        <v>1240</v>
      </c>
      <c r="L158" s="1" t="s">
        <v>59</v>
      </c>
      <c r="M158" s="1" t="str">
        <f t="shared" si="55"/>
        <v>Arjun Bose</v>
      </c>
      <c r="N158" s="1" t="s">
        <v>25</v>
      </c>
      <c r="O158" s="1" t="str">
        <f t="shared" si="56"/>
        <v>Consumer</v>
      </c>
      <c r="P158" s="1" t="s">
        <v>60</v>
      </c>
      <c r="Q158" s="1" t="str">
        <f t="shared" si="57"/>
        <v>South</v>
      </c>
      <c r="R158" s="1" t="str">
        <f t="shared" si="58"/>
        <v>OK</v>
      </c>
      <c r="S158" s="1" t="s">
        <v>97</v>
      </c>
      <c r="T158" s="1" t="str">
        <f t="shared" si="59"/>
        <v>Andhra Pradesh</v>
      </c>
      <c r="U158" s="1" t="s">
        <v>98</v>
      </c>
      <c r="V158" s="1" t="str">
        <f t="shared" si="60"/>
        <v>Vijayawada</v>
      </c>
      <c r="W158" s="1" t="s">
        <v>44</v>
      </c>
      <c r="X158" s="1" t="str">
        <f t="shared" si="61"/>
        <v>Furniture</v>
      </c>
      <c r="Y158" s="1" t="s">
        <v>74</v>
      </c>
      <c r="Z158" s="1" t="str">
        <f t="shared" si="62"/>
        <v>Chairs</v>
      </c>
      <c r="AA158" s="1" t="s">
        <v>1241</v>
      </c>
      <c r="AB158" s="1" t="s">
        <v>55</v>
      </c>
      <c r="AC158" s="1" t="str">
        <f t="shared" si="63"/>
        <v>First Class</v>
      </c>
      <c r="AD158" s="1" t="str">
        <f t="shared" si="64"/>
        <v>OK</v>
      </c>
      <c r="AE158" s="1">
        <v>7</v>
      </c>
      <c r="AF158" s="1">
        <v>557.21</v>
      </c>
      <c r="AG158" s="9">
        <v>0.1</v>
      </c>
      <c r="AH158" s="9">
        <f t="shared" si="65"/>
        <v>0.1</v>
      </c>
      <c r="AI158" s="1" t="str">
        <f t="shared" si="66"/>
        <v>OK</v>
      </c>
      <c r="AJ158" s="1">
        <v>3510.42</v>
      </c>
      <c r="AK158" s="1">
        <v>2191.5</v>
      </c>
      <c r="AL158" s="1">
        <v>1213.48</v>
      </c>
      <c r="AM158" s="13">
        <f t="shared" si="67"/>
        <v>3510.4230000000002</v>
      </c>
      <c r="AN158" s="9">
        <f t="shared" si="68"/>
        <v>1318.9230000000002</v>
      </c>
      <c r="AO158" s="9">
        <f t="shared" si="77"/>
        <v>0.37571625983535323</v>
      </c>
      <c r="AP158" s="1" t="s">
        <v>33</v>
      </c>
      <c r="AQ158" s="1" t="str">
        <f t="shared" si="69"/>
        <v>Paid</v>
      </c>
      <c r="AR158" s="1" t="str">
        <f t="shared" si="70"/>
        <v>OK</v>
      </c>
      <c r="AS158" s="1" t="s">
        <v>34</v>
      </c>
      <c r="AT158" s="4" t="str">
        <f t="shared" si="71"/>
        <v>Completed</v>
      </c>
      <c r="AU158" s="3" t="str">
        <f t="shared" si="72"/>
        <v>OK</v>
      </c>
      <c r="AV158" s="3" t="str">
        <f t="shared" si="78"/>
        <v>CLEAN</v>
      </c>
      <c r="AW158" t="str">
        <f t="shared" si="79"/>
        <v>MATCH</v>
      </c>
      <c r="AX158" t="str">
        <f t="shared" si="80"/>
        <v>MISMATCH</v>
      </c>
    </row>
    <row r="159" spans="1:50" ht="15.6" hidden="1">
      <c r="A159" s="1" t="s">
        <v>1238</v>
      </c>
      <c r="B159" s="1">
        <f t="shared" si="54"/>
        <v>2</v>
      </c>
      <c r="C159" s="16">
        <v>45522</v>
      </c>
      <c r="D159" s="16">
        <v>45522</v>
      </c>
      <c r="E159" s="16" t="str">
        <f t="shared" si="73"/>
        <v>Aug</v>
      </c>
      <c r="F159" s="1">
        <f t="shared" si="74"/>
        <v>2024</v>
      </c>
      <c r="G159" t="s">
        <v>773</v>
      </c>
      <c r="H159" s="17">
        <v>45589</v>
      </c>
      <c r="I159" s="21">
        <f t="shared" si="75"/>
        <v>67</v>
      </c>
      <c r="J159" s="6" t="str">
        <f t="shared" si="76"/>
        <v>OK</v>
      </c>
      <c r="K159" s="1" t="s">
        <v>1240</v>
      </c>
      <c r="L159" s="1" t="s">
        <v>59</v>
      </c>
      <c r="M159" s="1" t="str">
        <f t="shared" si="55"/>
        <v>Arjun Bose</v>
      </c>
      <c r="N159" s="1" t="s">
        <v>25</v>
      </c>
      <c r="O159" s="1" t="str">
        <f t="shared" si="56"/>
        <v>Consumer</v>
      </c>
      <c r="P159" s="1" t="s">
        <v>60</v>
      </c>
      <c r="Q159" s="1" t="str">
        <f t="shared" si="57"/>
        <v>South</v>
      </c>
      <c r="R159" s="1" t="str">
        <f t="shared" si="58"/>
        <v>OK</v>
      </c>
      <c r="S159" s="1" t="s">
        <v>97</v>
      </c>
      <c r="T159" s="1" t="str">
        <f t="shared" si="59"/>
        <v>Andhra Pradesh</v>
      </c>
      <c r="U159" s="1" t="s">
        <v>98</v>
      </c>
      <c r="V159" s="1" t="str">
        <f t="shared" si="60"/>
        <v>Vijayawada</v>
      </c>
      <c r="W159" s="1" t="s">
        <v>44</v>
      </c>
      <c r="X159" s="1" t="str">
        <f t="shared" si="61"/>
        <v>Furniture</v>
      </c>
      <c r="Y159" s="1" t="s">
        <v>74</v>
      </c>
      <c r="Z159" s="1" t="str">
        <f t="shared" si="62"/>
        <v>Chairs</v>
      </c>
      <c r="AA159" s="1" t="s">
        <v>1241</v>
      </c>
      <c r="AB159" s="1" t="s">
        <v>55</v>
      </c>
      <c r="AC159" s="1" t="str">
        <f t="shared" si="63"/>
        <v>First Class</v>
      </c>
      <c r="AD159" s="1" t="str">
        <f t="shared" si="64"/>
        <v>OK</v>
      </c>
      <c r="AE159" s="1">
        <v>7</v>
      </c>
      <c r="AF159" s="1">
        <v>557.21</v>
      </c>
      <c r="AG159" s="9">
        <v>0.1</v>
      </c>
      <c r="AH159" s="9">
        <f t="shared" si="65"/>
        <v>0.1</v>
      </c>
      <c r="AI159" s="1" t="str">
        <f t="shared" si="66"/>
        <v>OK</v>
      </c>
      <c r="AJ159" s="1">
        <v>3797.79</v>
      </c>
      <c r="AK159" s="1">
        <v>2191.5</v>
      </c>
      <c r="AL159" s="1">
        <v>1213.48</v>
      </c>
      <c r="AM159" s="13">
        <f t="shared" si="67"/>
        <v>3510.4230000000002</v>
      </c>
      <c r="AN159" s="9">
        <f t="shared" si="68"/>
        <v>1318.9230000000002</v>
      </c>
      <c r="AO159" s="9">
        <f t="shared" si="77"/>
        <v>0.37571625983535323</v>
      </c>
      <c r="AP159" s="1" t="s">
        <v>33</v>
      </c>
      <c r="AQ159" s="1" t="str">
        <f t="shared" si="69"/>
        <v>Paid</v>
      </c>
      <c r="AR159" s="1" t="str">
        <f t="shared" si="70"/>
        <v>OK</v>
      </c>
      <c r="AS159" s="1" t="s">
        <v>120</v>
      </c>
      <c r="AT159" s="4" t="str">
        <f t="shared" si="71"/>
        <v>Returned</v>
      </c>
      <c r="AU159" s="3" t="str">
        <f t="shared" si="72"/>
        <v>RETURNED_ORDER</v>
      </c>
      <c r="AV159" s="3" t="str">
        <f t="shared" si="78"/>
        <v>CLEAN</v>
      </c>
      <c r="AW159" t="str">
        <f t="shared" si="79"/>
        <v>MISMATCH</v>
      </c>
      <c r="AX159" t="str">
        <f t="shared" si="80"/>
        <v>MISMATCH</v>
      </c>
    </row>
    <row r="160" spans="1:50" ht="15.6" hidden="1">
      <c r="A160" s="1" t="s">
        <v>1246</v>
      </c>
      <c r="B160" s="1">
        <f t="shared" si="54"/>
        <v>1</v>
      </c>
      <c r="C160" s="16">
        <v>45389</v>
      </c>
      <c r="D160" s="16">
        <v>45389</v>
      </c>
      <c r="E160" s="16" t="str">
        <f t="shared" si="73"/>
        <v>Apr</v>
      </c>
      <c r="F160" s="1">
        <f t="shared" si="74"/>
        <v>2024</v>
      </c>
      <c r="G160" t="s">
        <v>778</v>
      </c>
      <c r="H160" s="17">
        <v>45546</v>
      </c>
      <c r="I160" s="21">
        <f t="shared" si="75"/>
        <v>157</v>
      </c>
      <c r="J160" s="6" t="str">
        <f t="shared" si="76"/>
        <v>OK</v>
      </c>
      <c r="K160" s="1" t="s">
        <v>1249</v>
      </c>
      <c r="L160" s="1" t="s">
        <v>169</v>
      </c>
      <c r="M160" s="1" t="str">
        <f t="shared" si="55"/>
        <v>Rohan Mehta</v>
      </c>
      <c r="N160" s="1" t="s">
        <v>25</v>
      </c>
      <c r="O160" s="1" t="str">
        <f t="shared" si="56"/>
        <v>Consumer</v>
      </c>
      <c r="P160" s="1" t="s">
        <v>60</v>
      </c>
      <c r="Q160" s="1" t="str">
        <f t="shared" si="57"/>
        <v>South</v>
      </c>
      <c r="R160" s="1" t="str">
        <f t="shared" si="58"/>
        <v>OK</v>
      </c>
      <c r="S160" s="1" t="s">
        <v>224</v>
      </c>
      <c r="T160" s="1" t="str">
        <f t="shared" si="59"/>
        <v>Kerala</v>
      </c>
      <c r="U160" s="1" t="s">
        <v>225</v>
      </c>
      <c r="V160" s="1" t="str">
        <f t="shared" si="60"/>
        <v>Kochi</v>
      </c>
      <c r="W160" s="1" t="s">
        <v>83</v>
      </c>
      <c r="X160" s="1" t="str">
        <f t="shared" si="61"/>
        <v>Technology</v>
      </c>
      <c r="Y160" s="1" t="s">
        <v>91</v>
      </c>
      <c r="Z160" s="1" t="str">
        <f t="shared" si="62"/>
        <v>Copiers</v>
      </c>
      <c r="AA160" s="1" t="s">
        <v>1250</v>
      </c>
      <c r="AB160" s="1" t="s">
        <v>65</v>
      </c>
      <c r="AC160" s="1" t="str">
        <f t="shared" si="63"/>
        <v>Standard Class</v>
      </c>
      <c r="AD160" s="1" t="str">
        <f t="shared" si="64"/>
        <v>OK</v>
      </c>
      <c r="AE160" s="1">
        <v>6</v>
      </c>
      <c r="AF160" s="1">
        <v>4246.71</v>
      </c>
      <c r="AG160" s="9">
        <v>0.15</v>
      </c>
      <c r="AH160" s="9">
        <f t="shared" si="65"/>
        <v>0.15</v>
      </c>
      <c r="AI160" s="1" t="str">
        <f t="shared" si="66"/>
        <v>OK</v>
      </c>
      <c r="AJ160" s="1">
        <v>21658.22</v>
      </c>
      <c r="AK160" s="1">
        <v>15490.69</v>
      </c>
      <c r="AL160" s="1">
        <v>6167.53</v>
      </c>
      <c r="AM160" s="13">
        <f t="shared" si="67"/>
        <v>21658.221000000001</v>
      </c>
      <c r="AN160" s="9">
        <f t="shared" si="68"/>
        <v>6167.5310000000009</v>
      </c>
      <c r="AO160" s="9">
        <f t="shared" si="77"/>
        <v>0.28476627881856043</v>
      </c>
      <c r="AP160" s="1" t="s">
        <v>186</v>
      </c>
      <c r="AQ160" s="1" t="str">
        <f t="shared" si="69"/>
        <v>Failed</v>
      </c>
      <c r="AR160" s="1" t="str">
        <f t="shared" si="70"/>
        <v>EXCLUDE_FROM_SALES</v>
      </c>
      <c r="AS160" s="1" t="s">
        <v>120</v>
      </c>
      <c r="AT160" s="4" t="str">
        <f t="shared" si="71"/>
        <v>Returned</v>
      </c>
      <c r="AU160" s="3" t="str">
        <f t="shared" si="72"/>
        <v>RETURNED_ORDER</v>
      </c>
      <c r="AV160" s="3" t="str">
        <f t="shared" si="78"/>
        <v>CLEAN</v>
      </c>
      <c r="AW160" t="str">
        <f t="shared" si="79"/>
        <v>MATCH</v>
      </c>
      <c r="AX160" t="str">
        <f t="shared" si="80"/>
        <v>MATCH</v>
      </c>
    </row>
    <row r="161" spans="1:50" ht="15.6" hidden="1">
      <c r="A161" s="1" t="s">
        <v>1251</v>
      </c>
      <c r="B161" s="1">
        <f t="shared" si="54"/>
        <v>1</v>
      </c>
      <c r="C161" s="16">
        <v>45337</v>
      </c>
      <c r="D161" s="16">
        <v>45337</v>
      </c>
      <c r="E161" s="16" t="str">
        <f t="shared" si="73"/>
        <v>Feb</v>
      </c>
      <c r="F161" s="1">
        <f t="shared" si="74"/>
        <v>2024</v>
      </c>
      <c r="G161" t="s">
        <v>782</v>
      </c>
      <c r="H161" s="17">
        <v>45749</v>
      </c>
      <c r="I161" s="21">
        <f t="shared" si="75"/>
        <v>412</v>
      </c>
      <c r="J161" s="6" t="str">
        <f t="shared" si="76"/>
        <v>OK</v>
      </c>
      <c r="K161" s="1" t="s">
        <v>1253</v>
      </c>
      <c r="L161" s="1" t="s">
        <v>136</v>
      </c>
      <c r="M161" s="1" t="str">
        <f t="shared" si="55"/>
        <v>Priya Menon</v>
      </c>
      <c r="N161" s="1" t="s">
        <v>40</v>
      </c>
      <c r="O161" s="1" t="str">
        <f t="shared" si="56"/>
        <v>Small Business</v>
      </c>
      <c r="P161" s="1" t="s">
        <v>41</v>
      </c>
      <c r="Q161" s="1" t="str">
        <f t="shared" si="57"/>
        <v>East</v>
      </c>
      <c r="R161" s="1" t="str">
        <f t="shared" si="58"/>
        <v>OK</v>
      </c>
      <c r="S161" s="1" t="s">
        <v>116</v>
      </c>
      <c r="T161" s="1" t="str">
        <f t="shared" si="59"/>
        <v>West Bengal</v>
      </c>
      <c r="U161" s="1" t="s">
        <v>117</v>
      </c>
      <c r="V161" s="1" t="str">
        <f t="shared" si="60"/>
        <v>Kolkata</v>
      </c>
      <c r="W161" s="1" t="s">
        <v>44</v>
      </c>
      <c r="X161" s="1" t="str">
        <f t="shared" si="61"/>
        <v>Furniture</v>
      </c>
      <c r="Y161" s="1" t="s">
        <v>63</v>
      </c>
      <c r="Z161" s="1" t="str">
        <f t="shared" si="62"/>
        <v>Furnishings</v>
      </c>
      <c r="AA161" s="1" t="s">
        <v>1254</v>
      </c>
      <c r="AB161" s="1" t="s">
        <v>47</v>
      </c>
      <c r="AC161" s="1" t="str">
        <f t="shared" si="63"/>
        <v>Same Day</v>
      </c>
      <c r="AD161" s="1" t="str">
        <f t="shared" si="64"/>
        <v>OK</v>
      </c>
      <c r="AE161" s="1">
        <v>1</v>
      </c>
      <c r="AF161" s="1">
        <v>980.51</v>
      </c>
      <c r="AG161" s="9">
        <v>0</v>
      </c>
      <c r="AH161" s="9">
        <f t="shared" si="65"/>
        <v>0</v>
      </c>
      <c r="AI161" s="1" t="str">
        <f t="shared" si="66"/>
        <v>OK</v>
      </c>
      <c r="AJ161" s="1">
        <v>980.51</v>
      </c>
      <c r="AK161" s="1">
        <v>660.92</v>
      </c>
      <c r="AL161" s="1">
        <v>319.58999999999997</v>
      </c>
      <c r="AM161" s="13">
        <f t="shared" si="67"/>
        <v>980.51</v>
      </c>
      <c r="AN161" s="9">
        <f t="shared" si="68"/>
        <v>319.59000000000003</v>
      </c>
      <c r="AO161" s="9">
        <f t="shared" si="77"/>
        <v>0.32594262169687205</v>
      </c>
      <c r="AP161" s="1" t="s">
        <v>33</v>
      </c>
      <c r="AQ161" s="1" t="str">
        <f t="shared" si="69"/>
        <v>Paid</v>
      </c>
      <c r="AR161" s="1" t="str">
        <f t="shared" si="70"/>
        <v>OK</v>
      </c>
      <c r="AS161" s="1" t="s">
        <v>34</v>
      </c>
      <c r="AT161" s="4" t="str">
        <f t="shared" si="71"/>
        <v>Completed</v>
      </c>
      <c r="AU161" s="3" t="str">
        <f t="shared" si="72"/>
        <v>OK</v>
      </c>
      <c r="AV161" s="3" t="str">
        <f t="shared" si="78"/>
        <v>CLEAN</v>
      </c>
      <c r="AW161" t="str">
        <f t="shared" si="79"/>
        <v>MATCH</v>
      </c>
      <c r="AX161" t="str">
        <f t="shared" si="80"/>
        <v>MATCH</v>
      </c>
    </row>
    <row r="162" spans="1:50" ht="15.6">
      <c r="A162" s="1" t="s">
        <v>1255</v>
      </c>
      <c r="B162" s="1">
        <f t="shared" si="54"/>
        <v>2</v>
      </c>
      <c r="C162" s="16">
        <v>45313</v>
      </c>
      <c r="D162" s="16">
        <v>45313</v>
      </c>
      <c r="E162" s="16" t="str">
        <f t="shared" si="73"/>
        <v>Jan</v>
      </c>
      <c r="F162" s="1">
        <f t="shared" si="74"/>
        <v>2024</v>
      </c>
      <c r="G162" t="s">
        <v>786</v>
      </c>
      <c r="H162" s="17">
        <v>45936</v>
      </c>
      <c r="I162" s="21">
        <f t="shared" si="75"/>
        <v>623</v>
      </c>
      <c r="J162" s="6" t="str">
        <f t="shared" si="76"/>
        <v>OK</v>
      </c>
      <c r="K162" s="1" t="s">
        <v>1257</v>
      </c>
      <c r="L162" s="1" t="s">
        <v>153</v>
      </c>
      <c r="M162" s="1" t="str">
        <f t="shared" si="55"/>
        <v>Aarav Sharma</v>
      </c>
      <c r="N162" s="1" t="s">
        <v>40</v>
      </c>
      <c r="O162" s="1" t="str">
        <f t="shared" si="56"/>
        <v>Small Business</v>
      </c>
      <c r="P162" s="1"/>
      <c r="Q162" s="1" t="str">
        <f t="shared" si="57"/>
        <v>Unknown</v>
      </c>
      <c r="R162" s="1" t="str">
        <f t="shared" si="58"/>
        <v>MISSING_REGION</v>
      </c>
      <c r="S162" s="1" t="s">
        <v>201</v>
      </c>
      <c r="T162" s="1" t="str">
        <f t="shared" si="59"/>
        <v>Assam</v>
      </c>
      <c r="U162" s="1" t="s">
        <v>202</v>
      </c>
      <c r="V162" s="1" t="str">
        <f t="shared" si="60"/>
        <v>Guwahati</v>
      </c>
      <c r="W162" s="1" t="s">
        <v>44</v>
      </c>
      <c r="X162" s="1" t="str">
        <f t="shared" si="61"/>
        <v>Furniture</v>
      </c>
      <c r="Y162" s="1" t="s">
        <v>74</v>
      </c>
      <c r="Z162" s="1" t="str">
        <f t="shared" si="62"/>
        <v>Chairs</v>
      </c>
      <c r="AA162" s="1" t="s">
        <v>1258</v>
      </c>
      <c r="AB162" s="1" t="s">
        <v>32</v>
      </c>
      <c r="AC162" s="1" t="str">
        <f t="shared" si="63"/>
        <v>Second Class</v>
      </c>
      <c r="AD162" s="1" t="str">
        <f t="shared" si="64"/>
        <v>OK</v>
      </c>
      <c r="AE162" s="1">
        <v>6</v>
      </c>
      <c r="AF162" s="1">
        <v>3391.53</v>
      </c>
      <c r="AG162" s="9">
        <v>-0.14000000000000001</v>
      </c>
      <c r="AH162" s="9">
        <f t="shared" si="65"/>
        <v>-0.14000000000000001</v>
      </c>
      <c r="AI162" s="1" t="str">
        <f t="shared" si="66"/>
        <v>Invalid Negative Discount</v>
      </c>
      <c r="AJ162" s="1">
        <v>15261.89</v>
      </c>
      <c r="AK162" s="1">
        <v>8413.5300000000007</v>
      </c>
      <c r="AL162" s="1">
        <v>6848.36</v>
      </c>
      <c r="AM162" s="13" t="str">
        <f t="shared" si="67"/>
        <v>INVALID</v>
      </c>
      <c r="AN162" s="9" t="str">
        <f t="shared" si="68"/>
        <v>INVALID</v>
      </c>
      <c r="AO162" s="9" t="str">
        <f t="shared" si="77"/>
        <v/>
      </c>
      <c r="AP162" s="1" t="s">
        <v>33</v>
      </c>
      <c r="AQ162" s="1" t="str">
        <f t="shared" si="69"/>
        <v>Paid</v>
      </c>
      <c r="AR162" s="1" t="str">
        <f t="shared" si="70"/>
        <v>OK</v>
      </c>
      <c r="AS162" s="1" t="s">
        <v>34</v>
      </c>
      <c r="AT162" s="4" t="str">
        <f t="shared" si="71"/>
        <v>Completed</v>
      </c>
      <c r="AU162" s="3" t="str">
        <f t="shared" si="72"/>
        <v>OK</v>
      </c>
      <c r="AV162" s="3" t="str">
        <f t="shared" si="78"/>
        <v>INVALID</v>
      </c>
      <c r="AW162" t="str">
        <f t="shared" si="79"/>
        <v>INVALID</v>
      </c>
      <c r="AX162" t="str">
        <f t="shared" si="80"/>
        <v>INVALID</v>
      </c>
    </row>
    <row r="163" spans="1:50" ht="15.6">
      <c r="A163" s="1" t="s">
        <v>1255</v>
      </c>
      <c r="B163" s="1">
        <f t="shared" si="54"/>
        <v>2</v>
      </c>
      <c r="C163" s="16">
        <v>45313</v>
      </c>
      <c r="D163" s="16">
        <v>45313</v>
      </c>
      <c r="E163" s="16" t="str">
        <f t="shared" si="73"/>
        <v>Jan</v>
      </c>
      <c r="F163" s="1">
        <f t="shared" si="74"/>
        <v>2024</v>
      </c>
      <c r="G163" t="s">
        <v>790</v>
      </c>
      <c r="H163" s="17">
        <v>45868</v>
      </c>
      <c r="I163" s="21">
        <f t="shared" si="75"/>
        <v>555</v>
      </c>
      <c r="J163" s="6" t="str">
        <f t="shared" si="76"/>
        <v>OK</v>
      </c>
      <c r="K163" s="1" t="s">
        <v>1257</v>
      </c>
      <c r="L163" s="1" t="s">
        <v>153</v>
      </c>
      <c r="M163" s="1" t="str">
        <f t="shared" si="55"/>
        <v>Aarav Sharma</v>
      </c>
      <c r="N163" s="1" t="s">
        <v>40</v>
      </c>
      <c r="O163" s="1" t="str">
        <f t="shared" si="56"/>
        <v>Small Business</v>
      </c>
      <c r="P163" s="1"/>
      <c r="Q163" s="1" t="str">
        <f t="shared" si="57"/>
        <v>Unknown</v>
      </c>
      <c r="R163" s="1" t="str">
        <f t="shared" si="58"/>
        <v>MISSING_REGION</v>
      </c>
      <c r="S163" s="1" t="s">
        <v>201</v>
      </c>
      <c r="T163" s="1" t="str">
        <f t="shared" si="59"/>
        <v>Assam</v>
      </c>
      <c r="U163" s="1" t="s">
        <v>202</v>
      </c>
      <c r="V163" s="1" t="str">
        <f t="shared" si="60"/>
        <v>Guwahati</v>
      </c>
      <c r="W163" s="1" t="s">
        <v>44</v>
      </c>
      <c r="X163" s="1" t="str">
        <f t="shared" si="61"/>
        <v>Furniture</v>
      </c>
      <c r="Y163" s="1" t="s">
        <v>74</v>
      </c>
      <c r="Z163" s="1" t="str">
        <f t="shared" si="62"/>
        <v>Chairs</v>
      </c>
      <c r="AA163" s="1" t="s">
        <v>1258</v>
      </c>
      <c r="AB163" s="1" t="s">
        <v>32</v>
      </c>
      <c r="AC163" s="1" t="str">
        <f t="shared" si="63"/>
        <v>Second Class</v>
      </c>
      <c r="AD163" s="1" t="str">
        <f t="shared" si="64"/>
        <v>OK</v>
      </c>
      <c r="AE163" s="1">
        <v>6</v>
      </c>
      <c r="AF163" s="1">
        <v>3391.53</v>
      </c>
      <c r="AG163" s="9">
        <v>-0.14000000000000001</v>
      </c>
      <c r="AH163" s="9">
        <f t="shared" si="65"/>
        <v>-0.14000000000000001</v>
      </c>
      <c r="AI163" s="1" t="str">
        <f t="shared" si="66"/>
        <v>Invalid Negative Discount</v>
      </c>
      <c r="AJ163" s="1">
        <v>15261.89</v>
      </c>
      <c r="AK163" s="1">
        <v>8413.5300000000007</v>
      </c>
      <c r="AL163" s="1">
        <v>6848.36</v>
      </c>
      <c r="AM163" s="13" t="str">
        <f t="shared" si="67"/>
        <v>INVALID</v>
      </c>
      <c r="AN163" s="9" t="str">
        <f t="shared" si="68"/>
        <v>INVALID</v>
      </c>
      <c r="AO163" s="9" t="str">
        <f t="shared" si="77"/>
        <v/>
      </c>
      <c r="AP163" s="1" t="s">
        <v>33</v>
      </c>
      <c r="AQ163" s="1" t="str">
        <f t="shared" si="69"/>
        <v>Paid</v>
      </c>
      <c r="AR163" s="1" t="str">
        <f t="shared" si="70"/>
        <v>OK</v>
      </c>
      <c r="AS163" s="1" t="s">
        <v>34</v>
      </c>
      <c r="AT163" s="4" t="str">
        <f t="shared" si="71"/>
        <v>Completed</v>
      </c>
      <c r="AU163" s="3" t="str">
        <f t="shared" si="72"/>
        <v>OK</v>
      </c>
      <c r="AV163" s="3" t="str">
        <f t="shared" si="78"/>
        <v>INVALID</v>
      </c>
      <c r="AW163" t="str">
        <f t="shared" si="79"/>
        <v>INVALID</v>
      </c>
      <c r="AX163" t="str">
        <f t="shared" si="80"/>
        <v>INVALID</v>
      </c>
    </row>
    <row r="164" spans="1:50" ht="15.6">
      <c r="A164" s="1" t="s">
        <v>1266</v>
      </c>
      <c r="B164" s="1">
        <f t="shared" si="54"/>
        <v>1</v>
      </c>
      <c r="C164" s="16">
        <v>45539</v>
      </c>
      <c r="D164" s="16">
        <v>45539</v>
      </c>
      <c r="E164" s="16" t="str">
        <f t="shared" si="73"/>
        <v>Sep</v>
      </c>
      <c r="F164" s="1">
        <f t="shared" si="74"/>
        <v>2024</v>
      </c>
      <c r="G164" t="s">
        <v>796</v>
      </c>
      <c r="H164" s="17">
        <v>45365</v>
      </c>
      <c r="I164" s="21">
        <f t="shared" si="75"/>
        <v>-174</v>
      </c>
      <c r="J164" s="6" t="str">
        <f t="shared" si="76"/>
        <v>INVALID_SHIPPING</v>
      </c>
      <c r="K164" s="1" t="s">
        <v>1268</v>
      </c>
      <c r="L164" s="1" t="s">
        <v>169</v>
      </c>
      <c r="M164" s="1" t="str">
        <f t="shared" si="55"/>
        <v>Rohan Mehta</v>
      </c>
      <c r="N164" s="1" t="s">
        <v>40</v>
      </c>
      <c r="O164" s="1" t="str">
        <f t="shared" si="56"/>
        <v>Small Business</v>
      </c>
      <c r="P164" s="1" t="s">
        <v>71</v>
      </c>
      <c r="Q164" s="1" t="str">
        <f t="shared" si="57"/>
        <v>West</v>
      </c>
      <c r="R164" s="1" t="str">
        <f t="shared" si="58"/>
        <v>OK</v>
      </c>
      <c r="S164" s="1" t="s">
        <v>72</v>
      </c>
      <c r="T164" s="1" t="str">
        <f t="shared" si="59"/>
        <v>Maharashtra</v>
      </c>
      <c r="U164" s="1" t="s">
        <v>73</v>
      </c>
      <c r="V164" s="1" t="str">
        <f t="shared" si="60"/>
        <v>Mumbai</v>
      </c>
      <c r="W164" s="1" t="s">
        <v>29</v>
      </c>
      <c r="X164" s="1" t="str">
        <f t="shared" si="61"/>
        <v>Office Supplies</v>
      </c>
      <c r="Y164" s="1" t="s">
        <v>148</v>
      </c>
      <c r="Z164" s="1" t="str">
        <f t="shared" si="62"/>
        <v>Storage</v>
      </c>
      <c r="AA164" s="1" t="s">
        <v>1269</v>
      </c>
      <c r="AB164" s="1" t="s">
        <v>55</v>
      </c>
      <c r="AC164" s="1" t="str">
        <f t="shared" si="63"/>
        <v>First Class</v>
      </c>
      <c r="AD164" s="1" t="str">
        <f t="shared" si="64"/>
        <v>OK</v>
      </c>
      <c r="AE164" s="1">
        <v>1</v>
      </c>
      <c r="AF164" s="1">
        <v>4359.12</v>
      </c>
      <c r="AG164" s="9">
        <v>0.05</v>
      </c>
      <c r="AH164" s="9">
        <f t="shared" si="65"/>
        <v>0.05</v>
      </c>
      <c r="AI164" s="1" t="str">
        <f t="shared" si="66"/>
        <v>OK</v>
      </c>
      <c r="AJ164" s="1">
        <v>4141.16</v>
      </c>
      <c r="AK164" s="1">
        <v>2754.17</v>
      </c>
      <c r="AL164" s="1">
        <v>1386.99</v>
      </c>
      <c r="AM164" s="13">
        <f t="shared" si="67"/>
        <v>4141.1639999999998</v>
      </c>
      <c r="AN164" s="9">
        <f t="shared" si="68"/>
        <v>1386.9939999999997</v>
      </c>
      <c r="AO164" s="9">
        <f t="shared" si="77"/>
        <v>0.33492853700070796</v>
      </c>
      <c r="AP164" s="1" t="s">
        <v>33</v>
      </c>
      <c r="AQ164" s="1" t="str">
        <f t="shared" si="69"/>
        <v>Paid</v>
      </c>
      <c r="AR164" s="1" t="str">
        <f t="shared" si="70"/>
        <v>OK</v>
      </c>
      <c r="AS164" s="1" t="s">
        <v>34</v>
      </c>
      <c r="AT164" s="4" t="str">
        <f t="shared" si="71"/>
        <v>Completed</v>
      </c>
      <c r="AU164" s="3" t="str">
        <f t="shared" si="72"/>
        <v>OK</v>
      </c>
      <c r="AV164" s="3" t="str">
        <f t="shared" si="78"/>
        <v>INVALID</v>
      </c>
      <c r="AW164" t="str">
        <f t="shared" si="79"/>
        <v>MATCH</v>
      </c>
      <c r="AX164" t="str">
        <f t="shared" si="80"/>
        <v>MATCH</v>
      </c>
    </row>
    <row r="165" spans="1:50" ht="15.6" hidden="1">
      <c r="A165" s="1" t="s">
        <v>1270</v>
      </c>
      <c r="B165" s="1">
        <f t="shared" si="54"/>
        <v>2</v>
      </c>
      <c r="C165" s="16">
        <v>45649</v>
      </c>
      <c r="D165" s="16">
        <v>45649</v>
      </c>
      <c r="E165" s="16" t="str">
        <f t="shared" si="73"/>
        <v>Dec</v>
      </c>
      <c r="F165" s="1">
        <f t="shared" si="74"/>
        <v>2024</v>
      </c>
      <c r="G165" t="s">
        <v>646</v>
      </c>
      <c r="H165" s="17">
        <v>45926</v>
      </c>
      <c r="I165" s="21">
        <f t="shared" si="75"/>
        <v>277</v>
      </c>
      <c r="J165" s="6" t="str">
        <f t="shared" si="76"/>
        <v>OK</v>
      </c>
      <c r="K165" s="1" t="s">
        <v>1272</v>
      </c>
      <c r="L165" s="1" t="s">
        <v>103</v>
      </c>
      <c r="M165" s="1" t="str">
        <f t="shared" si="55"/>
        <v>Aditi Sen</v>
      </c>
      <c r="N165" s="1" t="s">
        <v>25</v>
      </c>
      <c r="O165" s="1" t="str">
        <f t="shared" si="56"/>
        <v>Consumer</v>
      </c>
      <c r="P165" s="1" t="s">
        <v>60</v>
      </c>
      <c r="Q165" s="1" t="str">
        <f t="shared" si="57"/>
        <v>South</v>
      </c>
      <c r="R165" s="1" t="str">
        <f t="shared" si="58"/>
        <v>OK</v>
      </c>
      <c r="S165" s="1" t="s">
        <v>212</v>
      </c>
      <c r="T165" s="1" t="str">
        <f t="shared" si="59"/>
        <v>Karnataka</v>
      </c>
      <c r="U165" s="1" t="s">
        <v>213</v>
      </c>
      <c r="V165" s="1" t="str">
        <f t="shared" si="60"/>
        <v>Bengaluru</v>
      </c>
      <c r="W165" s="1" t="s">
        <v>83</v>
      </c>
      <c r="X165" s="1" t="str">
        <f t="shared" si="61"/>
        <v>Technology</v>
      </c>
      <c r="Y165" s="1" t="s">
        <v>91</v>
      </c>
      <c r="Z165" s="1" t="str">
        <f t="shared" si="62"/>
        <v>Copiers</v>
      </c>
      <c r="AA165" s="1" t="s">
        <v>1273</v>
      </c>
      <c r="AB165" s="1" t="s">
        <v>65</v>
      </c>
      <c r="AC165" s="1" t="str">
        <f t="shared" si="63"/>
        <v>Standard Class</v>
      </c>
      <c r="AD165" s="1" t="str">
        <f t="shared" si="64"/>
        <v>OK</v>
      </c>
      <c r="AE165" s="1">
        <v>9</v>
      </c>
      <c r="AF165" s="1">
        <v>993.67</v>
      </c>
      <c r="AG165" s="9">
        <v>0</v>
      </c>
      <c r="AH165" s="9">
        <f t="shared" si="65"/>
        <v>0</v>
      </c>
      <c r="AI165" s="1" t="str">
        <f t="shared" si="66"/>
        <v>OK</v>
      </c>
      <c r="AJ165" s="1">
        <v>8943.0300000000007</v>
      </c>
      <c r="AK165" s="1">
        <v>5165.38</v>
      </c>
      <c r="AL165" s="1">
        <v>3777.65</v>
      </c>
      <c r="AM165" s="13">
        <f t="shared" si="67"/>
        <v>8943.0299999999988</v>
      </c>
      <c r="AN165" s="9">
        <f t="shared" si="68"/>
        <v>3777.6499999999987</v>
      </c>
      <c r="AO165" s="9">
        <f t="shared" si="77"/>
        <v>0.42241276167026154</v>
      </c>
      <c r="AP165" s="1" t="s">
        <v>33</v>
      </c>
      <c r="AQ165" s="1" t="str">
        <f t="shared" si="69"/>
        <v>Paid</v>
      </c>
      <c r="AR165" s="1" t="str">
        <f t="shared" si="70"/>
        <v>OK</v>
      </c>
      <c r="AS165" s="1" t="s">
        <v>34</v>
      </c>
      <c r="AT165" s="4" t="str">
        <f t="shared" si="71"/>
        <v>Completed</v>
      </c>
      <c r="AU165" s="3" t="str">
        <f t="shared" si="72"/>
        <v>OK</v>
      </c>
      <c r="AV165" s="3" t="str">
        <f t="shared" si="78"/>
        <v>CLEAN</v>
      </c>
      <c r="AW165" t="str">
        <f t="shared" si="79"/>
        <v>MATCH</v>
      </c>
      <c r="AX165" t="str">
        <f t="shared" si="80"/>
        <v>MATCH</v>
      </c>
    </row>
    <row r="166" spans="1:50" ht="15.6" hidden="1">
      <c r="A166" s="1" t="s">
        <v>1270</v>
      </c>
      <c r="B166" s="1">
        <f t="shared" si="54"/>
        <v>2</v>
      </c>
      <c r="C166" s="16">
        <v>45649</v>
      </c>
      <c r="D166" s="16">
        <v>45649</v>
      </c>
      <c r="E166" s="16" t="str">
        <f t="shared" si="73"/>
        <v>Dec</v>
      </c>
      <c r="F166" s="1">
        <f t="shared" si="74"/>
        <v>2024</v>
      </c>
      <c r="G166" t="s">
        <v>803</v>
      </c>
      <c r="H166" s="17">
        <v>45914</v>
      </c>
      <c r="I166" s="21">
        <f t="shared" si="75"/>
        <v>265</v>
      </c>
      <c r="J166" s="6" t="str">
        <f t="shared" si="76"/>
        <v>OK</v>
      </c>
      <c r="K166" s="1" t="s">
        <v>1272</v>
      </c>
      <c r="L166" s="1" t="s">
        <v>103</v>
      </c>
      <c r="M166" s="1" t="str">
        <f t="shared" si="55"/>
        <v>Aditi Sen</v>
      </c>
      <c r="N166" s="1" t="s">
        <v>25</v>
      </c>
      <c r="O166" s="1" t="str">
        <f t="shared" si="56"/>
        <v>Consumer</v>
      </c>
      <c r="P166" s="1" t="s">
        <v>60</v>
      </c>
      <c r="Q166" s="1" t="str">
        <f t="shared" si="57"/>
        <v>South</v>
      </c>
      <c r="R166" s="1" t="str">
        <f t="shared" si="58"/>
        <v>OK</v>
      </c>
      <c r="S166" s="1" t="s">
        <v>212</v>
      </c>
      <c r="T166" s="1" t="str">
        <f t="shared" si="59"/>
        <v>Karnataka</v>
      </c>
      <c r="U166" s="1" t="s">
        <v>213</v>
      </c>
      <c r="V166" s="1" t="str">
        <f t="shared" si="60"/>
        <v>Bengaluru</v>
      </c>
      <c r="W166" s="1" t="s">
        <v>83</v>
      </c>
      <c r="X166" s="1" t="str">
        <f t="shared" si="61"/>
        <v>Technology</v>
      </c>
      <c r="Y166" s="1" t="s">
        <v>91</v>
      </c>
      <c r="Z166" s="1" t="str">
        <f t="shared" si="62"/>
        <v>Copiers</v>
      </c>
      <c r="AA166" s="1" t="s">
        <v>1273</v>
      </c>
      <c r="AB166" s="1" t="s">
        <v>65</v>
      </c>
      <c r="AC166" s="1" t="str">
        <f t="shared" si="63"/>
        <v>Standard Class</v>
      </c>
      <c r="AD166" s="1" t="str">
        <f t="shared" si="64"/>
        <v>OK</v>
      </c>
      <c r="AE166" s="1">
        <v>9</v>
      </c>
      <c r="AF166" s="1">
        <v>993.67</v>
      </c>
      <c r="AG166" s="9">
        <v>0</v>
      </c>
      <c r="AH166" s="9">
        <f t="shared" si="65"/>
        <v>0</v>
      </c>
      <c r="AI166" s="1" t="str">
        <f t="shared" si="66"/>
        <v>OK</v>
      </c>
      <c r="AJ166" s="1">
        <v>8943.0300000000007</v>
      </c>
      <c r="AK166" s="1">
        <v>5165.38</v>
      </c>
      <c r="AL166" s="1">
        <v>3777.65</v>
      </c>
      <c r="AM166" s="13">
        <f t="shared" si="67"/>
        <v>8943.0299999999988</v>
      </c>
      <c r="AN166" s="9">
        <f t="shared" si="68"/>
        <v>3777.6499999999987</v>
      </c>
      <c r="AO166" s="9">
        <f t="shared" si="77"/>
        <v>0.42241276167026154</v>
      </c>
      <c r="AP166" s="1" t="s">
        <v>33</v>
      </c>
      <c r="AQ166" s="1" t="str">
        <f t="shared" si="69"/>
        <v>Paid</v>
      </c>
      <c r="AR166" s="1" t="str">
        <f t="shared" si="70"/>
        <v>OK</v>
      </c>
      <c r="AS166" s="1" t="s">
        <v>34</v>
      </c>
      <c r="AT166" s="4" t="str">
        <f t="shared" si="71"/>
        <v>Completed</v>
      </c>
      <c r="AU166" s="3" t="str">
        <f t="shared" si="72"/>
        <v>OK</v>
      </c>
      <c r="AV166" s="3" t="str">
        <f t="shared" si="78"/>
        <v>CLEAN</v>
      </c>
      <c r="AW166" t="str">
        <f t="shared" si="79"/>
        <v>MATCH</v>
      </c>
      <c r="AX166" t="str">
        <f t="shared" si="80"/>
        <v>MATCH</v>
      </c>
    </row>
    <row r="167" spans="1:50" ht="15.6" hidden="1">
      <c r="A167" s="1" t="s">
        <v>1278</v>
      </c>
      <c r="B167" s="1">
        <f t="shared" si="54"/>
        <v>1</v>
      </c>
      <c r="C167" s="16">
        <v>45301</v>
      </c>
      <c r="D167" s="16">
        <v>45301</v>
      </c>
      <c r="E167" s="16" t="str">
        <f t="shared" si="73"/>
        <v>Jan</v>
      </c>
      <c r="F167" s="1">
        <f t="shared" si="74"/>
        <v>2024</v>
      </c>
      <c r="G167" t="s">
        <v>808</v>
      </c>
      <c r="H167" s="17">
        <v>45625</v>
      </c>
      <c r="I167" s="21">
        <f t="shared" si="75"/>
        <v>324</v>
      </c>
      <c r="J167" s="6" t="str">
        <f t="shared" si="76"/>
        <v>OK</v>
      </c>
      <c r="K167" s="1" t="s">
        <v>1280</v>
      </c>
      <c r="L167" s="1" t="s">
        <v>24</v>
      </c>
      <c r="M167" s="1" t="str">
        <f t="shared" si="55"/>
        <v>Karan Malhotra</v>
      </c>
      <c r="N167" s="1" t="s">
        <v>110</v>
      </c>
      <c r="O167" s="1" t="str">
        <f t="shared" si="56"/>
        <v>Home Office</v>
      </c>
      <c r="P167" s="1" t="s">
        <v>41</v>
      </c>
      <c r="Q167" s="1" t="str">
        <f t="shared" si="57"/>
        <v>East</v>
      </c>
      <c r="R167" s="1" t="str">
        <f t="shared" si="58"/>
        <v>OK</v>
      </c>
      <c r="S167" s="1" t="s">
        <v>201</v>
      </c>
      <c r="T167" s="1" t="str">
        <f t="shared" si="59"/>
        <v>Assam</v>
      </c>
      <c r="U167" s="1" t="s">
        <v>202</v>
      </c>
      <c r="V167" s="1" t="str">
        <f t="shared" si="60"/>
        <v>Guwahati</v>
      </c>
      <c r="W167" s="1" t="s">
        <v>44</v>
      </c>
      <c r="X167" s="1" t="str">
        <f t="shared" si="61"/>
        <v>Furniture</v>
      </c>
      <c r="Y167" s="1" t="s">
        <v>45</v>
      </c>
      <c r="Z167" s="1" t="str">
        <f t="shared" si="62"/>
        <v>Tables</v>
      </c>
      <c r="AA167" s="1" t="s">
        <v>1281</v>
      </c>
      <c r="AB167" s="1" t="s">
        <v>32</v>
      </c>
      <c r="AC167" s="1" t="str">
        <f t="shared" si="63"/>
        <v>Second Class</v>
      </c>
      <c r="AD167" s="1" t="str">
        <f t="shared" si="64"/>
        <v>OK</v>
      </c>
      <c r="AE167" s="1">
        <v>2</v>
      </c>
      <c r="AF167" s="1">
        <v>2298</v>
      </c>
      <c r="AG167" s="9">
        <v>0</v>
      </c>
      <c r="AH167" s="9">
        <f t="shared" si="65"/>
        <v>0</v>
      </c>
      <c r="AI167" s="1" t="str">
        <f t="shared" si="66"/>
        <v>OK</v>
      </c>
      <c r="AJ167" s="1">
        <v>4596</v>
      </c>
      <c r="AK167" s="1">
        <v>3220.33</v>
      </c>
      <c r="AL167" s="1">
        <v>1375.67</v>
      </c>
      <c r="AM167" s="13">
        <f t="shared" si="67"/>
        <v>4596</v>
      </c>
      <c r="AN167" s="9">
        <f t="shared" si="68"/>
        <v>1375.67</v>
      </c>
      <c r="AO167" s="9">
        <f t="shared" si="77"/>
        <v>0.29931897302001742</v>
      </c>
      <c r="AP167" s="1" t="s">
        <v>33</v>
      </c>
      <c r="AQ167" s="1" t="str">
        <f t="shared" si="69"/>
        <v>Paid</v>
      </c>
      <c r="AR167" s="1" t="str">
        <f t="shared" si="70"/>
        <v>OK</v>
      </c>
      <c r="AS167" s="1" t="s">
        <v>34</v>
      </c>
      <c r="AT167" s="4" t="str">
        <f t="shared" si="71"/>
        <v>Completed</v>
      </c>
      <c r="AU167" s="3" t="str">
        <f t="shared" si="72"/>
        <v>OK</v>
      </c>
      <c r="AV167" s="3" t="str">
        <f t="shared" si="78"/>
        <v>CLEAN</v>
      </c>
      <c r="AW167" t="str">
        <f t="shared" si="79"/>
        <v>MATCH</v>
      </c>
      <c r="AX167" t="str">
        <f t="shared" si="80"/>
        <v>MATCH</v>
      </c>
    </row>
    <row r="168" spans="1:50" ht="15.6" hidden="1">
      <c r="A168" s="1" t="s">
        <v>1287</v>
      </c>
      <c r="B168" s="1">
        <f t="shared" si="54"/>
        <v>1</v>
      </c>
      <c r="C168" s="16">
        <v>45516</v>
      </c>
      <c r="D168" s="16">
        <v>45516</v>
      </c>
      <c r="E168" s="16" t="str">
        <f t="shared" si="73"/>
        <v>Aug</v>
      </c>
      <c r="F168" s="1">
        <f t="shared" si="74"/>
        <v>2024</v>
      </c>
      <c r="G168" t="s">
        <v>95</v>
      </c>
      <c r="H168" s="17">
        <v>45714</v>
      </c>
      <c r="I168" s="21">
        <f t="shared" si="75"/>
        <v>198</v>
      </c>
      <c r="J168" s="6" t="str">
        <f t="shared" si="76"/>
        <v>OK</v>
      </c>
      <c r="K168" s="1" t="s">
        <v>1290</v>
      </c>
      <c r="L168" s="1" t="s">
        <v>24</v>
      </c>
      <c r="M168" s="1" t="str">
        <f t="shared" si="55"/>
        <v>Karan Malhotra</v>
      </c>
      <c r="N168" s="1" t="s">
        <v>25</v>
      </c>
      <c r="O168" s="1" t="str">
        <f t="shared" si="56"/>
        <v>Consumer</v>
      </c>
      <c r="P168" s="1" t="s">
        <v>41</v>
      </c>
      <c r="Q168" s="1" t="str">
        <f t="shared" si="57"/>
        <v>East</v>
      </c>
      <c r="R168" s="1" t="str">
        <f t="shared" si="58"/>
        <v>OK</v>
      </c>
      <c r="S168" s="1" t="s">
        <v>42</v>
      </c>
      <c r="T168" s="1" t="str">
        <f t="shared" si="59"/>
        <v>Odisha</v>
      </c>
      <c r="U168" s="1" t="s">
        <v>43</v>
      </c>
      <c r="V168" s="1" t="str">
        <f t="shared" si="60"/>
        <v>Bhubaneswar</v>
      </c>
      <c r="W168" s="1" t="s">
        <v>44</v>
      </c>
      <c r="X168" s="1" t="str">
        <f t="shared" si="61"/>
        <v>Furniture</v>
      </c>
      <c r="Y168" s="1" t="s">
        <v>45</v>
      </c>
      <c r="Z168" s="1" t="str">
        <f t="shared" si="62"/>
        <v>Tables</v>
      </c>
      <c r="AA168" s="1" t="s">
        <v>1291</v>
      </c>
      <c r="AB168" s="1" t="s">
        <v>47</v>
      </c>
      <c r="AC168" s="1" t="str">
        <f t="shared" si="63"/>
        <v>Same Day</v>
      </c>
      <c r="AD168" s="1" t="str">
        <f t="shared" si="64"/>
        <v>OK</v>
      </c>
      <c r="AE168" s="1">
        <v>3</v>
      </c>
      <c r="AF168" s="1">
        <v>1576.92</v>
      </c>
      <c r="AG168" s="9">
        <v>0</v>
      </c>
      <c r="AH168" s="9">
        <f t="shared" si="65"/>
        <v>0</v>
      </c>
      <c r="AI168" s="1" t="str">
        <f t="shared" si="66"/>
        <v>OK</v>
      </c>
      <c r="AJ168" s="1">
        <v>4730.76</v>
      </c>
      <c r="AK168" s="1">
        <v>3139.73</v>
      </c>
      <c r="AL168" s="1">
        <v>1591.03</v>
      </c>
      <c r="AM168" s="13">
        <f t="shared" si="67"/>
        <v>4730.76</v>
      </c>
      <c r="AN168" s="9">
        <f t="shared" si="68"/>
        <v>1591.0300000000002</v>
      </c>
      <c r="AO168" s="9">
        <f t="shared" si="77"/>
        <v>0.33631594077907145</v>
      </c>
      <c r="AP168" s="1" t="s">
        <v>33</v>
      </c>
      <c r="AQ168" s="1" t="str">
        <f t="shared" si="69"/>
        <v>Paid</v>
      </c>
      <c r="AR168" s="1" t="str">
        <f t="shared" si="70"/>
        <v>OK</v>
      </c>
      <c r="AS168" s="1" t="s">
        <v>120</v>
      </c>
      <c r="AT168" s="4" t="str">
        <f t="shared" si="71"/>
        <v>Returned</v>
      </c>
      <c r="AU168" s="3" t="str">
        <f t="shared" si="72"/>
        <v>RETURNED_ORDER</v>
      </c>
      <c r="AV168" s="3" t="str">
        <f t="shared" si="78"/>
        <v>CLEAN</v>
      </c>
      <c r="AW168" t="str">
        <f t="shared" si="79"/>
        <v>MATCH</v>
      </c>
      <c r="AX168" t="str">
        <f t="shared" si="80"/>
        <v>MATCH</v>
      </c>
    </row>
    <row r="169" spans="1:50" ht="15.6" hidden="1">
      <c r="A169" s="1" t="s">
        <v>1296</v>
      </c>
      <c r="B169" s="1">
        <f t="shared" si="54"/>
        <v>1</v>
      </c>
      <c r="C169" s="16">
        <v>45350</v>
      </c>
      <c r="D169" s="16">
        <v>45350</v>
      </c>
      <c r="E169" s="16" t="str">
        <f t="shared" si="73"/>
        <v>Feb</v>
      </c>
      <c r="F169" s="1">
        <f t="shared" si="74"/>
        <v>2024</v>
      </c>
      <c r="G169" t="s">
        <v>817</v>
      </c>
      <c r="H169" s="17">
        <v>45887</v>
      </c>
      <c r="I169" s="21">
        <f t="shared" si="75"/>
        <v>537</v>
      </c>
      <c r="J169" s="6" t="str">
        <f t="shared" si="76"/>
        <v>OK</v>
      </c>
      <c r="K169" s="1" t="s">
        <v>1299</v>
      </c>
      <c r="L169" s="1" t="s">
        <v>136</v>
      </c>
      <c r="M169" s="1" t="str">
        <f t="shared" si="55"/>
        <v>Priya Menon</v>
      </c>
      <c r="N169" s="1" t="s">
        <v>40</v>
      </c>
      <c r="O169" s="1" t="str">
        <f t="shared" si="56"/>
        <v>Small Business</v>
      </c>
      <c r="P169" s="1" t="s">
        <v>26</v>
      </c>
      <c r="Q169" s="1" t="str">
        <f t="shared" si="57"/>
        <v>North</v>
      </c>
      <c r="R169" s="1" t="str">
        <f t="shared" si="58"/>
        <v>OK</v>
      </c>
      <c r="S169" s="1" t="s">
        <v>454</v>
      </c>
      <c r="T169" s="1" t="str">
        <f t="shared" si="59"/>
        <v>Delhi</v>
      </c>
      <c r="U169" s="1" t="s">
        <v>455</v>
      </c>
      <c r="V169" s="1" t="str">
        <f t="shared" si="60"/>
        <v>New Delhi</v>
      </c>
      <c r="W169" s="1" t="s">
        <v>44</v>
      </c>
      <c r="X169" s="1" t="str">
        <f t="shared" si="61"/>
        <v>Furniture</v>
      </c>
      <c r="Y169" s="1" t="s">
        <v>63</v>
      </c>
      <c r="Z169" s="1" t="str">
        <f t="shared" si="62"/>
        <v>Furnishings</v>
      </c>
      <c r="AA169" s="1" t="s">
        <v>1300</v>
      </c>
      <c r="AB169" s="1" t="s">
        <v>55</v>
      </c>
      <c r="AC169" s="1" t="str">
        <f t="shared" si="63"/>
        <v>First Class</v>
      </c>
      <c r="AD169" s="1" t="str">
        <f t="shared" si="64"/>
        <v>OK</v>
      </c>
      <c r="AE169" s="1">
        <v>7</v>
      </c>
      <c r="AF169" s="1">
        <v>701.8</v>
      </c>
      <c r="AG169" s="9">
        <v>0.1</v>
      </c>
      <c r="AH169" s="9">
        <f t="shared" si="65"/>
        <v>0.1</v>
      </c>
      <c r="AI169" s="1" t="str">
        <f t="shared" si="66"/>
        <v>OK</v>
      </c>
      <c r="AJ169" s="1">
        <v>4421.34</v>
      </c>
      <c r="AK169" s="1">
        <v>2489.98</v>
      </c>
      <c r="AL169" s="1">
        <v>1931.36</v>
      </c>
      <c r="AM169" s="13">
        <f t="shared" si="67"/>
        <v>4421.3399999999992</v>
      </c>
      <c r="AN169" s="9">
        <f t="shared" si="68"/>
        <v>1931.3599999999992</v>
      </c>
      <c r="AO169" s="9">
        <f t="shared" si="77"/>
        <v>0.43682684435035524</v>
      </c>
      <c r="AP169" s="1" t="s">
        <v>131</v>
      </c>
      <c r="AQ169" s="1" t="str">
        <f t="shared" si="69"/>
        <v>Pending</v>
      </c>
      <c r="AR169" s="1" t="str">
        <f t="shared" si="70"/>
        <v>OK</v>
      </c>
      <c r="AS169" s="1" t="s">
        <v>120</v>
      </c>
      <c r="AT169" s="4" t="str">
        <f t="shared" si="71"/>
        <v>Returned</v>
      </c>
      <c r="AU169" s="3" t="str">
        <f t="shared" si="72"/>
        <v>RETURNED_ORDER</v>
      </c>
      <c r="AV169" s="3" t="str">
        <f t="shared" si="78"/>
        <v>CLEAN</v>
      </c>
      <c r="AW169" t="str">
        <f t="shared" si="79"/>
        <v>MATCH</v>
      </c>
      <c r="AX169" t="str">
        <f t="shared" si="80"/>
        <v>MATCH</v>
      </c>
    </row>
    <row r="170" spans="1:50" ht="15.6" hidden="1">
      <c r="A170" s="1" t="s">
        <v>1301</v>
      </c>
      <c r="B170" s="1">
        <f t="shared" si="54"/>
        <v>1</v>
      </c>
      <c r="C170" s="16">
        <v>45421</v>
      </c>
      <c r="D170" s="16">
        <v>45421</v>
      </c>
      <c r="E170" s="16" t="str">
        <f t="shared" si="73"/>
        <v>May</v>
      </c>
      <c r="F170" s="1">
        <f t="shared" si="74"/>
        <v>2024</v>
      </c>
      <c r="G170" t="s">
        <v>172</v>
      </c>
      <c r="H170" s="17">
        <v>45680</v>
      </c>
      <c r="I170" s="21">
        <f t="shared" si="75"/>
        <v>259</v>
      </c>
      <c r="J170" s="6" t="str">
        <f t="shared" si="76"/>
        <v>OK</v>
      </c>
      <c r="K170" s="1" t="s">
        <v>1303</v>
      </c>
      <c r="L170" s="1" t="s">
        <v>90</v>
      </c>
      <c r="M170" s="1" t="str">
        <f t="shared" si="55"/>
        <v>Neha Gupta</v>
      </c>
      <c r="N170" s="1" t="s">
        <v>40</v>
      </c>
      <c r="O170" s="1" t="str">
        <f t="shared" si="56"/>
        <v>Small Business</v>
      </c>
      <c r="P170" s="1" t="s">
        <v>60</v>
      </c>
      <c r="Q170" s="1" t="str">
        <f t="shared" si="57"/>
        <v>South</v>
      </c>
      <c r="R170" s="1" t="str">
        <f t="shared" si="58"/>
        <v>OK</v>
      </c>
      <c r="S170" s="1" t="s">
        <v>309</v>
      </c>
      <c r="T170" s="1" t="str">
        <f t="shared" si="59"/>
        <v>Tamil Nadu</v>
      </c>
      <c r="U170" s="1" t="s">
        <v>310</v>
      </c>
      <c r="V170" s="1" t="str">
        <f t="shared" si="60"/>
        <v>Chennai</v>
      </c>
      <c r="W170" s="1" t="s">
        <v>83</v>
      </c>
      <c r="X170" s="1" t="str">
        <f t="shared" si="61"/>
        <v>Technology</v>
      </c>
      <c r="Y170" s="1" t="s">
        <v>91</v>
      </c>
      <c r="Z170" s="1" t="str">
        <f t="shared" si="62"/>
        <v>Copiers</v>
      </c>
      <c r="AA170" s="1" t="s">
        <v>1304</v>
      </c>
      <c r="AB170" s="1" t="s">
        <v>65</v>
      </c>
      <c r="AC170" s="1" t="str">
        <f t="shared" si="63"/>
        <v>Standard Class</v>
      </c>
      <c r="AD170" s="1" t="str">
        <f t="shared" si="64"/>
        <v>OK</v>
      </c>
      <c r="AE170" s="1">
        <v>3</v>
      </c>
      <c r="AF170" s="1">
        <v>2555.66</v>
      </c>
      <c r="AG170" s="9">
        <v>0.15</v>
      </c>
      <c r="AH170" s="9">
        <f t="shared" si="65"/>
        <v>0.15</v>
      </c>
      <c r="AI170" s="1" t="str">
        <f t="shared" si="66"/>
        <v>OK</v>
      </c>
      <c r="AJ170" s="1">
        <v>6516.93</v>
      </c>
      <c r="AK170" s="1">
        <v>4511.54</v>
      </c>
      <c r="AL170" s="1">
        <v>2005.39</v>
      </c>
      <c r="AM170" s="13">
        <f t="shared" si="67"/>
        <v>6516.9329999999991</v>
      </c>
      <c r="AN170" s="9">
        <f t="shared" si="68"/>
        <v>2005.3929999999991</v>
      </c>
      <c r="AO170" s="9">
        <f t="shared" si="77"/>
        <v>0.30772036477895343</v>
      </c>
      <c r="AP170" s="1" t="s">
        <v>33</v>
      </c>
      <c r="AQ170" s="1" t="str">
        <f t="shared" si="69"/>
        <v>Paid</v>
      </c>
      <c r="AR170" s="1" t="str">
        <f t="shared" si="70"/>
        <v>OK</v>
      </c>
      <c r="AS170" s="1" t="s">
        <v>76</v>
      </c>
      <c r="AT170" s="4" t="str">
        <f t="shared" si="71"/>
        <v>Cancelled</v>
      </c>
      <c r="AU170" s="3" t="str">
        <f t="shared" si="72"/>
        <v>EXCLUDE_FROM_SALES</v>
      </c>
      <c r="AV170" s="3" t="str">
        <f t="shared" si="78"/>
        <v>CLEAN</v>
      </c>
      <c r="AW170" t="str">
        <f t="shared" si="79"/>
        <v>MATCH</v>
      </c>
      <c r="AX170" t="str">
        <f t="shared" si="80"/>
        <v>MATCH</v>
      </c>
    </row>
    <row r="171" spans="1:50" ht="15.6" hidden="1">
      <c r="A171" s="1" t="s">
        <v>1305</v>
      </c>
      <c r="B171" s="1">
        <f t="shared" si="54"/>
        <v>1</v>
      </c>
      <c r="C171" s="16">
        <v>45467</v>
      </c>
      <c r="D171" s="16">
        <v>45467</v>
      </c>
      <c r="E171" s="16" t="str">
        <f t="shared" si="73"/>
        <v>Jun</v>
      </c>
      <c r="F171" s="1">
        <f t="shared" si="74"/>
        <v>2024</v>
      </c>
      <c r="G171" t="s">
        <v>824</v>
      </c>
      <c r="H171" s="17">
        <v>45913</v>
      </c>
      <c r="I171" s="21">
        <f t="shared" si="75"/>
        <v>446</v>
      </c>
      <c r="J171" s="6" t="str">
        <f t="shared" si="76"/>
        <v>OK</v>
      </c>
      <c r="K171" s="1" t="s">
        <v>1307</v>
      </c>
      <c r="L171" s="1" t="s">
        <v>169</v>
      </c>
      <c r="M171" s="1" t="str">
        <f t="shared" si="55"/>
        <v>Rohan Mehta</v>
      </c>
      <c r="N171" s="1" t="s">
        <v>40</v>
      </c>
      <c r="O171" s="1" t="str">
        <f t="shared" si="56"/>
        <v>Small Business</v>
      </c>
      <c r="P171" s="1" t="s">
        <v>41</v>
      </c>
      <c r="Q171" s="1" t="str">
        <f t="shared" si="57"/>
        <v>East</v>
      </c>
      <c r="R171" s="1" t="str">
        <f t="shared" si="58"/>
        <v>OK</v>
      </c>
      <c r="S171" s="1" t="s">
        <v>174</v>
      </c>
      <c r="T171" s="1" t="str">
        <f t="shared" si="59"/>
        <v>Bihar</v>
      </c>
      <c r="U171" s="1" t="s">
        <v>175</v>
      </c>
      <c r="V171" s="1" t="str">
        <f t="shared" si="60"/>
        <v>Patna</v>
      </c>
      <c r="W171" s="1" t="s">
        <v>29</v>
      </c>
      <c r="X171" s="1" t="str">
        <f t="shared" si="61"/>
        <v>Office Supplies</v>
      </c>
      <c r="Y171" s="1" t="s">
        <v>184</v>
      </c>
      <c r="Z171" s="1" t="str">
        <f t="shared" si="62"/>
        <v>Binders</v>
      </c>
      <c r="AA171" s="1" t="s">
        <v>1308</v>
      </c>
      <c r="AB171" s="1" t="s">
        <v>47</v>
      </c>
      <c r="AC171" s="1" t="str">
        <f t="shared" si="63"/>
        <v>Same Day</v>
      </c>
      <c r="AD171" s="1" t="str">
        <f t="shared" si="64"/>
        <v>OK</v>
      </c>
      <c r="AE171" s="1">
        <v>2</v>
      </c>
      <c r="AF171" s="1">
        <v>4359.8999999999996</v>
      </c>
      <c r="AG171" s="9">
        <v>0.15</v>
      </c>
      <c r="AH171" s="9">
        <f t="shared" si="65"/>
        <v>0.15</v>
      </c>
      <c r="AI171" s="1" t="str">
        <f t="shared" si="66"/>
        <v>OK</v>
      </c>
      <c r="AJ171" s="1">
        <v>7411.83</v>
      </c>
      <c r="AK171" s="1">
        <v>4904.63</v>
      </c>
      <c r="AL171" s="1">
        <v>2507.1999999999998</v>
      </c>
      <c r="AM171" s="13">
        <f t="shared" si="67"/>
        <v>7411.829999999999</v>
      </c>
      <c r="AN171" s="9">
        <f t="shared" si="68"/>
        <v>2507.1999999999989</v>
      </c>
      <c r="AO171" s="9">
        <f t="shared" si="77"/>
        <v>0.3382700358750807</v>
      </c>
      <c r="AP171" s="1" t="s">
        <v>33</v>
      </c>
      <c r="AQ171" s="1" t="str">
        <f t="shared" si="69"/>
        <v>Paid</v>
      </c>
      <c r="AR171" s="1" t="str">
        <f t="shared" si="70"/>
        <v>OK</v>
      </c>
      <c r="AS171" s="1" t="s">
        <v>34</v>
      </c>
      <c r="AT171" s="4" t="str">
        <f t="shared" si="71"/>
        <v>Completed</v>
      </c>
      <c r="AU171" s="3" t="str">
        <f t="shared" si="72"/>
        <v>OK</v>
      </c>
      <c r="AV171" s="3" t="str">
        <f t="shared" si="78"/>
        <v>CLEAN</v>
      </c>
      <c r="AW171" t="str">
        <f t="shared" si="79"/>
        <v>MATCH</v>
      </c>
      <c r="AX171" t="str">
        <f t="shared" si="80"/>
        <v>MATCH</v>
      </c>
    </row>
    <row r="172" spans="1:50" ht="15.6" hidden="1">
      <c r="A172" s="1" t="s">
        <v>1317</v>
      </c>
      <c r="B172" s="1">
        <f t="shared" si="54"/>
        <v>1</v>
      </c>
      <c r="C172" s="16">
        <v>45416</v>
      </c>
      <c r="D172" s="16">
        <v>45416</v>
      </c>
      <c r="E172" s="16" t="str">
        <f t="shared" si="73"/>
        <v>May</v>
      </c>
      <c r="F172" s="1">
        <f t="shared" si="74"/>
        <v>2024</v>
      </c>
      <c r="G172" t="s">
        <v>828</v>
      </c>
      <c r="H172" s="17">
        <v>45915</v>
      </c>
      <c r="I172" s="21">
        <f t="shared" si="75"/>
        <v>499</v>
      </c>
      <c r="J172" s="6" t="str">
        <f t="shared" si="76"/>
        <v>OK</v>
      </c>
      <c r="K172" s="1" t="s">
        <v>1319</v>
      </c>
      <c r="L172" s="1" t="s">
        <v>136</v>
      </c>
      <c r="M172" s="1" t="str">
        <f t="shared" si="55"/>
        <v>Priya Menon</v>
      </c>
      <c r="N172" s="1" t="s">
        <v>110</v>
      </c>
      <c r="O172" s="1" t="str">
        <f t="shared" si="56"/>
        <v>Home Office</v>
      </c>
      <c r="P172" s="1" t="s">
        <v>26</v>
      </c>
      <c r="Q172" s="1" t="str">
        <f t="shared" si="57"/>
        <v>North</v>
      </c>
      <c r="R172" s="1" t="str">
        <f t="shared" si="58"/>
        <v>OK</v>
      </c>
      <c r="S172" s="1" t="s">
        <v>27</v>
      </c>
      <c r="T172" s="1" t="str">
        <f t="shared" si="59"/>
        <v>Rajasthan</v>
      </c>
      <c r="U172" s="1" t="s">
        <v>28</v>
      </c>
      <c r="V172" s="1" t="str">
        <f t="shared" si="60"/>
        <v>Jaipur</v>
      </c>
      <c r="W172" s="1" t="s">
        <v>29</v>
      </c>
      <c r="X172" s="1" t="str">
        <f t="shared" si="61"/>
        <v>Office Supplies</v>
      </c>
      <c r="Y172" s="1" t="s">
        <v>184</v>
      </c>
      <c r="Z172" s="1" t="str">
        <f t="shared" si="62"/>
        <v>Binders</v>
      </c>
      <c r="AA172" s="1" t="s">
        <v>1320</v>
      </c>
      <c r="AB172" s="1" t="s">
        <v>65</v>
      </c>
      <c r="AC172" s="1" t="str">
        <f t="shared" si="63"/>
        <v>Standard Class</v>
      </c>
      <c r="AD172" s="1" t="str">
        <f t="shared" si="64"/>
        <v>OK</v>
      </c>
      <c r="AE172" s="1">
        <v>4</v>
      </c>
      <c r="AF172" s="1">
        <v>3228.66</v>
      </c>
      <c r="AG172" s="9">
        <v>0.25</v>
      </c>
      <c r="AH172" s="9">
        <f t="shared" si="65"/>
        <v>0.25</v>
      </c>
      <c r="AI172" s="1" t="str">
        <f t="shared" si="66"/>
        <v>OK</v>
      </c>
      <c r="AJ172" s="1">
        <v>9685.98</v>
      </c>
      <c r="AK172" s="1">
        <v>7730.04</v>
      </c>
      <c r="AL172" s="1">
        <v>1955.94</v>
      </c>
      <c r="AM172" s="13">
        <f t="shared" si="67"/>
        <v>9685.98</v>
      </c>
      <c r="AN172" s="9">
        <f t="shared" si="68"/>
        <v>1955.9399999999996</v>
      </c>
      <c r="AO172" s="9">
        <f t="shared" si="77"/>
        <v>0.20193516815025425</v>
      </c>
      <c r="AP172" s="1" t="s">
        <v>33</v>
      </c>
      <c r="AQ172" s="1" t="str">
        <f t="shared" si="69"/>
        <v>Paid</v>
      </c>
      <c r="AR172" s="1" t="str">
        <f t="shared" si="70"/>
        <v>OK</v>
      </c>
      <c r="AS172" s="1" t="s">
        <v>34</v>
      </c>
      <c r="AT172" s="4" t="str">
        <f t="shared" si="71"/>
        <v>Completed</v>
      </c>
      <c r="AU172" s="3" t="str">
        <f t="shared" si="72"/>
        <v>OK</v>
      </c>
      <c r="AV172" s="3" t="str">
        <f t="shared" si="78"/>
        <v>CLEAN</v>
      </c>
      <c r="AW172" t="str">
        <f t="shared" si="79"/>
        <v>MATCH</v>
      </c>
      <c r="AX172" t="str">
        <f t="shared" si="80"/>
        <v>MATCH</v>
      </c>
    </row>
    <row r="173" spans="1:50" ht="15.6" hidden="1">
      <c r="A173" s="1" t="s">
        <v>1325</v>
      </c>
      <c r="B173" s="1">
        <f t="shared" si="54"/>
        <v>1</v>
      </c>
      <c r="C173" s="16">
        <v>45476</v>
      </c>
      <c r="D173" s="16">
        <v>45476</v>
      </c>
      <c r="E173" s="16" t="str">
        <f t="shared" si="73"/>
        <v>Jul</v>
      </c>
      <c r="F173" s="1">
        <f t="shared" si="74"/>
        <v>2024</v>
      </c>
      <c r="G173" t="s">
        <v>832</v>
      </c>
      <c r="H173" s="17">
        <v>45713</v>
      </c>
      <c r="I173" s="21">
        <f t="shared" si="75"/>
        <v>237</v>
      </c>
      <c r="J173" s="6" t="str">
        <f t="shared" si="76"/>
        <v>OK</v>
      </c>
      <c r="K173" s="1" t="s">
        <v>1328</v>
      </c>
      <c r="L173" s="1" t="s">
        <v>59</v>
      </c>
      <c r="M173" s="1" t="str">
        <f t="shared" si="55"/>
        <v>Arjun Bose</v>
      </c>
      <c r="N173" s="1" t="s">
        <v>110</v>
      </c>
      <c r="O173" s="1" t="str">
        <f t="shared" si="56"/>
        <v>Home Office</v>
      </c>
      <c r="P173" s="1" t="s">
        <v>60</v>
      </c>
      <c r="Q173" s="1" t="str">
        <f t="shared" si="57"/>
        <v>South</v>
      </c>
      <c r="R173" s="1" t="str">
        <f t="shared" si="58"/>
        <v>OK</v>
      </c>
      <c r="S173" s="1" t="s">
        <v>61</v>
      </c>
      <c r="T173" s="1" t="str">
        <f t="shared" si="59"/>
        <v>Telangana</v>
      </c>
      <c r="U173" s="1" t="s">
        <v>62</v>
      </c>
      <c r="V173" s="1" t="str">
        <f t="shared" si="60"/>
        <v>Hyderabad</v>
      </c>
      <c r="W173" s="1" t="s">
        <v>83</v>
      </c>
      <c r="X173" s="1" t="str">
        <f t="shared" si="61"/>
        <v>Technology</v>
      </c>
      <c r="Y173" s="1" t="s">
        <v>207</v>
      </c>
      <c r="Z173" s="1" t="str">
        <f t="shared" si="62"/>
        <v>Phones</v>
      </c>
      <c r="AA173" s="1" t="s">
        <v>1329</v>
      </c>
      <c r="AB173" s="1" t="s">
        <v>55</v>
      </c>
      <c r="AC173" s="1" t="str">
        <f t="shared" si="63"/>
        <v>First Class</v>
      </c>
      <c r="AD173" s="1" t="str">
        <f t="shared" si="64"/>
        <v>OK</v>
      </c>
      <c r="AE173" s="1">
        <v>2</v>
      </c>
      <c r="AF173" s="1">
        <v>4401.51</v>
      </c>
      <c r="AG173" s="9">
        <v>0.65</v>
      </c>
      <c r="AH173" s="9">
        <f t="shared" si="65"/>
        <v>0.65</v>
      </c>
      <c r="AI173" s="1" t="str">
        <f t="shared" si="66"/>
        <v>OK</v>
      </c>
      <c r="AJ173" s="1">
        <v>8362.8700000000008</v>
      </c>
      <c r="AK173" s="1">
        <v>6541.04</v>
      </c>
      <c r="AL173" s="1">
        <v>1821.83</v>
      </c>
      <c r="AM173" s="13">
        <f t="shared" si="67"/>
        <v>3081.0569999999998</v>
      </c>
      <c r="AN173" s="9">
        <f t="shared" si="68"/>
        <v>-3459.9830000000002</v>
      </c>
      <c r="AO173" s="9">
        <f t="shared" si="77"/>
        <v>-1.1229857156164267</v>
      </c>
      <c r="AP173" s="1" t="s">
        <v>33</v>
      </c>
      <c r="AQ173" s="1" t="str">
        <f t="shared" si="69"/>
        <v>Paid</v>
      </c>
      <c r="AR173" s="1" t="str">
        <f t="shared" si="70"/>
        <v>OK</v>
      </c>
      <c r="AS173" s="1" t="s">
        <v>34</v>
      </c>
      <c r="AT173" s="4" t="str">
        <f t="shared" si="71"/>
        <v>Completed</v>
      </c>
      <c r="AU173" s="3" t="str">
        <f t="shared" si="72"/>
        <v>OK</v>
      </c>
      <c r="AV173" s="3" t="str">
        <f t="shared" si="78"/>
        <v>CLEAN</v>
      </c>
      <c r="AW173" t="str">
        <f t="shared" si="79"/>
        <v>MISMATCH</v>
      </c>
      <c r="AX173" t="str">
        <f t="shared" si="80"/>
        <v>MISMATCH</v>
      </c>
    </row>
    <row r="174" spans="1:50" ht="15.6" hidden="1">
      <c r="A174" s="1" t="s">
        <v>1344</v>
      </c>
      <c r="B174" s="1">
        <f t="shared" si="54"/>
        <v>1</v>
      </c>
      <c r="C174" s="16">
        <v>45594</v>
      </c>
      <c r="D174" s="16">
        <v>45594</v>
      </c>
      <c r="E174" s="16" t="str">
        <f t="shared" si="73"/>
        <v>Oct</v>
      </c>
      <c r="F174" s="1">
        <f t="shared" si="74"/>
        <v>2024</v>
      </c>
      <c r="G174" t="s">
        <v>837</v>
      </c>
      <c r="H174" s="17">
        <v>45938</v>
      </c>
      <c r="I174" s="21">
        <f t="shared" si="75"/>
        <v>344</v>
      </c>
      <c r="J174" s="6" t="str">
        <f t="shared" si="76"/>
        <v>OK</v>
      </c>
      <c r="K174" s="1" t="s">
        <v>1346</v>
      </c>
      <c r="L174" s="1" t="s">
        <v>158</v>
      </c>
      <c r="M174" s="1" t="str">
        <f t="shared" si="55"/>
        <v>Sneha Kapoor</v>
      </c>
      <c r="N174" s="1" t="s">
        <v>104</v>
      </c>
      <c r="O174" s="1" t="str">
        <f t="shared" si="56"/>
        <v>Corporate</v>
      </c>
      <c r="P174" s="1" t="s">
        <v>60</v>
      </c>
      <c r="Q174" s="1" t="str">
        <f t="shared" si="57"/>
        <v>South</v>
      </c>
      <c r="R174" s="1" t="str">
        <f t="shared" si="58"/>
        <v>OK</v>
      </c>
      <c r="S174" s="1" t="s">
        <v>309</v>
      </c>
      <c r="T174" s="1" t="str">
        <f t="shared" si="59"/>
        <v>Tamil Nadu</v>
      </c>
      <c r="U174" s="1" t="s">
        <v>310</v>
      </c>
      <c r="V174" s="1" t="str">
        <f t="shared" si="60"/>
        <v>Chennai</v>
      </c>
      <c r="W174" s="1" t="s">
        <v>83</v>
      </c>
      <c r="X174" s="1" t="str">
        <f t="shared" si="61"/>
        <v>Technology</v>
      </c>
      <c r="Y174" s="1" t="s">
        <v>91</v>
      </c>
      <c r="Z174" s="1" t="str">
        <f t="shared" si="62"/>
        <v>Copiers</v>
      </c>
      <c r="AA174" s="1" t="s">
        <v>1347</v>
      </c>
      <c r="AB174" s="1" t="s">
        <v>47</v>
      </c>
      <c r="AC174" s="1" t="str">
        <f t="shared" si="63"/>
        <v>Same Day</v>
      </c>
      <c r="AD174" s="1" t="str">
        <f t="shared" si="64"/>
        <v>OK</v>
      </c>
      <c r="AE174" s="1">
        <v>6</v>
      </c>
      <c r="AF174" s="1">
        <v>1169.92</v>
      </c>
      <c r="AG174" s="9">
        <v>0.15</v>
      </c>
      <c r="AH174" s="9">
        <f t="shared" si="65"/>
        <v>0.15</v>
      </c>
      <c r="AI174" s="1" t="str">
        <f t="shared" si="66"/>
        <v>OK</v>
      </c>
      <c r="AJ174" s="1">
        <v>5966.59</v>
      </c>
      <c r="AK174" s="1">
        <v>3994.72</v>
      </c>
      <c r="AL174" s="1">
        <v>1971.87</v>
      </c>
      <c r="AM174" s="13">
        <f t="shared" si="67"/>
        <v>5966.5920000000006</v>
      </c>
      <c r="AN174" s="9">
        <f t="shared" si="68"/>
        <v>1971.8720000000008</v>
      </c>
      <c r="AO174" s="9">
        <f t="shared" si="77"/>
        <v>0.33048547646629778</v>
      </c>
      <c r="AP174" s="1" t="s">
        <v>33</v>
      </c>
      <c r="AQ174" s="1" t="str">
        <f t="shared" si="69"/>
        <v>Paid</v>
      </c>
      <c r="AR174" s="1" t="str">
        <f t="shared" si="70"/>
        <v>OK</v>
      </c>
      <c r="AS174" s="1" t="s">
        <v>34</v>
      </c>
      <c r="AT174" s="4" t="str">
        <f t="shared" si="71"/>
        <v>Completed</v>
      </c>
      <c r="AU174" s="3" t="str">
        <f t="shared" si="72"/>
        <v>OK</v>
      </c>
      <c r="AV174" s="3" t="str">
        <f t="shared" si="78"/>
        <v>CLEAN</v>
      </c>
      <c r="AW174" t="str">
        <f t="shared" si="79"/>
        <v>MATCH</v>
      </c>
      <c r="AX174" t="str">
        <f t="shared" si="80"/>
        <v>MATCH</v>
      </c>
    </row>
    <row r="175" spans="1:50" ht="15.6">
      <c r="A175" s="1" t="s">
        <v>1352</v>
      </c>
      <c r="B175" s="1">
        <f t="shared" si="54"/>
        <v>1</v>
      </c>
      <c r="C175" s="16">
        <v>45602</v>
      </c>
      <c r="D175" s="16">
        <v>45602</v>
      </c>
      <c r="E175" s="16" t="str">
        <f t="shared" si="73"/>
        <v>Nov</v>
      </c>
      <c r="F175" s="1">
        <f t="shared" si="74"/>
        <v>2024</v>
      </c>
      <c r="G175" t="s">
        <v>842</v>
      </c>
      <c r="H175" s="17">
        <v>45420</v>
      </c>
      <c r="I175" s="21">
        <f t="shared" si="75"/>
        <v>-182</v>
      </c>
      <c r="J175" s="6" t="str">
        <f t="shared" si="76"/>
        <v>INVALID_SHIPPING</v>
      </c>
      <c r="K175" s="1" t="s">
        <v>1354</v>
      </c>
      <c r="L175" s="1" t="s">
        <v>141</v>
      </c>
      <c r="M175" s="1" t="str">
        <f t="shared" si="55"/>
        <v>Rahul Verma</v>
      </c>
      <c r="N175" s="1" t="s">
        <v>40</v>
      </c>
      <c r="O175" s="1" t="str">
        <f t="shared" si="56"/>
        <v>Small Business</v>
      </c>
      <c r="P175" s="1" t="s">
        <v>71</v>
      </c>
      <c r="Q175" s="1" t="str">
        <f t="shared" si="57"/>
        <v>West</v>
      </c>
      <c r="R175" s="1" t="str">
        <f t="shared" si="58"/>
        <v>OK</v>
      </c>
      <c r="S175" s="1" t="s">
        <v>218</v>
      </c>
      <c r="T175" s="1" t="str">
        <f t="shared" si="59"/>
        <v>Gujarat</v>
      </c>
      <c r="U175" s="1" t="s">
        <v>219</v>
      </c>
      <c r="V175" s="1" t="str">
        <f t="shared" si="60"/>
        <v>Ahmedabad</v>
      </c>
      <c r="W175" s="1" t="s">
        <v>83</v>
      </c>
      <c r="X175" s="1" t="str">
        <f t="shared" si="61"/>
        <v>Technology</v>
      </c>
      <c r="Y175" s="1" t="s">
        <v>84</v>
      </c>
      <c r="Z175" s="1" t="str">
        <f t="shared" si="62"/>
        <v>Accessories</v>
      </c>
      <c r="AA175" s="1" t="s">
        <v>1355</v>
      </c>
      <c r="AB175" s="1" t="s">
        <v>65</v>
      </c>
      <c r="AC175" s="1" t="str">
        <f t="shared" si="63"/>
        <v>Standard Class</v>
      </c>
      <c r="AD175" s="1" t="str">
        <f t="shared" si="64"/>
        <v>OK</v>
      </c>
      <c r="AE175" s="1">
        <v>7</v>
      </c>
      <c r="AF175" s="1">
        <v>1719.05</v>
      </c>
      <c r="AG175" s="9">
        <v>0.1</v>
      </c>
      <c r="AH175" s="9">
        <f t="shared" si="65"/>
        <v>0.1</v>
      </c>
      <c r="AI175" s="1" t="str">
        <f t="shared" si="66"/>
        <v>OK</v>
      </c>
      <c r="AJ175" s="1">
        <v>10830.02</v>
      </c>
      <c r="AK175" s="1">
        <v>7055.31</v>
      </c>
      <c r="AL175" s="1">
        <v>3774.71</v>
      </c>
      <c r="AM175" s="13">
        <f t="shared" si="67"/>
        <v>10830.015000000001</v>
      </c>
      <c r="AN175" s="9">
        <f t="shared" si="68"/>
        <v>3774.7050000000008</v>
      </c>
      <c r="AO175" s="9">
        <f t="shared" si="77"/>
        <v>0.34854106850267524</v>
      </c>
      <c r="AP175" s="1" t="s">
        <v>33</v>
      </c>
      <c r="AQ175" s="1" t="str">
        <f t="shared" si="69"/>
        <v>Paid</v>
      </c>
      <c r="AR175" s="1" t="str">
        <f t="shared" si="70"/>
        <v>OK</v>
      </c>
      <c r="AS175" s="1" t="s">
        <v>34</v>
      </c>
      <c r="AT175" s="4" t="str">
        <f t="shared" si="71"/>
        <v>Completed</v>
      </c>
      <c r="AU175" s="3" t="str">
        <f t="shared" si="72"/>
        <v>OK</v>
      </c>
      <c r="AV175" s="3" t="str">
        <f t="shared" si="78"/>
        <v>INVALID</v>
      </c>
      <c r="AW175" t="str">
        <f t="shared" si="79"/>
        <v>MATCH</v>
      </c>
      <c r="AX175" t="str">
        <f t="shared" si="80"/>
        <v>MATCH</v>
      </c>
    </row>
    <row r="176" spans="1:50" ht="15.6" hidden="1">
      <c r="A176" s="1" t="s">
        <v>1356</v>
      </c>
      <c r="B176" s="1">
        <f t="shared" si="54"/>
        <v>1</v>
      </c>
      <c r="C176" s="16">
        <v>45397</v>
      </c>
      <c r="D176" s="16">
        <v>45397</v>
      </c>
      <c r="E176" s="16" t="str">
        <f t="shared" si="73"/>
        <v>Apr</v>
      </c>
      <c r="F176" s="1">
        <f t="shared" si="74"/>
        <v>2024</v>
      </c>
      <c r="G176" t="s">
        <v>847</v>
      </c>
      <c r="H176" s="17">
        <v>45757</v>
      </c>
      <c r="I176" s="21">
        <f t="shared" si="75"/>
        <v>360</v>
      </c>
      <c r="J176" s="6" t="str">
        <f t="shared" si="76"/>
        <v>OK</v>
      </c>
      <c r="K176" s="1" t="s">
        <v>1359</v>
      </c>
      <c r="L176" s="1" t="s">
        <v>196</v>
      </c>
      <c r="M176" s="1" t="str">
        <f t="shared" si="55"/>
        <v>Diya Patel</v>
      </c>
      <c r="N176" s="1" t="s">
        <v>40</v>
      </c>
      <c r="O176" s="1" t="str">
        <f t="shared" si="56"/>
        <v>Small Business</v>
      </c>
      <c r="P176" s="1" t="s">
        <v>26</v>
      </c>
      <c r="Q176" s="1" t="str">
        <f t="shared" si="57"/>
        <v>North</v>
      </c>
      <c r="R176" s="1" t="str">
        <f t="shared" si="58"/>
        <v>OK</v>
      </c>
      <c r="S176" s="1" t="s">
        <v>146</v>
      </c>
      <c r="T176" s="1" t="str">
        <f t="shared" si="59"/>
        <v>Punjab</v>
      </c>
      <c r="U176" s="1" t="s">
        <v>147</v>
      </c>
      <c r="V176" s="1" t="str">
        <f t="shared" si="60"/>
        <v>Ludhiana</v>
      </c>
      <c r="W176" s="1" t="s">
        <v>83</v>
      </c>
      <c r="X176" s="1" t="str">
        <f t="shared" si="61"/>
        <v>Technology</v>
      </c>
      <c r="Y176" s="1" t="s">
        <v>84</v>
      </c>
      <c r="Z176" s="1" t="str">
        <f t="shared" si="62"/>
        <v>Accessories</v>
      </c>
      <c r="AA176" s="1" t="s">
        <v>1360</v>
      </c>
      <c r="AB176" s="1" t="s">
        <v>32</v>
      </c>
      <c r="AC176" s="1" t="str">
        <f t="shared" si="63"/>
        <v>Second Class</v>
      </c>
      <c r="AD176" s="1" t="str">
        <f t="shared" si="64"/>
        <v>OK</v>
      </c>
      <c r="AE176" s="1">
        <v>9</v>
      </c>
      <c r="AF176" s="1">
        <v>3893.74</v>
      </c>
      <c r="AG176" s="9">
        <v>0.1</v>
      </c>
      <c r="AH176" s="9">
        <f t="shared" si="65"/>
        <v>0.1</v>
      </c>
      <c r="AI176" s="1" t="str">
        <f t="shared" si="66"/>
        <v>OK</v>
      </c>
      <c r="AJ176" s="1">
        <v>31539.29</v>
      </c>
      <c r="AK176" s="1">
        <v>22100.14</v>
      </c>
      <c r="AL176" s="1">
        <v>9439.15</v>
      </c>
      <c r="AM176" s="13">
        <f t="shared" si="67"/>
        <v>31539.293999999998</v>
      </c>
      <c r="AN176" s="9">
        <f t="shared" si="68"/>
        <v>9439.1539999999986</v>
      </c>
      <c r="AO176" s="9">
        <f t="shared" si="77"/>
        <v>0.29928234918638313</v>
      </c>
      <c r="AP176" s="1" t="s">
        <v>33</v>
      </c>
      <c r="AQ176" s="1" t="str">
        <f t="shared" si="69"/>
        <v>Paid</v>
      </c>
      <c r="AR176" s="1" t="str">
        <f t="shared" si="70"/>
        <v>OK</v>
      </c>
      <c r="AS176" s="1" t="s">
        <v>34</v>
      </c>
      <c r="AT176" s="4" t="str">
        <f t="shared" si="71"/>
        <v>Completed</v>
      </c>
      <c r="AU176" s="3" t="str">
        <f t="shared" si="72"/>
        <v>OK</v>
      </c>
      <c r="AV176" s="3" t="str">
        <f t="shared" si="78"/>
        <v>CLEAN</v>
      </c>
      <c r="AW176" t="str">
        <f t="shared" si="79"/>
        <v>MATCH</v>
      </c>
      <c r="AX176" t="str">
        <f t="shared" si="80"/>
        <v>MATCH</v>
      </c>
    </row>
    <row r="177" spans="1:50" ht="15.6">
      <c r="A177" s="1" t="s">
        <v>1369</v>
      </c>
      <c r="B177" s="1">
        <f t="shared" si="54"/>
        <v>1</v>
      </c>
      <c r="C177" s="16">
        <v>45466</v>
      </c>
      <c r="D177" s="16">
        <v>45466</v>
      </c>
      <c r="E177" s="16" t="str">
        <f t="shared" si="73"/>
        <v>Jun</v>
      </c>
      <c r="F177" s="1">
        <f t="shared" si="74"/>
        <v>2024</v>
      </c>
      <c r="G177" t="s">
        <v>851</v>
      </c>
      <c r="H177" s="17">
        <v>45325</v>
      </c>
      <c r="I177" s="21">
        <f t="shared" si="75"/>
        <v>-141</v>
      </c>
      <c r="J177" s="6" t="str">
        <f t="shared" si="76"/>
        <v>INVALID_SHIPPING</v>
      </c>
      <c r="K177" s="1" t="s">
        <v>1371</v>
      </c>
      <c r="L177" s="1" t="s">
        <v>196</v>
      </c>
      <c r="M177" s="1" t="str">
        <f t="shared" si="55"/>
        <v>Diya Patel</v>
      </c>
      <c r="N177" s="1" t="s">
        <v>110</v>
      </c>
      <c r="O177" s="1" t="str">
        <f t="shared" si="56"/>
        <v>Home Office</v>
      </c>
      <c r="P177" s="1" t="s">
        <v>71</v>
      </c>
      <c r="Q177" s="1" t="str">
        <f t="shared" si="57"/>
        <v>West</v>
      </c>
      <c r="R177" s="1" t="str">
        <f t="shared" si="58"/>
        <v>OK</v>
      </c>
      <c r="S177" s="1" t="s">
        <v>218</v>
      </c>
      <c r="T177" s="1" t="str">
        <f t="shared" si="59"/>
        <v>Gujarat</v>
      </c>
      <c r="U177" s="1" t="s">
        <v>219</v>
      </c>
      <c r="V177" s="1" t="str">
        <f t="shared" si="60"/>
        <v>Ahmedabad</v>
      </c>
      <c r="W177" s="1" t="s">
        <v>44</v>
      </c>
      <c r="X177" s="1" t="str">
        <f t="shared" si="61"/>
        <v>Furniture</v>
      </c>
      <c r="Y177" s="1" t="s">
        <v>74</v>
      </c>
      <c r="Z177" s="1" t="str">
        <f t="shared" si="62"/>
        <v>Chairs</v>
      </c>
      <c r="AA177" s="1" t="s">
        <v>1372</v>
      </c>
      <c r="AB177" s="1" t="s">
        <v>65</v>
      </c>
      <c r="AC177" s="1" t="str">
        <f t="shared" si="63"/>
        <v>Standard Class</v>
      </c>
      <c r="AD177" s="1" t="str">
        <f t="shared" si="64"/>
        <v>OK</v>
      </c>
      <c r="AE177" s="1">
        <v>2</v>
      </c>
      <c r="AF177" s="1">
        <v>1313.14</v>
      </c>
      <c r="AG177" s="9">
        <v>0.1</v>
      </c>
      <c r="AH177" s="9">
        <f t="shared" si="65"/>
        <v>0.1</v>
      </c>
      <c r="AI177" s="1" t="str">
        <f t="shared" si="66"/>
        <v>OK</v>
      </c>
      <c r="AJ177" s="1">
        <v>2363.65</v>
      </c>
      <c r="AK177" s="1">
        <v>1876.1</v>
      </c>
      <c r="AL177" s="1">
        <v>487.55</v>
      </c>
      <c r="AM177" s="13">
        <f t="shared" si="67"/>
        <v>2363.652</v>
      </c>
      <c r="AN177" s="9">
        <f t="shared" si="68"/>
        <v>487.55200000000013</v>
      </c>
      <c r="AO177" s="9">
        <f t="shared" si="77"/>
        <v>0.20627063544041174</v>
      </c>
      <c r="AP177" s="1" t="s">
        <v>131</v>
      </c>
      <c r="AQ177" s="1" t="str">
        <f t="shared" si="69"/>
        <v>Pending</v>
      </c>
      <c r="AR177" s="1" t="str">
        <f t="shared" si="70"/>
        <v>OK</v>
      </c>
      <c r="AS177" s="1" t="s">
        <v>120</v>
      </c>
      <c r="AT177" s="4" t="str">
        <f t="shared" si="71"/>
        <v>Returned</v>
      </c>
      <c r="AU177" s="3" t="str">
        <f t="shared" si="72"/>
        <v>RETURNED_ORDER</v>
      </c>
      <c r="AV177" s="3" t="str">
        <f t="shared" si="78"/>
        <v>INVALID</v>
      </c>
      <c r="AW177" t="str">
        <f t="shared" si="79"/>
        <v>MATCH</v>
      </c>
      <c r="AX177" t="str">
        <f t="shared" si="80"/>
        <v>MATCH</v>
      </c>
    </row>
    <row r="178" spans="1:50" ht="15.6" hidden="1">
      <c r="A178" s="1" t="s">
        <v>1373</v>
      </c>
      <c r="B178" s="1">
        <f t="shared" si="54"/>
        <v>1</v>
      </c>
      <c r="C178" s="16">
        <v>45446</v>
      </c>
      <c r="D178" s="16">
        <v>45446</v>
      </c>
      <c r="E178" s="16" t="str">
        <f t="shared" si="73"/>
        <v>Jun</v>
      </c>
      <c r="F178" s="1">
        <f t="shared" si="74"/>
        <v>2024</v>
      </c>
      <c r="G178" t="s">
        <v>855</v>
      </c>
      <c r="H178" s="17">
        <v>45742</v>
      </c>
      <c r="I178" s="21">
        <f t="shared" si="75"/>
        <v>296</v>
      </c>
      <c r="J178" s="6" t="str">
        <f t="shared" si="76"/>
        <v>OK</v>
      </c>
      <c r="K178" s="1" t="s">
        <v>1375</v>
      </c>
      <c r="L178" s="1" t="s">
        <v>24</v>
      </c>
      <c r="M178" s="1" t="str">
        <f t="shared" si="55"/>
        <v>Karan Malhotra</v>
      </c>
      <c r="N178" s="1" t="s">
        <v>25</v>
      </c>
      <c r="O178" s="1" t="str">
        <f t="shared" si="56"/>
        <v>Consumer</v>
      </c>
      <c r="P178" s="1" t="s">
        <v>26</v>
      </c>
      <c r="Q178" s="1" t="str">
        <f t="shared" si="57"/>
        <v>North</v>
      </c>
      <c r="R178" s="1" t="str">
        <f t="shared" si="58"/>
        <v>OK</v>
      </c>
      <c r="S178" s="1" t="s">
        <v>146</v>
      </c>
      <c r="T178" s="1" t="str">
        <f t="shared" si="59"/>
        <v>Punjab</v>
      </c>
      <c r="U178" s="1" t="s">
        <v>147</v>
      </c>
      <c r="V178" s="1" t="str">
        <f t="shared" si="60"/>
        <v>Ludhiana</v>
      </c>
      <c r="W178" s="1" t="s">
        <v>44</v>
      </c>
      <c r="X178" s="1" t="str">
        <f t="shared" si="61"/>
        <v>Furniture</v>
      </c>
      <c r="Y178" s="1" t="s">
        <v>63</v>
      </c>
      <c r="Z178" s="1" t="str">
        <f t="shared" si="62"/>
        <v>Furnishings</v>
      </c>
      <c r="AA178" s="1" t="s">
        <v>1376</v>
      </c>
      <c r="AB178" s="1" t="s">
        <v>65</v>
      </c>
      <c r="AC178" s="1" t="str">
        <f t="shared" si="63"/>
        <v>Standard Class</v>
      </c>
      <c r="AD178" s="1" t="str">
        <f t="shared" si="64"/>
        <v>OK</v>
      </c>
      <c r="AE178" s="1">
        <v>6</v>
      </c>
      <c r="AF178" s="1">
        <v>2403.0500000000002</v>
      </c>
      <c r="AG178" s="9">
        <v>0.1</v>
      </c>
      <c r="AH178" s="9">
        <f t="shared" si="65"/>
        <v>0.1</v>
      </c>
      <c r="AI178" s="1" t="str">
        <f t="shared" si="66"/>
        <v>OK</v>
      </c>
      <c r="AJ178" s="1">
        <v>12976.47</v>
      </c>
      <c r="AK178" s="1">
        <v>10019.98</v>
      </c>
      <c r="AL178" s="1">
        <v>2956.49</v>
      </c>
      <c r="AM178" s="13">
        <f t="shared" si="67"/>
        <v>12976.470000000001</v>
      </c>
      <c r="AN178" s="9">
        <f t="shared" si="68"/>
        <v>2956.4900000000016</v>
      </c>
      <c r="AO178" s="9">
        <f t="shared" si="77"/>
        <v>0.22783468847845378</v>
      </c>
      <c r="AP178" s="1" t="s">
        <v>33</v>
      </c>
      <c r="AQ178" s="1" t="str">
        <f t="shared" si="69"/>
        <v>Paid</v>
      </c>
      <c r="AR178" s="1" t="str">
        <f t="shared" si="70"/>
        <v>OK</v>
      </c>
      <c r="AS178" s="1" t="s">
        <v>34</v>
      </c>
      <c r="AT178" s="4" t="str">
        <f t="shared" si="71"/>
        <v>Completed</v>
      </c>
      <c r="AU178" s="3" t="str">
        <f t="shared" si="72"/>
        <v>OK</v>
      </c>
      <c r="AV178" s="3" t="str">
        <f t="shared" si="78"/>
        <v>CLEAN</v>
      </c>
      <c r="AW178" t="str">
        <f t="shared" si="79"/>
        <v>MATCH</v>
      </c>
      <c r="AX178" t="str">
        <f t="shared" si="80"/>
        <v>MATCH</v>
      </c>
    </row>
    <row r="179" spans="1:50" ht="15.6" hidden="1">
      <c r="A179" s="1" t="s">
        <v>1377</v>
      </c>
      <c r="B179" s="1">
        <f t="shared" si="54"/>
        <v>1</v>
      </c>
      <c r="C179" s="16">
        <v>45296</v>
      </c>
      <c r="D179" s="16">
        <v>45296</v>
      </c>
      <c r="E179" s="16" t="str">
        <f t="shared" si="73"/>
        <v>Jan</v>
      </c>
      <c r="F179" s="1">
        <f t="shared" si="74"/>
        <v>2024</v>
      </c>
      <c r="G179" t="s">
        <v>859</v>
      </c>
      <c r="H179" s="17">
        <v>45446</v>
      </c>
      <c r="I179" s="21">
        <f t="shared" si="75"/>
        <v>150</v>
      </c>
      <c r="J179" s="6" t="str">
        <f t="shared" si="76"/>
        <v>OK</v>
      </c>
      <c r="K179" s="1" t="s">
        <v>1378</v>
      </c>
      <c r="L179" s="1" t="s">
        <v>70</v>
      </c>
      <c r="M179" s="1" t="str">
        <f t="shared" si="55"/>
        <v>Ananya Rao</v>
      </c>
      <c r="N179" s="1" t="s">
        <v>25</v>
      </c>
      <c r="O179" s="1" t="str">
        <f t="shared" si="56"/>
        <v>Consumer</v>
      </c>
      <c r="P179" s="1" t="s">
        <v>41</v>
      </c>
      <c r="Q179" s="1" t="str">
        <f t="shared" si="57"/>
        <v>East</v>
      </c>
      <c r="R179" s="1" t="str">
        <f t="shared" si="58"/>
        <v>OK</v>
      </c>
      <c r="S179" s="1" t="s">
        <v>201</v>
      </c>
      <c r="T179" s="1" t="str">
        <f t="shared" si="59"/>
        <v>Assam</v>
      </c>
      <c r="U179" s="1" t="s">
        <v>202</v>
      </c>
      <c r="V179" s="1" t="str">
        <f t="shared" si="60"/>
        <v>Guwahati</v>
      </c>
      <c r="W179" s="1" t="s">
        <v>44</v>
      </c>
      <c r="X179" s="1" t="str">
        <f t="shared" si="61"/>
        <v>Furniture</v>
      </c>
      <c r="Y179" s="1" t="s">
        <v>74</v>
      </c>
      <c r="Z179" s="1" t="str">
        <f t="shared" si="62"/>
        <v>Chairs</v>
      </c>
      <c r="AA179" s="1" t="s">
        <v>1379</v>
      </c>
      <c r="AB179" s="1" t="s">
        <v>55</v>
      </c>
      <c r="AC179" s="1" t="str">
        <f t="shared" si="63"/>
        <v>First Class</v>
      </c>
      <c r="AD179" s="1" t="str">
        <f t="shared" si="64"/>
        <v>OK</v>
      </c>
      <c r="AE179" s="1">
        <v>4</v>
      </c>
      <c r="AF179" s="1">
        <v>4156.0600000000004</v>
      </c>
      <c r="AG179" s="9">
        <v>0.55000000000000004</v>
      </c>
      <c r="AH179" s="9">
        <f t="shared" si="65"/>
        <v>0.55000000000000004</v>
      </c>
      <c r="AI179" s="1" t="str">
        <f t="shared" si="66"/>
        <v>OK</v>
      </c>
      <c r="AJ179" s="1">
        <v>13299.39</v>
      </c>
      <c r="AK179" s="1">
        <v>9851.91</v>
      </c>
      <c r="AL179" s="1">
        <v>3447.48</v>
      </c>
      <c r="AM179" s="13">
        <f t="shared" si="67"/>
        <v>7480.9080000000004</v>
      </c>
      <c r="AN179" s="9">
        <f t="shared" si="68"/>
        <v>-2371.0019999999995</v>
      </c>
      <c r="AO179" s="9">
        <f t="shared" si="77"/>
        <v>-0.31694040349112695</v>
      </c>
      <c r="AP179" s="1" t="s">
        <v>33</v>
      </c>
      <c r="AQ179" s="1" t="str">
        <f t="shared" si="69"/>
        <v>Paid</v>
      </c>
      <c r="AR179" s="1" t="str">
        <f t="shared" si="70"/>
        <v>OK</v>
      </c>
      <c r="AS179" s="1" t="s">
        <v>76</v>
      </c>
      <c r="AT179" s="4" t="str">
        <f t="shared" si="71"/>
        <v>Cancelled</v>
      </c>
      <c r="AU179" s="3" t="str">
        <f t="shared" si="72"/>
        <v>EXCLUDE_FROM_SALES</v>
      </c>
      <c r="AV179" s="3" t="str">
        <f t="shared" si="78"/>
        <v>CLEAN</v>
      </c>
      <c r="AW179" t="str">
        <f t="shared" si="79"/>
        <v>MISMATCH</v>
      </c>
      <c r="AX179" t="str">
        <f t="shared" si="80"/>
        <v>MISMATCH</v>
      </c>
    </row>
    <row r="180" spans="1:50" ht="15.6" hidden="1">
      <c r="A180" s="1" t="s">
        <v>1392</v>
      </c>
      <c r="B180" s="1">
        <f t="shared" si="54"/>
        <v>1</v>
      </c>
      <c r="C180" s="16">
        <v>45493</v>
      </c>
      <c r="D180" s="16">
        <v>45493</v>
      </c>
      <c r="E180" s="16" t="str">
        <f t="shared" si="73"/>
        <v>Jul</v>
      </c>
      <c r="F180" s="1">
        <f t="shared" si="74"/>
        <v>2024</v>
      </c>
      <c r="G180" t="s">
        <v>863</v>
      </c>
      <c r="H180" s="17">
        <v>45565</v>
      </c>
      <c r="I180" s="21">
        <f t="shared" si="75"/>
        <v>72</v>
      </c>
      <c r="J180" s="6" t="str">
        <f t="shared" si="76"/>
        <v>OK</v>
      </c>
      <c r="K180" s="1" t="s">
        <v>1393</v>
      </c>
      <c r="L180" s="1" t="s">
        <v>70</v>
      </c>
      <c r="M180" s="1" t="str">
        <f t="shared" si="55"/>
        <v>Ananya Rao</v>
      </c>
      <c r="N180" s="1" t="s">
        <v>25</v>
      </c>
      <c r="O180" s="1" t="str">
        <f t="shared" si="56"/>
        <v>Consumer</v>
      </c>
      <c r="P180" s="1" t="s">
        <v>60</v>
      </c>
      <c r="Q180" s="1" t="str">
        <f t="shared" si="57"/>
        <v>South</v>
      </c>
      <c r="R180" s="1" t="str">
        <f t="shared" si="58"/>
        <v>OK</v>
      </c>
      <c r="S180" s="1" t="s">
        <v>309</v>
      </c>
      <c r="T180" s="1" t="str">
        <f t="shared" si="59"/>
        <v>Tamil Nadu</v>
      </c>
      <c r="U180" s="1" t="s">
        <v>310</v>
      </c>
      <c r="V180" s="1" t="str">
        <f t="shared" si="60"/>
        <v>Chennai</v>
      </c>
      <c r="W180" s="1" t="s">
        <v>44</v>
      </c>
      <c r="X180" s="1" t="str">
        <f t="shared" si="61"/>
        <v>Furniture</v>
      </c>
      <c r="Y180" s="1" t="s">
        <v>45</v>
      </c>
      <c r="Z180" s="1" t="str">
        <f t="shared" si="62"/>
        <v>Tables</v>
      </c>
      <c r="AA180" s="1" t="s">
        <v>1394</v>
      </c>
      <c r="AB180" s="1" t="s">
        <v>55</v>
      </c>
      <c r="AC180" s="1" t="str">
        <f t="shared" si="63"/>
        <v>First Class</v>
      </c>
      <c r="AD180" s="1" t="str">
        <f t="shared" si="64"/>
        <v>OK</v>
      </c>
      <c r="AE180" s="1">
        <v>7</v>
      </c>
      <c r="AF180" s="1">
        <v>2060.73</v>
      </c>
      <c r="AG180" s="9">
        <v>0.1</v>
      </c>
      <c r="AH180" s="9">
        <f t="shared" si="65"/>
        <v>0.1</v>
      </c>
      <c r="AI180" s="1" t="str">
        <f t="shared" si="66"/>
        <v>OK</v>
      </c>
      <c r="AJ180" s="1">
        <v>12982.6</v>
      </c>
      <c r="AK180" s="1">
        <v>7246.36</v>
      </c>
      <c r="AL180" s="1">
        <v>5736.24</v>
      </c>
      <c r="AM180" s="13">
        <f t="shared" si="67"/>
        <v>12982.599</v>
      </c>
      <c r="AN180" s="9">
        <f t="shared" si="68"/>
        <v>5736.2390000000005</v>
      </c>
      <c r="AO180" s="9">
        <f t="shared" si="77"/>
        <v>0.441840574448922</v>
      </c>
      <c r="AP180" s="1" t="s">
        <v>33</v>
      </c>
      <c r="AQ180" s="1" t="str">
        <f t="shared" si="69"/>
        <v>Paid</v>
      </c>
      <c r="AR180" s="1" t="str">
        <f t="shared" si="70"/>
        <v>OK</v>
      </c>
      <c r="AS180" s="1" t="s">
        <v>76</v>
      </c>
      <c r="AT180" s="4" t="str">
        <f t="shared" si="71"/>
        <v>Cancelled</v>
      </c>
      <c r="AU180" s="3" t="str">
        <f t="shared" si="72"/>
        <v>EXCLUDE_FROM_SALES</v>
      </c>
      <c r="AV180" s="3" t="str">
        <f t="shared" si="78"/>
        <v>CLEAN</v>
      </c>
      <c r="AW180" t="str">
        <f t="shared" si="79"/>
        <v>MATCH</v>
      </c>
      <c r="AX180" t="str">
        <f t="shared" si="80"/>
        <v>MATCH</v>
      </c>
    </row>
    <row r="181" spans="1:50" ht="15.6">
      <c r="A181" s="1" t="s">
        <v>1395</v>
      </c>
      <c r="B181" s="1">
        <f t="shared" si="54"/>
        <v>1</v>
      </c>
      <c r="C181" s="16">
        <v>45477</v>
      </c>
      <c r="D181" s="16">
        <v>45477</v>
      </c>
      <c r="E181" s="16" t="str">
        <f t="shared" si="73"/>
        <v>Jul</v>
      </c>
      <c r="F181" s="1">
        <f t="shared" si="74"/>
        <v>2024</v>
      </c>
      <c r="G181" t="s">
        <v>867</v>
      </c>
      <c r="H181" s="17">
        <v>45370</v>
      </c>
      <c r="I181" s="21">
        <f t="shared" si="75"/>
        <v>-107</v>
      </c>
      <c r="J181" s="6" t="str">
        <f t="shared" si="76"/>
        <v>INVALID_SHIPPING</v>
      </c>
      <c r="K181" s="1" t="s">
        <v>1397</v>
      </c>
      <c r="L181" s="1" t="s">
        <v>169</v>
      </c>
      <c r="M181" s="1" t="str">
        <f t="shared" si="55"/>
        <v>Rohan Mehta</v>
      </c>
      <c r="N181" s="1" t="s">
        <v>40</v>
      </c>
      <c r="O181" s="1" t="str">
        <f t="shared" si="56"/>
        <v>Small Business</v>
      </c>
      <c r="P181" s="1" t="s">
        <v>60</v>
      </c>
      <c r="Q181" s="1" t="str">
        <f t="shared" si="57"/>
        <v>South</v>
      </c>
      <c r="R181" s="1" t="str">
        <f t="shared" si="58"/>
        <v>OK</v>
      </c>
      <c r="S181" s="1" t="s">
        <v>309</v>
      </c>
      <c r="T181" s="1" t="str">
        <f t="shared" si="59"/>
        <v>Tamil Nadu</v>
      </c>
      <c r="U181" s="1" t="s">
        <v>310</v>
      </c>
      <c r="V181" s="1" t="str">
        <f t="shared" si="60"/>
        <v>Chennai</v>
      </c>
      <c r="W181" s="1" t="s">
        <v>83</v>
      </c>
      <c r="X181" s="1" t="str">
        <f t="shared" si="61"/>
        <v>Technology</v>
      </c>
      <c r="Y181" s="1" t="s">
        <v>347</v>
      </c>
      <c r="Z181" s="1" t="str">
        <f t="shared" si="62"/>
        <v>Machines</v>
      </c>
      <c r="AA181" s="1" t="s">
        <v>1398</v>
      </c>
      <c r="AB181" s="1" t="s">
        <v>55</v>
      </c>
      <c r="AC181" s="1" t="str">
        <f t="shared" si="63"/>
        <v>First Class</v>
      </c>
      <c r="AD181" s="1" t="str">
        <f t="shared" si="64"/>
        <v>OK</v>
      </c>
      <c r="AE181" s="1">
        <v>8</v>
      </c>
      <c r="AF181" s="1">
        <v>2034.25</v>
      </c>
      <c r="AG181" s="9">
        <v>0</v>
      </c>
      <c r="AH181" s="9">
        <f t="shared" si="65"/>
        <v>0</v>
      </c>
      <c r="AI181" s="1" t="str">
        <f t="shared" si="66"/>
        <v>OK</v>
      </c>
      <c r="AJ181" s="1">
        <v>16274</v>
      </c>
      <c r="AK181" s="1">
        <v>9424.25</v>
      </c>
      <c r="AL181" s="1">
        <v>6849.75</v>
      </c>
      <c r="AM181" s="13">
        <f t="shared" si="67"/>
        <v>16274</v>
      </c>
      <c r="AN181" s="9">
        <f t="shared" si="68"/>
        <v>6849.75</v>
      </c>
      <c r="AO181" s="9">
        <f t="shared" si="77"/>
        <v>0.42090143787636719</v>
      </c>
      <c r="AP181" s="1" t="s">
        <v>33</v>
      </c>
      <c r="AQ181" s="1" t="str">
        <f t="shared" si="69"/>
        <v>Paid</v>
      </c>
      <c r="AR181" s="1" t="str">
        <f t="shared" si="70"/>
        <v>OK</v>
      </c>
      <c r="AS181" s="1" t="s">
        <v>34</v>
      </c>
      <c r="AT181" s="4" t="str">
        <f t="shared" si="71"/>
        <v>Completed</v>
      </c>
      <c r="AU181" s="3" t="str">
        <f t="shared" si="72"/>
        <v>OK</v>
      </c>
      <c r="AV181" s="3" t="str">
        <f t="shared" si="78"/>
        <v>INVALID</v>
      </c>
      <c r="AW181" t="str">
        <f t="shared" si="79"/>
        <v>MATCH</v>
      </c>
      <c r="AX181" t="str">
        <f t="shared" si="80"/>
        <v>MATCH</v>
      </c>
    </row>
    <row r="182" spans="1:50" ht="15.6" hidden="1">
      <c r="A182" s="1" t="s">
        <v>1399</v>
      </c>
      <c r="B182" s="1">
        <f t="shared" si="54"/>
        <v>1</v>
      </c>
      <c r="C182" s="16">
        <v>45409</v>
      </c>
      <c r="D182" s="16">
        <v>45409</v>
      </c>
      <c r="E182" s="16" t="str">
        <f t="shared" si="73"/>
        <v>Apr</v>
      </c>
      <c r="F182" s="1">
        <f t="shared" si="74"/>
        <v>2024</v>
      </c>
      <c r="G182" t="s">
        <v>871</v>
      </c>
      <c r="H182" s="17">
        <v>45530</v>
      </c>
      <c r="I182" s="21">
        <f t="shared" si="75"/>
        <v>121</v>
      </c>
      <c r="J182" s="6" t="str">
        <f t="shared" si="76"/>
        <v>OK</v>
      </c>
      <c r="K182" s="1" t="s">
        <v>1400</v>
      </c>
      <c r="L182" s="1" t="s">
        <v>39</v>
      </c>
      <c r="M182" s="1" t="str">
        <f t="shared" si="55"/>
        <v>Mira Das</v>
      </c>
      <c r="N182" s="1" t="s">
        <v>104</v>
      </c>
      <c r="O182" s="1" t="str">
        <f t="shared" si="56"/>
        <v>Corporate</v>
      </c>
      <c r="P182" s="1" t="s">
        <v>60</v>
      </c>
      <c r="Q182" s="1" t="str">
        <f t="shared" si="57"/>
        <v>South</v>
      </c>
      <c r="R182" s="1" t="str">
        <f t="shared" si="58"/>
        <v>OK</v>
      </c>
      <c r="S182" s="1" t="s">
        <v>212</v>
      </c>
      <c r="T182" s="1" t="str">
        <f t="shared" si="59"/>
        <v>Karnataka</v>
      </c>
      <c r="U182" s="1" t="s">
        <v>213</v>
      </c>
      <c r="V182" s="1" t="str">
        <f t="shared" si="60"/>
        <v>Bengaluru</v>
      </c>
      <c r="W182" s="1" t="s">
        <v>29</v>
      </c>
      <c r="X182" s="1" t="str">
        <f t="shared" si="61"/>
        <v>Office Supplies</v>
      </c>
      <c r="Y182" s="1" t="s">
        <v>184</v>
      </c>
      <c r="Z182" s="1" t="str">
        <f t="shared" si="62"/>
        <v>Binders</v>
      </c>
      <c r="AA182" s="1" t="s">
        <v>1401</v>
      </c>
      <c r="AB182" s="1" t="s">
        <v>32</v>
      </c>
      <c r="AC182" s="1" t="str">
        <f t="shared" si="63"/>
        <v>Second Class</v>
      </c>
      <c r="AD182" s="1" t="str">
        <f t="shared" si="64"/>
        <v>OK</v>
      </c>
      <c r="AE182" s="1">
        <v>5</v>
      </c>
      <c r="AF182" s="1">
        <v>554.04</v>
      </c>
      <c r="AG182" s="9">
        <v>0.1</v>
      </c>
      <c r="AH182" s="9">
        <f t="shared" si="65"/>
        <v>0.1</v>
      </c>
      <c r="AI182" s="1" t="str">
        <f t="shared" si="66"/>
        <v>OK</v>
      </c>
      <c r="AJ182" s="1">
        <v>2493.1799999999998</v>
      </c>
      <c r="AK182" s="1">
        <v>1764</v>
      </c>
      <c r="AL182" s="1">
        <v>729.18</v>
      </c>
      <c r="AM182" s="13">
        <f t="shared" si="67"/>
        <v>2493.1799999999998</v>
      </c>
      <c r="AN182" s="9">
        <f t="shared" si="68"/>
        <v>729.17999999999984</v>
      </c>
      <c r="AO182" s="9">
        <f t="shared" si="77"/>
        <v>0.29246985777200196</v>
      </c>
      <c r="AP182" s="1" t="s">
        <v>33</v>
      </c>
      <c r="AQ182" s="1" t="str">
        <f t="shared" si="69"/>
        <v>Paid</v>
      </c>
      <c r="AR182" s="1" t="str">
        <f t="shared" si="70"/>
        <v>OK</v>
      </c>
      <c r="AS182" s="1" t="s">
        <v>34</v>
      </c>
      <c r="AT182" s="4" t="str">
        <f t="shared" si="71"/>
        <v>Completed</v>
      </c>
      <c r="AU182" s="3" t="str">
        <f t="shared" si="72"/>
        <v>OK</v>
      </c>
      <c r="AV182" s="3" t="str">
        <f t="shared" si="78"/>
        <v>CLEAN</v>
      </c>
      <c r="AW182" t="str">
        <f t="shared" si="79"/>
        <v>MATCH</v>
      </c>
      <c r="AX182" t="str">
        <f t="shared" si="80"/>
        <v>MATCH</v>
      </c>
    </row>
    <row r="183" spans="1:50" ht="15.6">
      <c r="A183" s="1" t="s">
        <v>1402</v>
      </c>
      <c r="B183" s="1">
        <f t="shared" si="54"/>
        <v>1</v>
      </c>
      <c r="C183" s="16">
        <v>45504</v>
      </c>
      <c r="D183" s="16">
        <v>45504</v>
      </c>
      <c r="E183" s="16" t="str">
        <f t="shared" si="73"/>
        <v>Jul</v>
      </c>
      <c r="F183" s="1">
        <f t="shared" si="74"/>
        <v>2024</v>
      </c>
      <c r="G183" t="s">
        <v>875</v>
      </c>
      <c r="H183" s="17">
        <v>45939</v>
      </c>
      <c r="I183" s="21">
        <f t="shared" si="75"/>
        <v>435</v>
      </c>
      <c r="J183" s="6" t="str">
        <f t="shared" si="76"/>
        <v>OK</v>
      </c>
      <c r="K183" s="1" t="s">
        <v>1404</v>
      </c>
      <c r="L183" s="1" t="s">
        <v>24</v>
      </c>
      <c r="M183" s="1" t="str">
        <f t="shared" si="55"/>
        <v>Karan Malhotra</v>
      </c>
      <c r="N183" s="1" t="s">
        <v>40</v>
      </c>
      <c r="O183" s="1" t="str">
        <f t="shared" si="56"/>
        <v>Small Business</v>
      </c>
      <c r="P183" s="1" t="s">
        <v>41</v>
      </c>
      <c r="Q183" s="1" t="str">
        <f t="shared" si="57"/>
        <v>East</v>
      </c>
      <c r="R183" s="1" t="str">
        <f t="shared" si="58"/>
        <v>OK</v>
      </c>
      <c r="S183" s="1" t="s">
        <v>201</v>
      </c>
      <c r="T183" s="1" t="str">
        <f t="shared" si="59"/>
        <v>Assam</v>
      </c>
      <c r="U183" s="1" t="s">
        <v>202</v>
      </c>
      <c r="V183" s="1" t="str">
        <f t="shared" si="60"/>
        <v>Guwahati</v>
      </c>
      <c r="W183" s="1" t="s">
        <v>83</v>
      </c>
      <c r="X183" s="1" t="str">
        <f t="shared" si="61"/>
        <v>Technology</v>
      </c>
      <c r="Y183" s="1" t="s">
        <v>207</v>
      </c>
      <c r="Z183" s="1" t="str">
        <f t="shared" si="62"/>
        <v>Phones</v>
      </c>
      <c r="AA183" s="1" t="s">
        <v>1405</v>
      </c>
      <c r="AB183" s="1" t="s">
        <v>65</v>
      </c>
      <c r="AC183" s="1" t="str">
        <f t="shared" si="63"/>
        <v>Standard Class</v>
      </c>
      <c r="AD183" s="1" t="str">
        <f t="shared" si="64"/>
        <v>OK</v>
      </c>
      <c r="AE183" s="1">
        <v>8</v>
      </c>
      <c r="AF183" s="1">
        <v>2614.7399999999998</v>
      </c>
      <c r="AG183" s="9"/>
      <c r="AH183" s="9">
        <f t="shared" si="65"/>
        <v>0</v>
      </c>
      <c r="AI183" s="1" t="str">
        <f t="shared" si="66"/>
        <v>Missing Discount</v>
      </c>
      <c r="AJ183" s="1">
        <v>15688.44</v>
      </c>
      <c r="AK183" s="1">
        <v>10047.33</v>
      </c>
      <c r="AL183" s="1">
        <v>5641.11</v>
      </c>
      <c r="AM183" s="13">
        <f t="shared" si="67"/>
        <v>20917.919999999998</v>
      </c>
      <c r="AN183" s="9">
        <f t="shared" si="68"/>
        <v>10870.589999999998</v>
      </c>
      <c r="AO183" s="9">
        <f t="shared" si="77"/>
        <v>0.5196783427797792</v>
      </c>
      <c r="AP183" s="1" t="s">
        <v>33</v>
      </c>
      <c r="AQ183" s="1" t="str">
        <f t="shared" si="69"/>
        <v>Paid</v>
      </c>
      <c r="AR183" s="1" t="str">
        <f t="shared" si="70"/>
        <v>OK</v>
      </c>
      <c r="AS183" s="1" t="s">
        <v>76</v>
      </c>
      <c r="AT183" s="4" t="str">
        <f t="shared" si="71"/>
        <v>Cancelled</v>
      </c>
      <c r="AU183" s="3" t="str">
        <f t="shared" si="72"/>
        <v>EXCLUDE_FROM_SALES</v>
      </c>
      <c r="AV183" s="3" t="str">
        <f t="shared" si="78"/>
        <v>INVALID</v>
      </c>
      <c r="AW183" t="str">
        <f t="shared" si="79"/>
        <v>MISMATCH</v>
      </c>
      <c r="AX183" t="str">
        <f t="shared" si="80"/>
        <v>MISMATCH</v>
      </c>
    </row>
    <row r="184" spans="1:50" ht="15.6" hidden="1">
      <c r="A184" s="1" t="s">
        <v>1413</v>
      </c>
      <c r="B184" s="1">
        <f t="shared" si="54"/>
        <v>1</v>
      </c>
      <c r="C184" s="16">
        <v>45329</v>
      </c>
      <c r="D184" s="16">
        <v>45329</v>
      </c>
      <c r="E184" s="16" t="str">
        <f t="shared" si="73"/>
        <v>Feb</v>
      </c>
      <c r="F184" s="1">
        <f t="shared" si="74"/>
        <v>2024</v>
      </c>
      <c r="G184" t="s">
        <v>273</v>
      </c>
      <c r="H184" s="17">
        <v>45581</v>
      </c>
      <c r="I184" s="21">
        <f t="shared" si="75"/>
        <v>252</v>
      </c>
      <c r="J184" s="6" t="str">
        <f t="shared" si="76"/>
        <v>OK</v>
      </c>
      <c r="K184" s="1" t="s">
        <v>1415</v>
      </c>
      <c r="L184" s="1" t="s">
        <v>169</v>
      </c>
      <c r="M184" s="1" t="str">
        <f t="shared" si="55"/>
        <v>Rohan Mehta</v>
      </c>
      <c r="N184" s="1" t="s">
        <v>25</v>
      </c>
      <c r="O184" s="1" t="str">
        <f t="shared" si="56"/>
        <v>Consumer</v>
      </c>
      <c r="P184" s="1" t="s">
        <v>26</v>
      </c>
      <c r="Q184" s="1" t="str">
        <f t="shared" si="57"/>
        <v>North</v>
      </c>
      <c r="R184" s="1" t="str">
        <f t="shared" si="58"/>
        <v>OK</v>
      </c>
      <c r="S184" s="1" t="s">
        <v>454</v>
      </c>
      <c r="T184" s="1" t="str">
        <f t="shared" si="59"/>
        <v>Delhi</v>
      </c>
      <c r="U184" s="1" t="s">
        <v>455</v>
      </c>
      <c r="V184" s="1" t="str">
        <f t="shared" si="60"/>
        <v>New Delhi</v>
      </c>
      <c r="W184" s="1" t="s">
        <v>29</v>
      </c>
      <c r="X184" s="1" t="str">
        <f t="shared" si="61"/>
        <v>Office Supplies</v>
      </c>
      <c r="Y184" s="1" t="s">
        <v>30</v>
      </c>
      <c r="Z184" s="1" t="str">
        <f t="shared" si="62"/>
        <v>Paper</v>
      </c>
      <c r="AA184" s="1" t="s">
        <v>1416</v>
      </c>
      <c r="AB184" s="1" t="s">
        <v>65</v>
      </c>
      <c r="AC184" s="1" t="str">
        <f t="shared" si="63"/>
        <v>Standard Class</v>
      </c>
      <c r="AD184" s="1" t="str">
        <f t="shared" si="64"/>
        <v>OK</v>
      </c>
      <c r="AE184" s="1">
        <v>9</v>
      </c>
      <c r="AF184" s="1">
        <v>3450.4</v>
      </c>
      <c r="AG184" s="9">
        <v>0.05</v>
      </c>
      <c r="AH184" s="9">
        <f t="shared" si="65"/>
        <v>0.05</v>
      </c>
      <c r="AI184" s="1" t="str">
        <f t="shared" si="66"/>
        <v>OK</v>
      </c>
      <c r="AJ184" s="1">
        <v>29500.92</v>
      </c>
      <c r="AK184" s="1">
        <v>17989.68</v>
      </c>
      <c r="AL184" s="1">
        <v>11511.24</v>
      </c>
      <c r="AM184" s="13">
        <f t="shared" si="67"/>
        <v>29500.920000000002</v>
      </c>
      <c r="AN184" s="9">
        <f t="shared" si="68"/>
        <v>11511.240000000002</v>
      </c>
      <c r="AO184" s="9">
        <f t="shared" si="77"/>
        <v>0.39019935649464493</v>
      </c>
      <c r="AP184" s="1" t="s">
        <v>131</v>
      </c>
      <c r="AQ184" s="1" t="str">
        <f t="shared" si="69"/>
        <v>Pending</v>
      </c>
      <c r="AR184" s="1" t="str">
        <f t="shared" si="70"/>
        <v>OK</v>
      </c>
      <c r="AS184" s="1" t="s">
        <v>120</v>
      </c>
      <c r="AT184" s="4" t="str">
        <f t="shared" si="71"/>
        <v>Returned</v>
      </c>
      <c r="AU184" s="3" t="str">
        <f t="shared" si="72"/>
        <v>RETURNED_ORDER</v>
      </c>
      <c r="AV184" s="3" t="str">
        <f t="shared" si="78"/>
        <v>CLEAN</v>
      </c>
      <c r="AW184" t="str">
        <f t="shared" si="79"/>
        <v>MATCH</v>
      </c>
      <c r="AX184" t="str">
        <f t="shared" si="80"/>
        <v>MATCH</v>
      </c>
    </row>
    <row r="185" spans="1:50" ht="15.6" hidden="1">
      <c r="A185" s="1" t="s">
        <v>1417</v>
      </c>
      <c r="B185" s="1">
        <f t="shared" si="54"/>
        <v>1</v>
      </c>
      <c r="C185" s="16">
        <v>45338</v>
      </c>
      <c r="D185" s="16">
        <v>45338</v>
      </c>
      <c r="E185" s="16" t="str">
        <f t="shared" si="73"/>
        <v>Feb</v>
      </c>
      <c r="F185" s="1">
        <f t="shared" si="74"/>
        <v>2024</v>
      </c>
      <c r="G185" t="s">
        <v>883</v>
      </c>
      <c r="H185" s="17">
        <v>45835</v>
      </c>
      <c r="I185" s="21">
        <f t="shared" si="75"/>
        <v>497</v>
      </c>
      <c r="J185" s="6" t="str">
        <f t="shared" si="76"/>
        <v>OK</v>
      </c>
      <c r="K185" s="1" t="s">
        <v>1420</v>
      </c>
      <c r="L185" s="1" t="s">
        <v>24</v>
      </c>
      <c r="M185" s="1" t="str">
        <f t="shared" si="55"/>
        <v>Karan Malhotra</v>
      </c>
      <c r="N185" s="1" t="s">
        <v>104</v>
      </c>
      <c r="O185" s="1" t="str">
        <f t="shared" si="56"/>
        <v>Corporate</v>
      </c>
      <c r="P185" s="1" t="s">
        <v>26</v>
      </c>
      <c r="Q185" s="1" t="str">
        <f t="shared" si="57"/>
        <v>North</v>
      </c>
      <c r="R185" s="1" t="str">
        <f t="shared" si="58"/>
        <v>OK</v>
      </c>
      <c r="S185" s="1" t="s">
        <v>146</v>
      </c>
      <c r="T185" s="1" t="str">
        <f t="shared" si="59"/>
        <v>Punjab</v>
      </c>
      <c r="U185" s="1" t="s">
        <v>147</v>
      </c>
      <c r="V185" s="1" t="str">
        <f t="shared" si="60"/>
        <v>Ludhiana</v>
      </c>
      <c r="W185" s="1" t="s">
        <v>29</v>
      </c>
      <c r="X185" s="1" t="str">
        <f t="shared" si="61"/>
        <v>Office Supplies</v>
      </c>
      <c r="Y185" s="1" t="s">
        <v>105</v>
      </c>
      <c r="Z185" s="1" t="str">
        <f t="shared" si="62"/>
        <v>Labels</v>
      </c>
      <c r="AA185" s="1" t="s">
        <v>1421</v>
      </c>
      <c r="AB185" s="1" t="s">
        <v>65</v>
      </c>
      <c r="AC185" s="1" t="str">
        <f t="shared" si="63"/>
        <v>Standard Class</v>
      </c>
      <c r="AD185" s="1" t="str">
        <f t="shared" si="64"/>
        <v>OK</v>
      </c>
      <c r="AE185" s="1">
        <v>2</v>
      </c>
      <c r="AF185" s="1">
        <v>1947.53</v>
      </c>
      <c r="AG185" s="9">
        <v>0.2</v>
      </c>
      <c r="AH185" s="9">
        <f t="shared" si="65"/>
        <v>0.2</v>
      </c>
      <c r="AI185" s="1" t="str">
        <f t="shared" si="66"/>
        <v>OK</v>
      </c>
      <c r="AJ185" s="1">
        <v>3116.05</v>
      </c>
      <c r="AK185" s="1">
        <v>1956.63</v>
      </c>
      <c r="AL185" s="1">
        <v>1159.42</v>
      </c>
      <c r="AM185" s="13">
        <f t="shared" si="67"/>
        <v>3116.0480000000002</v>
      </c>
      <c r="AN185" s="9">
        <f t="shared" si="68"/>
        <v>1159.4180000000001</v>
      </c>
      <c r="AO185" s="9">
        <f t="shared" si="77"/>
        <v>0.37207963420332424</v>
      </c>
      <c r="AP185" s="1" t="s">
        <v>33</v>
      </c>
      <c r="AQ185" s="1" t="str">
        <f t="shared" si="69"/>
        <v>Paid</v>
      </c>
      <c r="AR185" s="1" t="str">
        <f t="shared" si="70"/>
        <v>OK</v>
      </c>
      <c r="AS185" s="1" t="s">
        <v>76</v>
      </c>
      <c r="AT185" s="4" t="str">
        <f t="shared" si="71"/>
        <v>Cancelled</v>
      </c>
      <c r="AU185" s="3" t="str">
        <f t="shared" si="72"/>
        <v>EXCLUDE_FROM_SALES</v>
      </c>
      <c r="AV185" s="3" t="str">
        <f t="shared" si="78"/>
        <v>CLEAN</v>
      </c>
      <c r="AW185" t="str">
        <f t="shared" si="79"/>
        <v>MATCH</v>
      </c>
      <c r="AX185" t="str">
        <f t="shared" si="80"/>
        <v>MATCH</v>
      </c>
    </row>
    <row r="186" spans="1:50" ht="15.6">
      <c r="A186" s="1" t="s">
        <v>1426</v>
      </c>
      <c r="B186" s="1">
        <f t="shared" si="54"/>
        <v>1</v>
      </c>
      <c r="C186" s="16">
        <v>45407</v>
      </c>
      <c r="D186" s="16">
        <v>45407</v>
      </c>
      <c r="E186" s="16" t="str">
        <f t="shared" si="73"/>
        <v>Apr</v>
      </c>
      <c r="F186" s="1">
        <f t="shared" si="74"/>
        <v>2024</v>
      </c>
      <c r="G186" t="s">
        <v>318</v>
      </c>
      <c r="H186" s="17">
        <v>45388</v>
      </c>
      <c r="I186" s="21">
        <f t="shared" si="75"/>
        <v>-19</v>
      </c>
      <c r="J186" s="6" t="str">
        <f t="shared" si="76"/>
        <v>INVALID_SHIPPING</v>
      </c>
      <c r="K186" s="1" t="s">
        <v>1428</v>
      </c>
      <c r="L186" s="1" t="s">
        <v>39</v>
      </c>
      <c r="M186" s="1" t="str">
        <f t="shared" si="55"/>
        <v>Mira Das</v>
      </c>
      <c r="N186" s="1" t="s">
        <v>40</v>
      </c>
      <c r="O186" s="1" t="str">
        <f t="shared" si="56"/>
        <v>Small Business</v>
      </c>
      <c r="P186" s="1" t="s">
        <v>60</v>
      </c>
      <c r="Q186" s="1" t="str">
        <f t="shared" si="57"/>
        <v>South</v>
      </c>
      <c r="R186" s="1" t="str">
        <f t="shared" si="58"/>
        <v>OK</v>
      </c>
      <c r="S186" s="1" t="s">
        <v>212</v>
      </c>
      <c r="T186" s="1" t="str">
        <f t="shared" si="59"/>
        <v>Karnataka</v>
      </c>
      <c r="U186" s="1" t="s">
        <v>213</v>
      </c>
      <c r="V186" s="1" t="str">
        <f t="shared" si="60"/>
        <v>Bengaluru</v>
      </c>
      <c r="W186" s="1" t="s">
        <v>83</v>
      </c>
      <c r="X186" s="1" t="str">
        <f t="shared" si="61"/>
        <v>Technology</v>
      </c>
      <c r="Y186" s="1" t="s">
        <v>207</v>
      </c>
      <c r="Z186" s="1" t="str">
        <f t="shared" si="62"/>
        <v>Phones</v>
      </c>
      <c r="AA186" s="1" t="s">
        <v>1429</v>
      </c>
      <c r="AB186" s="1" t="s">
        <v>65</v>
      </c>
      <c r="AC186" s="1" t="str">
        <f t="shared" si="63"/>
        <v>Standard Class</v>
      </c>
      <c r="AD186" s="1" t="str">
        <f t="shared" si="64"/>
        <v>OK</v>
      </c>
      <c r="AE186" s="1">
        <v>3</v>
      </c>
      <c r="AF186" s="1">
        <v>4149.46</v>
      </c>
      <c r="AG186" s="9">
        <v>0.1</v>
      </c>
      <c r="AH186" s="9">
        <f t="shared" si="65"/>
        <v>0.1</v>
      </c>
      <c r="AI186" s="1" t="str">
        <f t="shared" si="66"/>
        <v>OK</v>
      </c>
      <c r="AJ186" s="1">
        <v>11203.54</v>
      </c>
      <c r="AK186" s="1">
        <v>8452.93</v>
      </c>
      <c r="AL186" s="1">
        <v>2750.61</v>
      </c>
      <c r="AM186" s="13">
        <f t="shared" si="67"/>
        <v>11203.542000000001</v>
      </c>
      <c r="AN186" s="9">
        <f t="shared" si="68"/>
        <v>2750.612000000001</v>
      </c>
      <c r="AO186" s="9">
        <f t="shared" si="77"/>
        <v>0.24551271374713468</v>
      </c>
      <c r="AP186" s="1" t="s">
        <v>33</v>
      </c>
      <c r="AQ186" s="1" t="str">
        <f t="shared" si="69"/>
        <v>Paid</v>
      </c>
      <c r="AR186" s="1" t="str">
        <f t="shared" si="70"/>
        <v>OK</v>
      </c>
      <c r="AS186" s="1" t="s">
        <v>34</v>
      </c>
      <c r="AT186" s="4" t="str">
        <f t="shared" si="71"/>
        <v>Completed</v>
      </c>
      <c r="AU186" s="3" t="str">
        <f t="shared" si="72"/>
        <v>OK</v>
      </c>
      <c r="AV186" s="3" t="str">
        <f t="shared" si="78"/>
        <v>INVALID</v>
      </c>
      <c r="AW186" t="str">
        <f t="shared" si="79"/>
        <v>MATCH</v>
      </c>
      <c r="AX186" t="str">
        <f t="shared" si="80"/>
        <v>MATCH</v>
      </c>
    </row>
    <row r="187" spans="1:50" ht="15.6" hidden="1">
      <c r="A187" s="1" t="s">
        <v>1430</v>
      </c>
      <c r="B187" s="1">
        <f t="shared" si="54"/>
        <v>1</v>
      </c>
      <c r="C187" s="16">
        <v>45525</v>
      </c>
      <c r="D187" s="16">
        <v>45525</v>
      </c>
      <c r="E187" s="16" t="str">
        <f t="shared" si="73"/>
        <v>Aug</v>
      </c>
      <c r="F187" s="1">
        <f t="shared" si="74"/>
        <v>2024</v>
      </c>
      <c r="G187" t="s">
        <v>890</v>
      </c>
      <c r="H187" s="17">
        <v>45609</v>
      </c>
      <c r="I187" s="21">
        <f t="shared" si="75"/>
        <v>84</v>
      </c>
      <c r="J187" s="6" t="str">
        <f t="shared" si="76"/>
        <v>OK</v>
      </c>
      <c r="K187" s="1" t="s">
        <v>1433</v>
      </c>
      <c r="L187" s="1" t="s">
        <v>196</v>
      </c>
      <c r="M187" s="1" t="str">
        <f t="shared" si="55"/>
        <v>Diya Patel</v>
      </c>
      <c r="N187" s="1" t="s">
        <v>25</v>
      </c>
      <c r="O187" s="1" t="str">
        <f t="shared" si="56"/>
        <v>Consumer</v>
      </c>
      <c r="P187" s="1" t="s">
        <v>71</v>
      </c>
      <c r="Q187" s="1" t="str">
        <f t="shared" si="57"/>
        <v>West</v>
      </c>
      <c r="R187" s="1" t="str">
        <f t="shared" si="58"/>
        <v>OK</v>
      </c>
      <c r="S187" s="1" t="s">
        <v>218</v>
      </c>
      <c r="T187" s="1" t="str">
        <f t="shared" si="59"/>
        <v>Gujarat</v>
      </c>
      <c r="U187" s="1" t="s">
        <v>219</v>
      </c>
      <c r="V187" s="1" t="str">
        <f t="shared" si="60"/>
        <v>Ahmedabad</v>
      </c>
      <c r="W187" s="1" t="s">
        <v>29</v>
      </c>
      <c r="X187" s="1" t="str">
        <f t="shared" si="61"/>
        <v>Office Supplies</v>
      </c>
      <c r="Y187" s="1" t="s">
        <v>184</v>
      </c>
      <c r="Z187" s="1" t="str">
        <f t="shared" si="62"/>
        <v>Binders</v>
      </c>
      <c r="AA187" s="1" t="s">
        <v>1434</v>
      </c>
      <c r="AB187" s="1" t="s">
        <v>55</v>
      </c>
      <c r="AC187" s="1" t="str">
        <f t="shared" si="63"/>
        <v>First Class</v>
      </c>
      <c r="AD187" s="1" t="str">
        <f t="shared" si="64"/>
        <v>OK</v>
      </c>
      <c r="AE187" s="1">
        <v>1</v>
      </c>
      <c r="AF187" s="1">
        <v>270.27999999999997</v>
      </c>
      <c r="AG187" s="9">
        <v>0</v>
      </c>
      <c r="AH187" s="9">
        <f t="shared" si="65"/>
        <v>0</v>
      </c>
      <c r="AI187" s="1" t="str">
        <f t="shared" si="66"/>
        <v>OK</v>
      </c>
      <c r="AJ187" s="1">
        <v>270.27999999999997</v>
      </c>
      <c r="AK187" s="1">
        <v>156.34</v>
      </c>
      <c r="AL187" s="1">
        <v>113.94</v>
      </c>
      <c r="AM187" s="13">
        <f t="shared" si="67"/>
        <v>270.27999999999997</v>
      </c>
      <c r="AN187" s="9">
        <f t="shared" si="68"/>
        <v>113.93999999999997</v>
      </c>
      <c r="AO187" s="9">
        <f t="shared" si="77"/>
        <v>0.42156282373834536</v>
      </c>
      <c r="AP187" s="1" t="s">
        <v>33</v>
      </c>
      <c r="AQ187" s="1" t="str">
        <f t="shared" si="69"/>
        <v>Paid</v>
      </c>
      <c r="AR187" s="1" t="str">
        <f t="shared" si="70"/>
        <v>OK</v>
      </c>
      <c r="AS187" s="1" t="s">
        <v>34</v>
      </c>
      <c r="AT187" s="4" t="str">
        <f t="shared" si="71"/>
        <v>Completed</v>
      </c>
      <c r="AU187" s="3" t="str">
        <f t="shared" si="72"/>
        <v>OK</v>
      </c>
      <c r="AV187" s="3" t="str">
        <f t="shared" si="78"/>
        <v>CLEAN</v>
      </c>
      <c r="AW187" t="str">
        <f t="shared" si="79"/>
        <v>MATCH</v>
      </c>
      <c r="AX187" t="str">
        <f t="shared" si="80"/>
        <v>MATCH</v>
      </c>
    </row>
    <row r="188" spans="1:50" ht="15.6" hidden="1">
      <c r="A188" s="1" t="s">
        <v>1435</v>
      </c>
      <c r="B188" s="1">
        <f t="shared" si="54"/>
        <v>1</v>
      </c>
      <c r="C188" s="16">
        <v>45394</v>
      </c>
      <c r="D188" s="16">
        <v>45394</v>
      </c>
      <c r="E188" s="16" t="str">
        <f t="shared" si="73"/>
        <v>Apr</v>
      </c>
      <c r="F188" s="1">
        <f t="shared" si="74"/>
        <v>2024</v>
      </c>
      <c r="G188" t="s">
        <v>894</v>
      </c>
      <c r="H188" s="17">
        <v>45493</v>
      </c>
      <c r="I188" s="21">
        <f t="shared" si="75"/>
        <v>99</v>
      </c>
      <c r="J188" s="6" t="str">
        <f t="shared" si="76"/>
        <v>OK</v>
      </c>
      <c r="K188" s="1" t="s">
        <v>1437</v>
      </c>
      <c r="L188" s="1" t="s">
        <v>153</v>
      </c>
      <c r="M188" s="1" t="str">
        <f t="shared" si="55"/>
        <v>Aarav Sharma</v>
      </c>
      <c r="N188" s="1" t="s">
        <v>110</v>
      </c>
      <c r="O188" s="1" t="str">
        <f t="shared" si="56"/>
        <v>Home Office</v>
      </c>
      <c r="P188" s="1" t="s">
        <v>41</v>
      </c>
      <c r="Q188" s="1" t="str">
        <f t="shared" si="57"/>
        <v>East</v>
      </c>
      <c r="R188" s="1" t="str">
        <f t="shared" si="58"/>
        <v>OK</v>
      </c>
      <c r="S188" s="1" t="s">
        <v>116</v>
      </c>
      <c r="T188" s="1" t="str">
        <f t="shared" si="59"/>
        <v>West Bengal</v>
      </c>
      <c r="U188" s="1" t="s">
        <v>117</v>
      </c>
      <c r="V188" s="1" t="str">
        <f t="shared" si="60"/>
        <v>Kolkata</v>
      </c>
      <c r="W188" s="1" t="s">
        <v>29</v>
      </c>
      <c r="X188" s="1" t="str">
        <f t="shared" si="61"/>
        <v>Office Supplies</v>
      </c>
      <c r="Y188" s="1" t="s">
        <v>53</v>
      </c>
      <c r="Z188" s="1" t="str">
        <f t="shared" si="62"/>
        <v>Art</v>
      </c>
      <c r="AA188" s="1" t="s">
        <v>1438</v>
      </c>
      <c r="AB188" s="1" t="s">
        <v>32</v>
      </c>
      <c r="AC188" s="1" t="str">
        <f t="shared" si="63"/>
        <v>Second Class</v>
      </c>
      <c r="AD188" s="1" t="str">
        <f t="shared" si="64"/>
        <v>OK</v>
      </c>
      <c r="AE188" s="1">
        <v>3</v>
      </c>
      <c r="AF188" s="1">
        <v>876.14</v>
      </c>
      <c r="AG188" s="9" t="s">
        <v>607</v>
      </c>
      <c r="AH188" s="9">
        <f t="shared" si="65"/>
        <v>0.7</v>
      </c>
      <c r="AI188" s="1" t="str">
        <f t="shared" si="66"/>
        <v>OK</v>
      </c>
      <c r="AJ188" s="1">
        <v>2628.42</v>
      </c>
      <c r="AK188" s="1">
        <v>1541.54</v>
      </c>
      <c r="AL188" s="1">
        <v>1086.8800000000001</v>
      </c>
      <c r="AM188" s="13">
        <f t="shared" si="67"/>
        <v>788.52600000000018</v>
      </c>
      <c r="AN188" s="9">
        <f t="shared" si="68"/>
        <v>-753.01399999999978</v>
      </c>
      <c r="AO188" s="9">
        <f t="shared" si="77"/>
        <v>-0.95496407220560842</v>
      </c>
      <c r="AP188" s="1" t="s">
        <v>131</v>
      </c>
      <c r="AQ188" s="1" t="str">
        <f t="shared" si="69"/>
        <v>Pending</v>
      </c>
      <c r="AR188" s="1" t="str">
        <f t="shared" si="70"/>
        <v>OK</v>
      </c>
      <c r="AS188" s="1" t="s">
        <v>120</v>
      </c>
      <c r="AT188" s="4" t="str">
        <f t="shared" si="71"/>
        <v>Returned</v>
      </c>
      <c r="AU188" s="3" t="str">
        <f t="shared" si="72"/>
        <v>RETURNED_ORDER</v>
      </c>
      <c r="AV188" s="3" t="str">
        <f t="shared" si="78"/>
        <v>CLEAN</v>
      </c>
      <c r="AW188" t="str">
        <f t="shared" si="79"/>
        <v>MISMATCH</v>
      </c>
      <c r="AX188" t="str">
        <f t="shared" si="80"/>
        <v>MISMATCH</v>
      </c>
    </row>
    <row r="189" spans="1:50" ht="15.6" hidden="1">
      <c r="A189" s="1" t="s">
        <v>1439</v>
      </c>
      <c r="B189" s="1">
        <f t="shared" si="54"/>
        <v>1</v>
      </c>
      <c r="C189" s="16">
        <v>45466</v>
      </c>
      <c r="D189" s="16">
        <v>45466</v>
      </c>
      <c r="E189" s="16" t="str">
        <f t="shared" si="73"/>
        <v>Jun</v>
      </c>
      <c r="F189" s="1">
        <f t="shared" si="74"/>
        <v>2024</v>
      </c>
      <c r="G189" t="s">
        <v>897</v>
      </c>
      <c r="H189" s="17">
        <v>45779</v>
      </c>
      <c r="I189" s="21">
        <f t="shared" si="75"/>
        <v>313</v>
      </c>
      <c r="J189" s="6" t="str">
        <f t="shared" si="76"/>
        <v>OK</v>
      </c>
      <c r="K189" s="1" t="s">
        <v>1441</v>
      </c>
      <c r="L189" s="1" t="s">
        <v>90</v>
      </c>
      <c r="M189" s="1" t="str">
        <f t="shared" si="55"/>
        <v>Neha Gupta</v>
      </c>
      <c r="N189" s="1" t="s">
        <v>40</v>
      </c>
      <c r="O189" s="1" t="str">
        <f t="shared" si="56"/>
        <v>Small Business</v>
      </c>
      <c r="P189" s="1" t="s">
        <v>71</v>
      </c>
      <c r="Q189" s="1" t="str">
        <f t="shared" si="57"/>
        <v>West</v>
      </c>
      <c r="R189" s="1" t="str">
        <f t="shared" si="58"/>
        <v>OK</v>
      </c>
      <c r="S189" s="1" t="s">
        <v>230</v>
      </c>
      <c r="T189" s="1" t="str">
        <f t="shared" si="59"/>
        <v>Goa</v>
      </c>
      <c r="U189" s="1" t="s">
        <v>231</v>
      </c>
      <c r="V189" s="1" t="str">
        <f t="shared" si="60"/>
        <v>Panaji</v>
      </c>
      <c r="W189" s="1" t="s">
        <v>83</v>
      </c>
      <c r="X189" s="1" t="str">
        <f t="shared" si="61"/>
        <v>Technology</v>
      </c>
      <c r="Y189" s="1" t="s">
        <v>84</v>
      </c>
      <c r="Z189" s="1" t="str">
        <f t="shared" si="62"/>
        <v>Accessories</v>
      </c>
      <c r="AA189" s="1" t="s">
        <v>1442</v>
      </c>
      <c r="AB189" s="1" t="s">
        <v>47</v>
      </c>
      <c r="AC189" s="1" t="str">
        <f t="shared" si="63"/>
        <v>Same Day</v>
      </c>
      <c r="AD189" s="1" t="str">
        <f t="shared" si="64"/>
        <v>OK</v>
      </c>
      <c r="AE189" s="1">
        <v>4</v>
      </c>
      <c r="AF189" s="1">
        <v>674.82</v>
      </c>
      <c r="AG189" s="9">
        <v>0</v>
      </c>
      <c r="AH189" s="9">
        <f t="shared" si="65"/>
        <v>0</v>
      </c>
      <c r="AI189" s="1" t="str">
        <f t="shared" si="66"/>
        <v>OK</v>
      </c>
      <c r="AJ189" s="1">
        <v>2699.28</v>
      </c>
      <c r="AK189" s="1">
        <v>1759.76</v>
      </c>
      <c r="AL189" s="1">
        <v>939.52</v>
      </c>
      <c r="AM189" s="13">
        <f t="shared" si="67"/>
        <v>2699.28</v>
      </c>
      <c r="AN189" s="9">
        <f t="shared" si="68"/>
        <v>939.52000000000021</v>
      </c>
      <c r="AO189" s="9">
        <f t="shared" si="77"/>
        <v>0.34806318722029583</v>
      </c>
      <c r="AP189" s="1" t="s">
        <v>186</v>
      </c>
      <c r="AQ189" s="1" t="str">
        <f t="shared" si="69"/>
        <v>Failed</v>
      </c>
      <c r="AR189" s="1" t="str">
        <f t="shared" si="70"/>
        <v>EXCLUDE_FROM_SALES</v>
      </c>
      <c r="AS189" s="1" t="s">
        <v>76</v>
      </c>
      <c r="AT189" s="4" t="str">
        <f t="shared" si="71"/>
        <v>Cancelled</v>
      </c>
      <c r="AU189" s="3" t="str">
        <f t="shared" si="72"/>
        <v>EXCLUDE_FROM_SALES</v>
      </c>
      <c r="AV189" s="3" t="str">
        <f t="shared" si="78"/>
        <v>CLEAN</v>
      </c>
      <c r="AW189" t="str">
        <f t="shared" si="79"/>
        <v>MATCH</v>
      </c>
      <c r="AX189" t="str">
        <f t="shared" si="80"/>
        <v>MATCH</v>
      </c>
    </row>
    <row r="190" spans="1:50" ht="15.6" hidden="1">
      <c r="A190" s="1" t="s">
        <v>1443</v>
      </c>
      <c r="B190" s="1">
        <f t="shared" si="54"/>
        <v>1</v>
      </c>
      <c r="C190" s="16">
        <v>45637</v>
      </c>
      <c r="D190" s="16">
        <v>45637</v>
      </c>
      <c r="E190" s="16" t="str">
        <f t="shared" si="73"/>
        <v>Dec</v>
      </c>
      <c r="F190" s="1">
        <f t="shared" si="74"/>
        <v>2024</v>
      </c>
      <c r="G190" t="s">
        <v>901</v>
      </c>
      <c r="H190" s="17">
        <v>45805</v>
      </c>
      <c r="I190" s="21">
        <f t="shared" si="75"/>
        <v>168</v>
      </c>
      <c r="J190" s="6" t="str">
        <f t="shared" si="76"/>
        <v>OK</v>
      </c>
      <c r="K190" s="1" t="s">
        <v>1445</v>
      </c>
      <c r="L190" s="1" t="s">
        <v>52</v>
      </c>
      <c r="M190" s="1" t="str">
        <f t="shared" si="55"/>
        <v>Isha Nair</v>
      </c>
      <c r="N190" s="1" t="s">
        <v>25</v>
      </c>
      <c r="O190" s="1" t="str">
        <f t="shared" si="56"/>
        <v>Consumer</v>
      </c>
      <c r="P190" s="1" t="s">
        <v>26</v>
      </c>
      <c r="Q190" s="1" t="str">
        <f t="shared" si="57"/>
        <v>North</v>
      </c>
      <c r="R190" s="1" t="str">
        <f t="shared" si="58"/>
        <v>OK</v>
      </c>
      <c r="S190" s="1" t="s">
        <v>163</v>
      </c>
      <c r="T190" s="1" t="str">
        <f t="shared" si="59"/>
        <v>Uttar Pradesh</v>
      </c>
      <c r="U190" s="1" t="s">
        <v>164</v>
      </c>
      <c r="V190" s="1" t="str">
        <f t="shared" si="60"/>
        <v>Noida</v>
      </c>
      <c r="W190" s="1" t="s">
        <v>83</v>
      </c>
      <c r="X190" s="1" t="str">
        <f t="shared" si="61"/>
        <v>Technology</v>
      </c>
      <c r="Y190" s="1" t="s">
        <v>207</v>
      </c>
      <c r="Z190" s="1" t="str">
        <f t="shared" si="62"/>
        <v>Phones</v>
      </c>
      <c r="AA190" s="1" t="s">
        <v>1446</v>
      </c>
      <c r="AB190" s="1" t="s">
        <v>32</v>
      </c>
      <c r="AC190" s="1" t="str">
        <f t="shared" si="63"/>
        <v>Second Class</v>
      </c>
      <c r="AD190" s="1" t="str">
        <f t="shared" si="64"/>
        <v>OK</v>
      </c>
      <c r="AE190" s="1">
        <v>6</v>
      </c>
      <c r="AF190" s="1">
        <v>1369.48</v>
      </c>
      <c r="AG190" s="9">
        <v>0.15</v>
      </c>
      <c r="AH190" s="9">
        <f t="shared" si="65"/>
        <v>0.15</v>
      </c>
      <c r="AI190" s="1" t="str">
        <f t="shared" si="66"/>
        <v>OK</v>
      </c>
      <c r="AJ190" s="1">
        <v>6984.35</v>
      </c>
      <c r="AK190" s="1">
        <v>4023.63</v>
      </c>
      <c r="AL190" s="1">
        <v>2960.72</v>
      </c>
      <c r="AM190" s="13">
        <f t="shared" si="67"/>
        <v>6984.3480000000009</v>
      </c>
      <c r="AN190" s="9">
        <f t="shared" si="68"/>
        <v>2960.7180000000008</v>
      </c>
      <c r="AO190" s="9">
        <f t="shared" si="77"/>
        <v>0.42390757161584736</v>
      </c>
      <c r="AP190" s="1" t="s">
        <v>33</v>
      </c>
      <c r="AQ190" s="1" t="str">
        <f t="shared" si="69"/>
        <v>Paid</v>
      </c>
      <c r="AR190" s="1" t="str">
        <f t="shared" si="70"/>
        <v>OK</v>
      </c>
      <c r="AS190" s="1" t="s">
        <v>34</v>
      </c>
      <c r="AT190" s="4" t="str">
        <f t="shared" si="71"/>
        <v>Completed</v>
      </c>
      <c r="AU190" s="3" t="str">
        <f t="shared" si="72"/>
        <v>OK</v>
      </c>
      <c r="AV190" s="3" t="str">
        <f t="shared" si="78"/>
        <v>CLEAN</v>
      </c>
      <c r="AW190" t="str">
        <f t="shared" si="79"/>
        <v>MATCH</v>
      </c>
      <c r="AX190" t="str">
        <f t="shared" si="80"/>
        <v>MATCH</v>
      </c>
    </row>
    <row r="191" spans="1:50" ht="15.6" hidden="1">
      <c r="A191" s="1" t="s">
        <v>1447</v>
      </c>
      <c r="B191" s="1">
        <f t="shared" si="54"/>
        <v>1</v>
      </c>
      <c r="C191" s="16">
        <v>45347</v>
      </c>
      <c r="D191" s="16">
        <v>45347</v>
      </c>
      <c r="E191" s="16" t="str">
        <f t="shared" si="73"/>
        <v>Feb</v>
      </c>
      <c r="F191" s="1">
        <f t="shared" si="74"/>
        <v>2024</v>
      </c>
      <c r="G191" t="s">
        <v>905</v>
      </c>
      <c r="H191" s="17">
        <v>45784</v>
      </c>
      <c r="I191" s="21">
        <f t="shared" si="75"/>
        <v>437</v>
      </c>
      <c r="J191" s="6" t="str">
        <f t="shared" si="76"/>
        <v>OK</v>
      </c>
      <c r="K191" s="1" t="s">
        <v>1450</v>
      </c>
      <c r="L191" s="1" t="s">
        <v>52</v>
      </c>
      <c r="M191" s="1" t="str">
        <f t="shared" si="55"/>
        <v>Isha Nair</v>
      </c>
      <c r="N191" s="1" t="s">
        <v>40</v>
      </c>
      <c r="O191" s="1" t="str">
        <f t="shared" si="56"/>
        <v>Small Business</v>
      </c>
      <c r="P191" s="1" t="s">
        <v>71</v>
      </c>
      <c r="Q191" s="1" t="str">
        <f t="shared" si="57"/>
        <v>West</v>
      </c>
      <c r="R191" s="1" t="str">
        <f t="shared" si="58"/>
        <v>OK</v>
      </c>
      <c r="S191" s="1" t="s">
        <v>230</v>
      </c>
      <c r="T191" s="1" t="str">
        <f t="shared" si="59"/>
        <v>Goa</v>
      </c>
      <c r="U191" s="1" t="s">
        <v>231</v>
      </c>
      <c r="V191" s="1" t="str">
        <f t="shared" si="60"/>
        <v>Panaji</v>
      </c>
      <c r="W191" s="1" t="s">
        <v>44</v>
      </c>
      <c r="X191" s="1" t="str">
        <f t="shared" si="61"/>
        <v>Furniture</v>
      </c>
      <c r="Y191" s="1" t="s">
        <v>63</v>
      </c>
      <c r="Z191" s="1" t="str">
        <f t="shared" si="62"/>
        <v>Furnishings</v>
      </c>
      <c r="AA191" s="1" t="s">
        <v>180</v>
      </c>
      <c r="AB191" s="1" t="s">
        <v>65</v>
      </c>
      <c r="AC191" s="1" t="str">
        <f t="shared" si="63"/>
        <v>Standard Class</v>
      </c>
      <c r="AD191" s="1" t="str">
        <f t="shared" si="64"/>
        <v>OK</v>
      </c>
      <c r="AE191" s="1">
        <v>9</v>
      </c>
      <c r="AF191" s="1">
        <v>1331.46</v>
      </c>
      <c r="AG191" s="9">
        <v>0.15</v>
      </c>
      <c r="AH191" s="9">
        <f t="shared" si="65"/>
        <v>0.15</v>
      </c>
      <c r="AI191" s="1" t="str">
        <f t="shared" si="66"/>
        <v>OK</v>
      </c>
      <c r="AJ191" s="1">
        <v>10185.67</v>
      </c>
      <c r="AK191" s="1">
        <v>6479.31</v>
      </c>
      <c r="AL191" s="1">
        <v>3706.36</v>
      </c>
      <c r="AM191" s="13">
        <f t="shared" si="67"/>
        <v>10185.669</v>
      </c>
      <c r="AN191" s="9">
        <f t="shared" si="68"/>
        <v>3706.3589999999995</v>
      </c>
      <c r="AO191" s="9">
        <f t="shared" si="77"/>
        <v>0.36387978050337189</v>
      </c>
      <c r="AP191" s="1" t="s">
        <v>33</v>
      </c>
      <c r="AQ191" s="1" t="str">
        <f t="shared" si="69"/>
        <v>Paid</v>
      </c>
      <c r="AR191" s="1" t="str">
        <f t="shared" si="70"/>
        <v>OK</v>
      </c>
      <c r="AS191" s="1" t="s">
        <v>34</v>
      </c>
      <c r="AT191" s="4" t="str">
        <f t="shared" si="71"/>
        <v>Completed</v>
      </c>
      <c r="AU191" s="3" t="str">
        <f t="shared" si="72"/>
        <v>OK</v>
      </c>
      <c r="AV191" s="3" t="str">
        <f t="shared" si="78"/>
        <v>CLEAN</v>
      </c>
      <c r="AW191" t="str">
        <f t="shared" si="79"/>
        <v>MATCH</v>
      </c>
      <c r="AX191" t="str">
        <f t="shared" si="80"/>
        <v>MATCH</v>
      </c>
    </row>
    <row r="192" spans="1:50" ht="15.6" hidden="1">
      <c r="A192" s="1" t="s">
        <v>1461</v>
      </c>
      <c r="B192" s="1">
        <f t="shared" si="54"/>
        <v>1</v>
      </c>
      <c r="C192" s="16">
        <v>45497</v>
      </c>
      <c r="D192" s="16">
        <v>45497</v>
      </c>
      <c r="E192" s="16" t="str">
        <f t="shared" si="73"/>
        <v>Jul</v>
      </c>
      <c r="F192" s="1">
        <f t="shared" si="74"/>
        <v>2024</v>
      </c>
      <c r="G192" t="s">
        <v>911</v>
      </c>
      <c r="H192" s="17">
        <v>45768</v>
      </c>
      <c r="I192" s="21">
        <f t="shared" si="75"/>
        <v>271</v>
      </c>
      <c r="J192" s="6" t="str">
        <f t="shared" si="76"/>
        <v>OK</v>
      </c>
      <c r="K192" s="1" t="s">
        <v>1462</v>
      </c>
      <c r="L192" s="1" t="s">
        <v>52</v>
      </c>
      <c r="M192" s="1" t="str">
        <f t="shared" si="55"/>
        <v>Isha Nair</v>
      </c>
      <c r="N192" s="1" t="s">
        <v>25</v>
      </c>
      <c r="O192" s="1" t="str">
        <f t="shared" si="56"/>
        <v>Consumer</v>
      </c>
      <c r="P192" s="1" t="s">
        <v>71</v>
      </c>
      <c r="Q192" s="1" t="str">
        <f t="shared" si="57"/>
        <v>West</v>
      </c>
      <c r="R192" s="1" t="str">
        <f t="shared" si="58"/>
        <v>OK</v>
      </c>
      <c r="S192" s="1" t="s">
        <v>27</v>
      </c>
      <c r="T192" s="1" t="str">
        <f t="shared" si="59"/>
        <v>Rajasthan</v>
      </c>
      <c r="U192" s="1" t="s">
        <v>129</v>
      </c>
      <c r="V192" s="1" t="str">
        <f t="shared" si="60"/>
        <v>Udaipur</v>
      </c>
      <c r="W192" s="1" t="s">
        <v>83</v>
      </c>
      <c r="X192" s="1" t="str">
        <f t="shared" si="61"/>
        <v>Technology</v>
      </c>
      <c r="Y192" s="1" t="s">
        <v>84</v>
      </c>
      <c r="Z192" s="1" t="str">
        <f t="shared" si="62"/>
        <v>Accessories</v>
      </c>
      <c r="AA192" s="1" t="s">
        <v>1463</v>
      </c>
      <c r="AB192" s="1" t="s">
        <v>32</v>
      </c>
      <c r="AC192" s="1" t="str">
        <f t="shared" si="63"/>
        <v>Second Class</v>
      </c>
      <c r="AD192" s="1" t="str">
        <f t="shared" si="64"/>
        <v>OK</v>
      </c>
      <c r="AE192" s="1">
        <v>3</v>
      </c>
      <c r="AF192" s="1">
        <v>1834.55</v>
      </c>
      <c r="AG192" s="9">
        <v>0.2</v>
      </c>
      <c r="AH192" s="9">
        <f t="shared" si="65"/>
        <v>0.2</v>
      </c>
      <c r="AI192" s="1" t="str">
        <f t="shared" si="66"/>
        <v>OK</v>
      </c>
      <c r="AJ192" s="1">
        <v>4402.92</v>
      </c>
      <c r="AK192" s="1">
        <v>2993.94</v>
      </c>
      <c r="AL192" s="1">
        <v>1408.98</v>
      </c>
      <c r="AM192" s="13">
        <f t="shared" si="67"/>
        <v>4402.92</v>
      </c>
      <c r="AN192" s="9">
        <f t="shared" si="68"/>
        <v>1408.98</v>
      </c>
      <c r="AO192" s="9">
        <f t="shared" si="77"/>
        <v>0.32001035676323897</v>
      </c>
      <c r="AP192" s="1" t="s">
        <v>131</v>
      </c>
      <c r="AQ192" s="1" t="str">
        <f t="shared" si="69"/>
        <v>Pending</v>
      </c>
      <c r="AR192" s="1" t="str">
        <f t="shared" si="70"/>
        <v>OK</v>
      </c>
      <c r="AS192" s="1" t="s">
        <v>76</v>
      </c>
      <c r="AT192" s="4" t="str">
        <f t="shared" si="71"/>
        <v>Cancelled</v>
      </c>
      <c r="AU192" s="3" t="str">
        <f t="shared" si="72"/>
        <v>EXCLUDE_FROM_SALES</v>
      </c>
      <c r="AV192" s="3" t="str">
        <f t="shared" si="78"/>
        <v>CLEAN</v>
      </c>
      <c r="AW192" t="str">
        <f t="shared" si="79"/>
        <v>MATCH</v>
      </c>
      <c r="AX192" t="str">
        <f t="shared" si="80"/>
        <v>MATCH</v>
      </c>
    </row>
    <row r="193" spans="1:50" ht="15.6" hidden="1">
      <c r="A193" s="1" t="s">
        <v>1471</v>
      </c>
      <c r="B193" s="1">
        <f t="shared" si="54"/>
        <v>1</v>
      </c>
      <c r="C193" s="16">
        <v>45428</v>
      </c>
      <c r="D193" s="16">
        <v>45428</v>
      </c>
      <c r="E193" s="16" t="str">
        <f t="shared" si="73"/>
        <v>May</v>
      </c>
      <c r="F193" s="1">
        <f t="shared" si="74"/>
        <v>2024</v>
      </c>
      <c r="G193" t="s">
        <v>576</v>
      </c>
      <c r="H193" s="17">
        <v>45589</v>
      </c>
      <c r="I193" s="21">
        <f t="shared" si="75"/>
        <v>161</v>
      </c>
      <c r="J193" s="6" t="str">
        <f t="shared" si="76"/>
        <v>OK</v>
      </c>
      <c r="K193" s="1" t="s">
        <v>1472</v>
      </c>
      <c r="L193" s="1" t="s">
        <v>59</v>
      </c>
      <c r="M193" s="1" t="str">
        <f t="shared" si="55"/>
        <v>Arjun Bose</v>
      </c>
      <c r="N193" s="1" t="s">
        <v>110</v>
      </c>
      <c r="O193" s="1" t="str">
        <f t="shared" si="56"/>
        <v>Home Office</v>
      </c>
      <c r="P193" s="1" t="s">
        <v>26</v>
      </c>
      <c r="Q193" s="1" t="str">
        <f t="shared" si="57"/>
        <v>North</v>
      </c>
      <c r="R193" s="1" t="str">
        <f t="shared" si="58"/>
        <v>OK</v>
      </c>
      <c r="S193" s="1" t="s">
        <v>146</v>
      </c>
      <c r="T193" s="1" t="str">
        <f t="shared" si="59"/>
        <v>Punjab</v>
      </c>
      <c r="U193" s="1" t="s">
        <v>147</v>
      </c>
      <c r="V193" s="1" t="str">
        <f t="shared" si="60"/>
        <v>Ludhiana</v>
      </c>
      <c r="W193" s="1" t="s">
        <v>83</v>
      </c>
      <c r="X193" s="1" t="str">
        <f t="shared" si="61"/>
        <v>Technology</v>
      </c>
      <c r="Y193" s="1" t="s">
        <v>84</v>
      </c>
      <c r="Z193" s="1" t="str">
        <f t="shared" si="62"/>
        <v>Accessories</v>
      </c>
      <c r="AA193" s="1" t="s">
        <v>1473</v>
      </c>
      <c r="AB193" s="1" t="s">
        <v>47</v>
      </c>
      <c r="AC193" s="1" t="str">
        <f t="shared" si="63"/>
        <v>Same Day</v>
      </c>
      <c r="AD193" s="1" t="str">
        <f t="shared" si="64"/>
        <v>OK</v>
      </c>
      <c r="AE193" s="1">
        <v>1</v>
      </c>
      <c r="AF193" s="1">
        <v>783.09</v>
      </c>
      <c r="AG193" s="9">
        <v>0</v>
      </c>
      <c r="AH193" s="9">
        <f t="shared" si="65"/>
        <v>0</v>
      </c>
      <c r="AI193" s="1" t="str">
        <f t="shared" si="66"/>
        <v>OK</v>
      </c>
      <c r="AJ193" s="1">
        <v>783.09</v>
      </c>
      <c r="AK193" s="1">
        <v>503.89</v>
      </c>
      <c r="AL193" s="1">
        <v>279.2</v>
      </c>
      <c r="AM193" s="13">
        <f t="shared" si="67"/>
        <v>783.09</v>
      </c>
      <c r="AN193" s="9">
        <f t="shared" si="68"/>
        <v>279.20000000000005</v>
      </c>
      <c r="AO193" s="9">
        <f t="shared" si="77"/>
        <v>0.3565362857398256</v>
      </c>
      <c r="AP193" s="1" t="s">
        <v>186</v>
      </c>
      <c r="AQ193" s="1" t="str">
        <f t="shared" si="69"/>
        <v>Failed</v>
      </c>
      <c r="AR193" s="1" t="str">
        <f t="shared" si="70"/>
        <v>EXCLUDE_FROM_SALES</v>
      </c>
      <c r="AS193" s="1" t="s">
        <v>76</v>
      </c>
      <c r="AT193" s="4" t="str">
        <f t="shared" si="71"/>
        <v>Cancelled</v>
      </c>
      <c r="AU193" s="3" t="str">
        <f t="shared" si="72"/>
        <v>EXCLUDE_FROM_SALES</v>
      </c>
      <c r="AV193" s="3" t="str">
        <f t="shared" si="78"/>
        <v>CLEAN</v>
      </c>
      <c r="AW193" t="str">
        <f t="shared" si="79"/>
        <v>MATCH</v>
      </c>
      <c r="AX193" t="str">
        <f t="shared" si="80"/>
        <v>MATCH</v>
      </c>
    </row>
    <row r="194" spans="1:50" ht="15.6" hidden="1">
      <c r="A194" s="1" t="s">
        <v>1474</v>
      </c>
      <c r="B194" s="1">
        <f t="shared" ref="B194:B257" si="81">COUNTIF($A:$A,A194)</f>
        <v>2</v>
      </c>
      <c r="C194" s="16">
        <v>45630</v>
      </c>
      <c r="D194" s="16">
        <v>45630</v>
      </c>
      <c r="E194" s="16" t="str">
        <f t="shared" si="73"/>
        <v>Dec</v>
      </c>
      <c r="F194" s="1">
        <f t="shared" si="74"/>
        <v>2024</v>
      </c>
      <c r="G194" t="s">
        <v>918</v>
      </c>
      <c r="H194" s="17">
        <v>45642</v>
      </c>
      <c r="I194" s="21">
        <f t="shared" si="75"/>
        <v>12</v>
      </c>
      <c r="J194" s="6" t="str">
        <f t="shared" si="76"/>
        <v>OK</v>
      </c>
      <c r="K194" s="1" t="s">
        <v>1476</v>
      </c>
      <c r="L194" s="1" t="s">
        <v>158</v>
      </c>
      <c r="M194" s="1" t="str">
        <f t="shared" ref="M194:M257" si="82">PROPER(TRIM(SUBSTITUTE(L194,CHAR(160)," ")))</f>
        <v>Sneha Kapoor</v>
      </c>
      <c r="N194" s="1" t="s">
        <v>110</v>
      </c>
      <c r="O194" s="1" t="str">
        <f t="shared" ref="O194:O257" si="83">PROPER(TRIM(SUBSTITUTE(N194,CHAR(160)," ")))</f>
        <v>Home Office</v>
      </c>
      <c r="P194" s="1" t="s">
        <v>41</v>
      </c>
      <c r="Q194" s="1" t="str">
        <f t="shared" ref="Q194:Q257" si="84">IF(TRIM(P194)="","Unknown",PROPER(TRIM(P194)))</f>
        <v>East</v>
      </c>
      <c r="R194" s="1" t="str">
        <f t="shared" ref="R194:R257" si="85">IF(Q194="Unknown","MISSING_REGION","OK")</f>
        <v>OK</v>
      </c>
      <c r="S194" s="1" t="s">
        <v>42</v>
      </c>
      <c r="T194" s="1" t="str">
        <f t="shared" ref="T194:T257" si="86">PROPER(TRIM(SUBSTITUTE(S194,CHAR(160)," ")))</f>
        <v>Odisha</v>
      </c>
      <c r="U194" s="1" t="s">
        <v>43</v>
      </c>
      <c r="V194" s="1" t="str">
        <f t="shared" ref="V194:V257" si="87">PROPER(TRIM(SUBSTITUTE(U194,CHAR(160)," ")))</f>
        <v>Bhubaneswar</v>
      </c>
      <c r="W194" s="1" t="s">
        <v>29</v>
      </c>
      <c r="X194" s="1" t="str">
        <f t="shared" ref="X194:X257" si="88">PROPER(TRIM(SUBSTITUTE(W194,CHAR(160)," ")))</f>
        <v>Office Supplies</v>
      </c>
      <c r="Y194" s="1" t="s">
        <v>184</v>
      </c>
      <c r="Z194" s="1" t="str">
        <f t="shared" ref="Z194:Z257" si="89">PROPER(TRIM(SUBSTITUTE(Y194,CHAR(160)," ")))</f>
        <v>Binders</v>
      </c>
      <c r="AA194" s="1" t="s">
        <v>1477</v>
      </c>
      <c r="AB194" s="1" t="s">
        <v>32</v>
      </c>
      <c r="AC194" s="1" t="str">
        <f t="shared" ref="AC194:AC257" si="90">IF(TRIM(AB194)="","Unknown",PROPER(TRIM(AB194)))</f>
        <v>Second Class</v>
      </c>
      <c r="AD194" s="1" t="str">
        <f t="shared" ref="AD194:AD257" si="91">IF(AC194="Unknown","MISSING_SHIP_MODE","OK")</f>
        <v>OK</v>
      </c>
      <c r="AE194" s="1">
        <v>4</v>
      </c>
      <c r="AF194" s="1">
        <v>2685.66</v>
      </c>
      <c r="AG194" s="9">
        <v>0</v>
      </c>
      <c r="AH194" s="9">
        <f t="shared" ref="AH194:AH257" si="92">IF(RIGHT(AG194,1)="%",VALUE(SUBSTITUTE(AG194,"%",""))/100,AG194)</f>
        <v>0</v>
      </c>
      <c r="AI194" s="1" t="str">
        <f t="shared" ref="AI194:AI257" si="93">IF(AG194="","Missing Discount",
IF(AG194&lt;0,"Invalid Negative Discount",
"OK"))</f>
        <v>OK</v>
      </c>
      <c r="AJ194" s="1">
        <v>10742.64</v>
      </c>
      <c r="AK194" s="1">
        <v>6477.37</v>
      </c>
      <c r="AL194" s="1">
        <v>4265.2700000000004</v>
      </c>
      <c r="AM194" s="13">
        <f t="shared" ref="AM194:AM257" si="94">IF(AH194&lt;0,"INVALID",AE194*AF194*(1-AH194))</f>
        <v>10742.64</v>
      </c>
      <c r="AN194" s="9">
        <f t="shared" ref="AN194:AN257" si="95">IF(AM194="INVALID","INVALID",
AM194-AK194)</f>
        <v>4265.2699999999995</v>
      </c>
      <c r="AO194" s="9">
        <f t="shared" si="77"/>
        <v>0.39704113700170535</v>
      </c>
      <c r="AP194" s="1" t="s">
        <v>33</v>
      </c>
      <c r="AQ194" s="1" t="str">
        <f t="shared" ref="AQ194:AQ257" si="96">PROPER(TRIM(SUBSTITUTE(AP194,CHAR(160)," ")))</f>
        <v>Paid</v>
      </c>
      <c r="AR194" s="1" t="str">
        <f t="shared" ref="AR194:AR257" si="97">IF(AQ194="Failed","EXCLUDE_FROM_SALES",
IF(AQ194="Refunded","REFUNDED_PAYMENT",
"OK"))</f>
        <v>OK</v>
      </c>
      <c r="AS194" s="1" t="s">
        <v>120</v>
      </c>
      <c r="AT194" s="4" t="str">
        <f t="shared" ref="AT194:AT257" si="98">PROPER(TRIM(SUBSTITUTE(AS194,CHAR(160)," ")))</f>
        <v>Returned</v>
      </c>
      <c r="AU194" s="3" t="str">
        <f t="shared" ref="AU194:AU257" si="99">IF(AT194="Cancelled","EXCLUDE_FROM_SALES",
IF(AT194="Returned","RETURNED_ORDER",
"OK"))</f>
        <v>RETURNED_ORDER</v>
      </c>
      <c r="AV194" s="3" t="str">
        <f t="shared" si="78"/>
        <v>CLEAN</v>
      </c>
      <c r="AW194" t="str">
        <f t="shared" si="79"/>
        <v>MATCH</v>
      </c>
      <c r="AX194" t="str">
        <f t="shared" si="80"/>
        <v>MATCH</v>
      </c>
    </row>
    <row r="195" spans="1:50" ht="15.6">
      <c r="A195" s="1" t="s">
        <v>1474</v>
      </c>
      <c r="B195" s="1">
        <f t="shared" si="81"/>
        <v>2</v>
      </c>
      <c r="C195" s="16">
        <v>45630</v>
      </c>
      <c r="D195" s="16">
        <v>45630</v>
      </c>
      <c r="E195" s="16" t="str">
        <f t="shared" ref="E195:E258" si="100">TEXT(D195,"mmm")</f>
        <v>Dec</v>
      </c>
      <c r="F195" s="1">
        <f t="shared" ref="F195:F258" si="101">YEAR(D195)</f>
        <v>2024</v>
      </c>
      <c r="G195" t="s">
        <v>922</v>
      </c>
      <c r="H195" s="17">
        <v>45471</v>
      </c>
      <c r="I195" s="21">
        <f t="shared" ref="I195:I258" si="102">H195-D195</f>
        <v>-159</v>
      </c>
      <c r="J195" s="6" t="str">
        <f t="shared" ref="J195:J258" si="103">IF(I195&lt;0,"INVALID_SHIPPING","OK")</f>
        <v>INVALID_SHIPPING</v>
      </c>
      <c r="K195" s="1" t="s">
        <v>1476</v>
      </c>
      <c r="L195" s="1" t="s">
        <v>158</v>
      </c>
      <c r="M195" s="1" t="str">
        <f t="shared" si="82"/>
        <v>Sneha Kapoor</v>
      </c>
      <c r="N195" s="1" t="s">
        <v>110</v>
      </c>
      <c r="O195" s="1" t="str">
        <f t="shared" si="83"/>
        <v>Home Office</v>
      </c>
      <c r="P195" s="1" t="s">
        <v>41</v>
      </c>
      <c r="Q195" s="1" t="str">
        <f t="shared" si="84"/>
        <v>East</v>
      </c>
      <c r="R195" s="1" t="str">
        <f t="shared" si="85"/>
        <v>OK</v>
      </c>
      <c r="S195" s="1" t="s">
        <v>42</v>
      </c>
      <c r="T195" s="1" t="str">
        <f t="shared" si="86"/>
        <v>Odisha</v>
      </c>
      <c r="U195" s="1" t="s">
        <v>43</v>
      </c>
      <c r="V195" s="1" t="str">
        <f t="shared" si="87"/>
        <v>Bhubaneswar</v>
      </c>
      <c r="W195" s="1" t="s">
        <v>29</v>
      </c>
      <c r="X195" s="1" t="str">
        <f t="shared" si="88"/>
        <v>Office Supplies</v>
      </c>
      <c r="Y195" s="1" t="s">
        <v>184</v>
      </c>
      <c r="Z195" s="1" t="str">
        <f t="shared" si="89"/>
        <v>Binders</v>
      </c>
      <c r="AA195" s="1" t="s">
        <v>1477</v>
      </c>
      <c r="AB195" s="1" t="s">
        <v>32</v>
      </c>
      <c r="AC195" s="1" t="str">
        <f t="shared" si="90"/>
        <v>Second Class</v>
      </c>
      <c r="AD195" s="1" t="str">
        <f t="shared" si="91"/>
        <v>OK</v>
      </c>
      <c r="AE195" s="1">
        <v>4</v>
      </c>
      <c r="AF195" s="1">
        <v>2685.66</v>
      </c>
      <c r="AG195" s="9">
        <v>0</v>
      </c>
      <c r="AH195" s="9">
        <f t="shared" si="92"/>
        <v>0</v>
      </c>
      <c r="AI195" s="1" t="str">
        <f t="shared" si="93"/>
        <v>OK</v>
      </c>
      <c r="AJ195" s="1">
        <v>10989.89</v>
      </c>
      <c r="AK195" s="1">
        <v>6477.37</v>
      </c>
      <c r="AL195" s="1">
        <v>4265.2700000000004</v>
      </c>
      <c r="AM195" s="13">
        <f t="shared" si="94"/>
        <v>10742.64</v>
      </c>
      <c r="AN195" s="9">
        <f t="shared" si="95"/>
        <v>4265.2699999999995</v>
      </c>
      <c r="AO195" s="9">
        <f t="shared" ref="AO195:AO258" si="104">IF(OR(AM195="INVALID",AN195="INVALID"),"",AN195/AM195)</f>
        <v>0.39704113700170535</v>
      </c>
      <c r="AP195" s="1" t="s">
        <v>33</v>
      </c>
      <c r="AQ195" s="1" t="str">
        <f t="shared" si="96"/>
        <v>Paid</v>
      </c>
      <c r="AR195" s="1" t="str">
        <f t="shared" si="97"/>
        <v>OK</v>
      </c>
      <c r="AS195" s="1" t="s">
        <v>34</v>
      </c>
      <c r="AT195" s="4" t="str">
        <f t="shared" si="98"/>
        <v>Completed</v>
      </c>
      <c r="AU195" s="3" t="str">
        <f t="shared" si="99"/>
        <v>OK</v>
      </c>
      <c r="AV195" s="3" t="str">
        <f t="shared" ref="AV195:AV258" si="105">IF(OR(AI195&lt;&gt;"OK",J195="INVALID_SHIPPING"),
"INVALID",
IF(OR(R195&lt;&gt;"OK",AD195&lt;&gt;"OK"),
"WARNING",
"CLEAN"))</f>
        <v>INVALID</v>
      </c>
      <c r="AW195" t="str">
        <f t="shared" ref="AW195:AW258" si="106">IF(AM195="INVALID","INVALID",
IF(ROUND(AJ195,2)=ROUND(AM195,2),"MATCH","MISMATCH"))</f>
        <v>MISMATCH</v>
      </c>
      <c r="AX195" t="str">
        <f t="shared" ref="AX195:AX258" si="107">IF(AN195="INVALID","INVALID",IF(ROUND(AL195,2)=ROUND(AN195,2),"MATCH","MISMATCH"))</f>
        <v>MATCH</v>
      </c>
    </row>
    <row r="196" spans="1:50" ht="15.6" hidden="1">
      <c r="A196" s="1" t="s">
        <v>1488</v>
      </c>
      <c r="B196" s="1">
        <f t="shared" si="81"/>
        <v>1</v>
      </c>
      <c r="C196" s="16">
        <v>45635</v>
      </c>
      <c r="D196" s="16">
        <v>45635</v>
      </c>
      <c r="E196" s="16" t="str">
        <f t="shared" si="100"/>
        <v>Dec</v>
      </c>
      <c r="F196" s="1">
        <f t="shared" si="101"/>
        <v>2024</v>
      </c>
      <c r="G196" t="s">
        <v>926</v>
      </c>
      <c r="H196" s="17">
        <v>45688</v>
      </c>
      <c r="I196" s="21">
        <f t="shared" si="102"/>
        <v>53</v>
      </c>
      <c r="J196" s="6" t="str">
        <f t="shared" si="103"/>
        <v>OK</v>
      </c>
      <c r="K196" s="1" t="s">
        <v>1490</v>
      </c>
      <c r="L196" s="1" t="s">
        <v>70</v>
      </c>
      <c r="M196" s="1" t="str">
        <f t="shared" si="82"/>
        <v>Ananya Rao</v>
      </c>
      <c r="N196" s="1" t="s">
        <v>25</v>
      </c>
      <c r="O196" s="1" t="str">
        <f t="shared" si="83"/>
        <v>Consumer</v>
      </c>
      <c r="P196" s="1" t="s">
        <v>41</v>
      </c>
      <c r="Q196" s="1" t="str">
        <f t="shared" si="84"/>
        <v>East</v>
      </c>
      <c r="R196" s="1" t="str">
        <f t="shared" si="85"/>
        <v>OK</v>
      </c>
      <c r="S196" s="1" t="s">
        <v>284</v>
      </c>
      <c r="T196" s="1" t="str">
        <f t="shared" si="86"/>
        <v>Jharkhand</v>
      </c>
      <c r="U196" s="1" t="s">
        <v>285</v>
      </c>
      <c r="V196" s="1" t="str">
        <f t="shared" si="87"/>
        <v>Ranchi</v>
      </c>
      <c r="W196" s="1" t="s">
        <v>29</v>
      </c>
      <c r="X196" s="1" t="str">
        <f t="shared" si="88"/>
        <v>Office Supplies</v>
      </c>
      <c r="Y196" s="1" t="s">
        <v>148</v>
      </c>
      <c r="Z196" s="1" t="str">
        <f t="shared" si="89"/>
        <v>Storage</v>
      </c>
      <c r="AA196" s="1" t="s">
        <v>1491</v>
      </c>
      <c r="AB196" s="1" t="s">
        <v>55</v>
      </c>
      <c r="AC196" s="1" t="str">
        <f t="shared" si="90"/>
        <v>First Class</v>
      </c>
      <c r="AD196" s="1" t="str">
        <f t="shared" si="91"/>
        <v>OK</v>
      </c>
      <c r="AE196" s="1">
        <v>9</v>
      </c>
      <c r="AF196" s="1">
        <v>1921.47</v>
      </c>
      <c r="AG196" s="9">
        <v>0.25</v>
      </c>
      <c r="AH196" s="9">
        <f t="shared" si="92"/>
        <v>0.25</v>
      </c>
      <c r="AI196" s="1" t="str">
        <f t="shared" si="93"/>
        <v>OK</v>
      </c>
      <c r="AJ196" s="1">
        <v>12969.92</v>
      </c>
      <c r="AK196" s="1">
        <v>9398.4599999999991</v>
      </c>
      <c r="AL196" s="1">
        <v>3571.46</v>
      </c>
      <c r="AM196" s="13">
        <f t="shared" si="94"/>
        <v>12969.922500000001</v>
      </c>
      <c r="AN196" s="9">
        <f t="shared" si="95"/>
        <v>3571.4625000000015</v>
      </c>
      <c r="AO196" s="9">
        <f t="shared" si="104"/>
        <v>0.27536498386941027</v>
      </c>
      <c r="AP196" s="1" t="s">
        <v>33</v>
      </c>
      <c r="AQ196" s="1" t="str">
        <f t="shared" si="96"/>
        <v>Paid</v>
      </c>
      <c r="AR196" s="1" t="str">
        <f t="shared" si="97"/>
        <v>OK</v>
      </c>
      <c r="AS196" s="1" t="s">
        <v>34</v>
      </c>
      <c r="AT196" s="4" t="str">
        <f t="shared" si="98"/>
        <v>Completed</v>
      </c>
      <c r="AU196" s="3" t="str">
        <f t="shared" si="99"/>
        <v>OK</v>
      </c>
      <c r="AV196" s="3" t="str">
        <f t="shared" si="105"/>
        <v>CLEAN</v>
      </c>
      <c r="AW196" t="str">
        <f t="shared" si="106"/>
        <v>MATCH</v>
      </c>
      <c r="AX196" t="str">
        <f t="shared" si="107"/>
        <v>MATCH</v>
      </c>
    </row>
    <row r="197" spans="1:50" ht="15.6" hidden="1">
      <c r="A197" s="1" t="s">
        <v>1496</v>
      </c>
      <c r="B197" s="1">
        <f t="shared" si="81"/>
        <v>1</v>
      </c>
      <c r="C197" s="16">
        <v>45368</v>
      </c>
      <c r="D197" s="16">
        <v>45368</v>
      </c>
      <c r="E197" s="16" t="str">
        <f t="shared" si="100"/>
        <v>Mar</v>
      </c>
      <c r="F197" s="1">
        <f t="shared" si="101"/>
        <v>2024</v>
      </c>
      <c r="G197" t="s">
        <v>931</v>
      </c>
      <c r="H197" s="17">
        <v>45862</v>
      </c>
      <c r="I197" s="21">
        <f t="shared" si="102"/>
        <v>494</v>
      </c>
      <c r="J197" s="6" t="str">
        <f t="shared" si="103"/>
        <v>OK</v>
      </c>
      <c r="K197" s="1" t="s">
        <v>1162</v>
      </c>
      <c r="L197" s="1" t="s">
        <v>153</v>
      </c>
      <c r="M197" s="1" t="str">
        <f t="shared" si="82"/>
        <v>Aarav Sharma</v>
      </c>
      <c r="N197" s="1" t="s">
        <v>25</v>
      </c>
      <c r="O197" s="1" t="str">
        <f t="shared" si="83"/>
        <v>Consumer</v>
      </c>
      <c r="P197" s="1" t="s">
        <v>26</v>
      </c>
      <c r="Q197" s="1" t="str">
        <f t="shared" si="84"/>
        <v>North</v>
      </c>
      <c r="R197" s="1" t="str">
        <f t="shared" si="85"/>
        <v>OK</v>
      </c>
      <c r="S197" s="1" t="s">
        <v>27</v>
      </c>
      <c r="T197" s="1" t="str">
        <f t="shared" si="86"/>
        <v>Rajasthan</v>
      </c>
      <c r="U197" s="1" t="s">
        <v>28</v>
      </c>
      <c r="V197" s="1" t="str">
        <f t="shared" si="87"/>
        <v>Jaipur</v>
      </c>
      <c r="W197" s="1" t="s">
        <v>83</v>
      </c>
      <c r="X197" s="1" t="str">
        <f t="shared" si="88"/>
        <v>Technology</v>
      </c>
      <c r="Y197" s="1" t="s">
        <v>91</v>
      </c>
      <c r="Z197" s="1" t="str">
        <f t="shared" si="89"/>
        <v>Copiers</v>
      </c>
      <c r="AA197" s="1" t="s">
        <v>1498</v>
      </c>
      <c r="AB197" s="1" t="s">
        <v>55</v>
      </c>
      <c r="AC197" s="1" t="str">
        <f t="shared" si="90"/>
        <v>First Class</v>
      </c>
      <c r="AD197" s="1" t="str">
        <f t="shared" si="91"/>
        <v>OK</v>
      </c>
      <c r="AE197" s="1">
        <v>8</v>
      </c>
      <c r="AF197" s="1">
        <v>1992.57</v>
      </c>
      <c r="AG197" s="9">
        <v>0</v>
      </c>
      <c r="AH197" s="9">
        <f t="shared" si="92"/>
        <v>0</v>
      </c>
      <c r="AI197" s="1" t="str">
        <f t="shared" si="93"/>
        <v>OK</v>
      </c>
      <c r="AJ197" s="1">
        <v>15940.56</v>
      </c>
      <c r="AK197" s="1">
        <v>12347.15</v>
      </c>
      <c r="AL197" s="1">
        <v>3593.41</v>
      </c>
      <c r="AM197" s="13">
        <f t="shared" si="94"/>
        <v>15940.56</v>
      </c>
      <c r="AN197" s="9">
        <f t="shared" si="95"/>
        <v>3593.41</v>
      </c>
      <c r="AO197" s="9">
        <f t="shared" si="104"/>
        <v>0.2254255810335396</v>
      </c>
      <c r="AP197" s="1" t="s">
        <v>33</v>
      </c>
      <c r="AQ197" s="1" t="str">
        <f t="shared" si="96"/>
        <v>Paid</v>
      </c>
      <c r="AR197" s="1" t="str">
        <f t="shared" si="97"/>
        <v>OK</v>
      </c>
      <c r="AS197" s="1" t="s">
        <v>34</v>
      </c>
      <c r="AT197" s="4" t="str">
        <f t="shared" si="98"/>
        <v>Completed</v>
      </c>
      <c r="AU197" s="3" t="str">
        <f t="shared" si="99"/>
        <v>OK</v>
      </c>
      <c r="AV197" s="3" t="str">
        <f t="shared" si="105"/>
        <v>CLEAN</v>
      </c>
      <c r="AW197" t="str">
        <f t="shared" si="106"/>
        <v>MATCH</v>
      </c>
      <c r="AX197" t="str">
        <f t="shared" si="107"/>
        <v>MATCH</v>
      </c>
    </row>
    <row r="198" spans="1:50" ht="15.6">
      <c r="A198" s="1" t="s">
        <v>1499</v>
      </c>
      <c r="B198" s="1">
        <f t="shared" si="81"/>
        <v>1</v>
      </c>
      <c r="C198" s="16">
        <v>45634</v>
      </c>
      <c r="D198" s="16">
        <v>45634</v>
      </c>
      <c r="E198" s="16" t="str">
        <f t="shared" si="100"/>
        <v>Dec</v>
      </c>
      <c r="F198" s="1">
        <f t="shared" si="101"/>
        <v>2024</v>
      </c>
      <c r="G198" t="s">
        <v>936</v>
      </c>
      <c r="H198" s="17">
        <v>45316</v>
      </c>
      <c r="I198" s="21">
        <f t="shared" si="102"/>
        <v>-318</v>
      </c>
      <c r="J198" s="6" t="str">
        <f t="shared" si="103"/>
        <v>INVALID_SHIPPING</v>
      </c>
      <c r="K198" s="1" t="s">
        <v>1501</v>
      </c>
      <c r="L198" s="1" t="s">
        <v>70</v>
      </c>
      <c r="M198" s="1" t="str">
        <f t="shared" si="82"/>
        <v>Ananya Rao</v>
      </c>
      <c r="N198" s="1" t="s">
        <v>25</v>
      </c>
      <c r="O198" s="1" t="str">
        <f t="shared" si="83"/>
        <v>Consumer</v>
      </c>
      <c r="P198" s="1" t="s">
        <v>41</v>
      </c>
      <c r="Q198" s="1" t="str">
        <f t="shared" si="84"/>
        <v>East</v>
      </c>
      <c r="R198" s="1" t="str">
        <f t="shared" si="85"/>
        <v>OK</v>
      </c>
      <c r="S198" s="1" t="s">
        <v>201</v>
      </c>
      <c r="T198" s="1" t="str">
        <f t="shared" si="86"/>
        <v>Assam</v>
      </c>
      <c r="U198" s="1" t="s">
        <v>202</v>
      </c>
      <c r="V198" s="1" t="str">
        <f t="shared" si="87"/>
        <v>Guwahati</v>
      </c>
      <c r="W198" s="1" t="s">
        <v>29</v>
      </c>
      <c r="X198" s="1" t="str">
        <f t="shared" si="88"/>
        <v>Office Supplies</v>
      </c>
      <c r="Y198" s="1" t="s">
        <v>105</v>
      </c>
      <c r="Z198" s="1" t="str">
        <f t="shared" si="89"/>
        <v>Labels</v>
      </c>
      <c r="AA198" s="1" t="s">
        <v>1502</v>
      </c>
      <c r="AB198" s="1" t="s">
        <v>47</v>
      </c>
      <c r="AC198" s="1" t="str">
        <f t="shared" si="90"/>
        <v>Same Day</v>
      </c>
      <c r="AD198" s="1" t="str">
        <f t="shared" si="91"/>
        <v>OK</v>
      </c>
      <c r="AE198" s="1">
        <v>6</v>
      </c>
      <c r="AF198" s="1">
        <v>1181.74</v>
      </c>
      <c r="AG198" s="9">
        <v>0</v>
      </c>
      <c r="AH198" s="9">
        <f t="shared" si="92"/>
        <v>0</v>
      </c>
      <c r="AI198" s="1" t="str">
        <f t="shared" si="93"/>
        <v>OK</v>
      </c>
      <c r="AJ198" s="1">
        <v>7090.44</v>
      </c>
      <c r="AK198" s="1">
        <v>5672.27</v>
      </c>
      <c r="AL198" s="1">
        <v>1262.8699999999999</v>
      </c>
      <c r="AM198" s="13">
        <f t="shared" si="94"/>
        <v>7090.4400000000005</v>
      </c>
      <c r="AN198" s="9">
        <f t="shared" si="95"/>
        <v>1418.17</v>
      </c>
      <c r="AO198" s="9">
        <f t="shared" si="104"/>
        <v>0.20001156486762456</v>
      </c>
      <c r="AP198" s="1" t="s">
        <v>33</v>
      </c>
      <c r="AQ198" s="1" t="str">
        <f t="shared" si="96"/>
        <v>Paid</v>
      </c>
      <c r="AR198" s="1" t="str">
        <f t="shared" si="97"/>
        <v>OK</v>
      </c>
      <c r="AS198" s="1" t="s">
        <v>34</v>
      </c>
      <c r="AT198" s="4" t="str">
        <f t="shared" si="98"/>
        <v>Completed</v>
      </c>
      <c r="AU198" s="3" t="str">
        <f t="shared" si="99"/>
        <v>OK</v>
      </c>
      <c r="AV198" s="3" t="str">
        <f t="shared" si="105"/>
        <v>INVALID</v>
      </c>
      <c r="AW198" t="str">
        <f t="shared" si="106"/>
        <v>MATCH</v>
      </c>
      <c r="AX198" t="str">
        <f t="shared" si="107"/>
        <v>MISMATCH</v>
      </c>
    </row>
    <row r="199" spans="1:50" ht="15.6" hidden="1">
      <c r="A199" s="1" t="s">
        <v>1503</v>
      </c>
      <c r="B199" s="1">
        <f t="shared" si="81"/>
        <v>1</v>
      </c>
      <c r="C199" s="16">
        <v>45634</v>
      </c>
      <c r="D199" s="16">
        <v>45634</v>
      </c>
      <c r="E199" s="16" t="str">
        <f t="shared" si="100"/>
        <v>Dec</v>
      </c>
      <c r="F199" s="1">
        <f t="shared" si="101"/>
        <v>2024</v>
      </c>
      <c r="G199" t="s">
        <v>940</v>
      </c>
      <c r="H199" s="17">
        <v>45842</v>
      </c>
      <c r="I199" s="21">
        <f t="shared" si="102"/>
        <v>208</v>
      </c>
      <c r="J199" s="6" t="str">
        <f t="shared" si="103"/>
        <v>OK</v>
      </c>
      <c r="K199" s="1" t="s">
        <v>1504</v>
      </c>
      <c r="L199" s="1" t="s">
        <v>59</v>
      </c>
      <c r="M199" s="1" t="str">
        <f t="shared" si="82"/>
        <v>Arjun Bose</v>
      </c>
      <c r="N199" s="1" t="s">
        <v>40</v>
      </c>
      <c r="O199" s="1" t="str">
        <f t="shared" si="83"/>
        <v>Small Business</v>
      </c>
      <c r="P199" s="1" t="s">
        <v>60</v>
      </c>
      <c r="Q199" s="1" t="str">
        <f t="shared" si="84"/>
        <v>South</v>
      </c>
      <c r="R199" s="1" t="str">
        <f t="shared" si="85"/>
        <v>OK</v>
      </c>
      <c r="S199" s="1" t="s">
        <v>97</v>
      </c>
      <c r="T199" s="1" t="str">
        <f t="shared" si="86"/>
        <v>Andhra Pradesh</v>
      </c>
      <c r="U199" s="1" t="s">
        <v>98</v>
      </c>
      <c r="V199" s="1" t="str">
        <f t="shared" si="87"/>
        <v>Vijayawada</v>
      </c>
      <c r="W199" s="1" t="s">
        <v>83</v>
      </c>
      <c r="X199" s="1" t="str">
        <f t="shared" si="88"/>
        <v>Technology</v>
      </c>
      <c r="Y199" s="1" t="s">
        <v>84</v>
      </c>
      <c r="Z199" s="1" t="str">
        <f t="shared" si="89"/>
        <v>Accessories</v>
      </c>
      <c r="AA199" s="1" t="s">
        <v>1505</v>
      </c>
      <c r="AB199" s="1" t="s">
        <v>55</v>
      </c>
      <c r="AC199" s="1" t="str">
        <f t="shared" si="90"/>
        <v>First Class</v>
      </c>
      <c r="AD199" s="1" t="str">
        <f t="shared" si="91"/>
        <v>OK</v>
      </c>
      <c r="AE199" s="1">
        <v>8</v>
      </c>
      <c r="AF199" s="1">
        <v>4402.3599999999997</v>
      </c>
      <c r="AG199" s="9">
        <v>0.25</v>
      </c>
      <c r="AH199" s="9">
        <f t="shared" si="92"/>
        <v>0.25</v>
      </c>
      <c r="AI199" s="1" t="str">
        <f t="shared" si="93"/>
        <v>OK</v>
      </c>
      <c r="AJ199" s="1">
        <v>26414.16</v>
      </c>
      <c r="AK199" s="1">
        <v>21822.53</v>
      </c>
      <c r="AL199" s="1">
        <v>4591.63</v>
      </c>
      <c r="AM199" s="13">
        <f t="shared" si="94"/>
        <v>26414.159999999996</v>
      </c>
      <c r="AN199" s="9">
        <f t="shared" si="95"/>
        <v>4591.6299999999974</v>
      </c>
      <c r="AO199" s="9">
        <f t="shared" si="104"/>
        <v>0.17383214154832097</v>
      </c>
      <c r="AP199" s="1" t="s">
        <v>33</v>
      </c>
      <c r="AQ199" s="1" t="str">
        <f t="shared" si="96"/>
        <v>Paid</v>
      </c>
      <c r="AR199" s="1" t="str">
        <f t="shared" si="97"/>
        <v>OK</v>
      </c>
      <c r="AS199" s="1" t="s">
        <v>34</v>
      </c>
      <c r="AT199" s="4" t="str">
        <f t="shared" si="98"/>
        <v>Completed</v>
      </c>
      <c r="AU199" s="3" t="str">
        <f t="shared" si="99"/>
        <v>OK</v>
      </c>
      <c r="AV199" s="3" t="str">
        <f t="shared" si="105"/>
        <v>CLEAN</v>
      </c>
      <c r="AW199" t="str">
        <f t="shared" si="106"/>
        <v>MATCH</v>
      </c>
      <c r="AX199" t="str">
        <f t="shared" si="107"/>
        <v>MATCH</v>
      </c>
    </row>
    <row r="200" spans="1:50" ht="15.6" hidden="1">
      <c r="A200" s="1" t="s">
        <v>1510</v>
      </c>
      <c r="B200" s="1">
        <f t="shared" si="81"/>
        <v>1</v>
      </c>
      <c r="C200" s="16">
        <v>45312</v>
      </c>
      <c r="D200" s="16">
        <v>45312</v>
      </c>
      <c r="E200" s="16" t="str">
        <f t="shared" si="100"/>
        <v>Jan</v>
      </c>
      <c r="F200" s="1">
        <f t="shared" si="101"/>
        <v>2024</v>
      </c>
      <c r="G200" t="s">
        <v>943</v>
      </c>
      <c r="H200" s="17">
        <v>45449</v>
      </c>
      <c r="I200" s="21">
        <f t="shared" si="102"/>
        <v>137</v>
      </c>
      <c r="J200" s="6" t="str">
        <f t="shared" si="103"/>
        <v>OK</v>
      </c>
      <c r="K200" s="1" t="s">
        <v>1512</v>
      </c>
      <c r="L200" s="1" t="s">
        <v>90</v>
      </c>
      <c r="M200" s="1" t="str">
        <f t="shared" si="82"/>
        <v>Neha Gupta</v>
      </c>
      <c r="N200" s="1" t="s">
        <v>25</v>
      </c>
      <c r="O200" s="1" t="str">
        <f t="shared" si="83"/>
        <v>Consumer</v>
      </c>
      <c r="P200" s="1" t="s">
        <v>60</v>
      </c>
      <c r="Q200" s="1" t="str">
        <f t="shared" si="84"/>
        <v>South</v>
      </c>
      <c r="R200" s="1" t="str">
        <f t="shared" si="85"/>
        <v>OK</v>
      </c>
      <c r="S200" s="1" t="s">
        <v>212</v>
      </c>
      <c r="T200" s="1" t="str">
        <f t="shared" si="86"/>
        <v>Karnataka</v>
      </c>
      <c r="U200" s="1" t="s">
        <v>213</v>
      </c>
      <c r="V200" s="1" t="str">
        <f t="shared" si="87"/>
        <v>Bengaluru</v>
      </c>
      <c r="W200" s="1" t="s">
        <v>29</v>
      </c>
      <c r="X200" s="1" t="str">
        <f t="shared" si="88"/>
        <v>Office Supplies</v>
      </c>
      <c r="Y200" s="1" t="s">
        <v>184</v>
      </c>
      <c r="Z200" s="1" t="str">
        <f t="shared" si="89"/>
        <v>Binders</v>
      </c>
      <c r="AA200" s="1" t="s">
        <v>1513</v>
      </c>
      <c r="AB200" s="1" t="s">
        <v>65</v>
      </c>
      <c r="AC200" s="1" t="str">
        <f t="shared" si="90"/>
        <v>Standard Class</v>
      </c>
      <c r="AD200" s="1" t="str">
        <f t="shared" si="91"/>
        <v>OK</v>
      </c>
      <c r="AE200" s="1">
        <v>5</v>
      </c>
      <c r="AF200" s="1">
        <v>4058.08</v>
      </c>
      <c r="AG200" s="9">
        <v>0.1</v>
      </c>
      <c r="AH200" s="9">
        <f t="shared" si="92"/>
        <v>0.1</v>
      </c>
      <c r="AI200" s="1" t="str">
        <f t="shared" si="93"/>
        <v>OK</v>
      </c>
      <c r="AJ200" s="1">
        <v>18261.36</v>
      </c>
      <c r="AK200" s="1">
        <v>11399.94</v>
      </c>
      <c r="AL200" s="1">
        <v>6861.42</v>
      </c>
      <c r="AM200" s="13">
        <f t="shared" si="94"/>
        <v>18261.36</v>
      </c>
      <c r="AN200" s="9">
        <f t="shared" si="95"/>
        <v>6861.42</v>
      </c>
      <c r="AO200" s="9">
        <f t="shared" si="104"/>
        <v>0.3757343374206521</v>
      </c>
      <c r="AP200" s="1" t="s">
        <v>33</v>
      </c>
      <c r="AQ200" s="1" t="str">
        <f t="shared" si="96"/>
        <v>Paid</v>
      </c>
      <c r="AR200" s="1" t="str">
        <f t="shared" si="97"/>
        <v>OK</v>
      </c>
      <c r="AS200" s="1" t="s">
        <v>34</v>
      </c>
      <c r="AT200" s="4" t="str">
        <f t="shared" si="98"/>
        <v>Completed</v>
      </c>
      <c r="AU200" s="3" t="str">
        <f t="shared" si="99"/>
        <v>OK</v>
      </c>
      <c r="AV200" s="3" t="str">
        <f t="shared" si="105"/>
        <v>CLEAN</v>
      </c>
      <c r="AW200" t="str">
        <f t="shared" si="106"/>
        <v>MATCH</v>
      </c>
      <c r="AX200" t="str">
        <f t="shared" si="107"/>
        <v>MATCH</v>
      </c>
    </row>
    <row r="201" spans="1:50" ht="15.6" hidden="1">
      <c r="A201" s="1" t="s">
        <v>1526</v>
      </c>
      <c r="B201" s="1">
        <f t="shared" si="81"/>
        <v>1</v>
      </c>
      <c r="C201" s="16">
        <v>45362</v>
      </c>
      <c r="D201" s="16">
        <v>45362</v>
      </c>
      <c r="E201" s="16" t="str">
        <f t="shared" si="100"/>
        <v>Mar</v>
      </c>
      <c r="F201" s="1">
        <f t="shared" si="101"/>
        <v>2024</v>
      </c>
      <c r="G201" t="s">
        <v>947</v>
      </c>
      <c r="H201" s="17">
        <v>45629</v>
      </c>
      <c r="I201" s="21">
        <f t="shared" si="102"/>
        <v>267</v>
      </c>
      <c r="J201" s="6" t="str">
        <f t="shared" si="103"/>
        <v>OK</v>
      </c>
      <c r="K201" s="1" t="s">
        <v>1527</v>
      </c>
      <c r="L201" s="1" t="s">
        <v>136</v>
      </c>
      <c r="M201" s="1" t="str">
        <f t="shared" si="82"/>
        <v>Priya Menon</v>
      </c>
      <c r="N201" s="1" t="s">
        <v>25</v>
      </c>
      <c r="O201" s="1" t="str">
        <f t="shared" si="83"/>
        <v>Consumer</v>
      </c>
      <c r="P201" s="1" t="s">
        <v>26</v>
      </c>
      <c r="Q201" s="1" t="str">
        <f t="shared" si="84"/>
        <v>North</v>
      </c>
      <c r="R201" s="1" t="str">
        <f t="shared" si="85"/>
        <v>OK</v>
      </c>
      <c r="S201" s="1" t="s">
        <v>146</v>
      </c>
      <c r="T201" s="1" t="str">
        <f t="shared" si="86"/>
        <v>Punjab</v>
      </c>
      <c r="U201" s="1" t="s">
        <v>147</v>
      </c>
      <c r="V201" s="1" t="str">
        <f t="shared" si="87"/>
        <v>Ludhiana</v>
      </c>
      <c r="W201" s="1" t="s">
        <v>44</v>
      </c>
      <c r="X201" s="1" t="str">
        <f t="shared" si="88"/>
        <v>Furniture</v>
      </c>
      <c r="Y201" s="1" t="s">
        <v>190</v>
      </c>
      <c r="Z201" s="1" t="str">
        <f t="shared" si="89"/>
        <v>Bookcases</v>
      </c>
      <c r="AA201" s="1" t="s">
        <v>1528</v>
      </c>
      <c r="AB201" s="1" t="s">
        <v>47</v>
      </c>
      <c r="AC201" s="1" t="str">
        <f t="shared" si="90"/>
        <v>Same Day</v>
      </c>
      <c r="AD201" s="1" t="str">
        <f t="shared" si="91"/>
        <v>OK</v>
      </c>
      <c r="AE201" s="1">
        <v>9</v>
      </c>
      <c r="AF201" s="1">
        <v>3456.38</v>
      </c>
      <c r="AG201" s="9">
        <v>0</v>
      </c>
      <c r="AH201" s="9">
        <f t="shared" si="92"/>
        <v>0</v>
      </c>
      <c r="AI201" s="1" t="str">
        <f t="shared" si="93"/>
        <v>OK</v>
      </c>
      <c r="AJ201" s="1">
        <v>31107.42</v>
      </c>
      <c r="AK201" s="1">
        <v>20146.66</v>
      </c>
      <c r="AL201" s="1">
        <v>10960.76</v>
      </c>
      <c r="AM201" s="13">
        <f t="shared" si="94"/>
        <v>31107.420000000002</v>
      </c>
      <c r="AN201" s="9">
        <f t="shared" si="95"/>
        <v>10960.760000000002</v>
      </c>
      <c r="AO201" s="9">
        <f t="shared" si="104"/>
        <v>0.3523519468988428</v>
      </c>
      <c r="AP201" s="1" t="s">
        <v>131</v>
      </c>
      <c r="AQ201" s="1" t="str">
        <f t="shared" si="96"/>
        <v>Pending</v>
      </c>
      <c r="AR201" s="1" t="str">
        <f t="shared" si="97"/>
        <v>OK</v>
      </c>
      <c r="AS201" s="1" t="s">
        <v>120</v>
      </c>
      <c r="AT201" s="4" t="str">
        <f t="shared" si="98"/>
        <v>Returned</v>
      </c>
      <c r="AU201" s="3" t="str">
        <f t="shared" si="99"/>
        <v>RETURNED_ORDER</v>
      </c>
      <c r="AV201" s="3" t="str">
        <f t="shared" si="105"/>
        <v>CLEAN</v>
      </c>
      <c r="AW201" t="str">
        <f t="shared" si="106"/>
        <v>MATCH</v>
      </c>
      <c r="AX201" t="str">
        <f t="shared" si="107"/>
        <v>MATCH</v>
      </c>
    </row>
    <row r="202" spans="1:50" ht="15.6" hidden="1">
      <c r="A202" s="1" t="s">
        <v>1529</v>
      </c>
      <c r="B202" s="1">
        <f t="shared" si="81"/>
        <v>1</v>
      </c>
      <c r="C202" s="16">
        <v>45549</v>
      </c>
      <c r="D202" s="16">
        <v>45549</v>
      </c>
      <c r="E202" s="16" t="str">
        <f t="shared" si="100"/>
        <v>Sep</v>
      </c>
      <c r="F202" s="1">
        <f t="shared" si="101"/>
        <v>2024</v>
      </c>
      <c r="G202" t="s">
        <v>951</v>
      </c>
      <c r="H202" s="17">
        <v>45843</v>
      </c>
      <c r="I202" s="21">
        <f t="shared" si="102"/>
        <v>294</v>
      </c>
      <c r="J202" s="6" t="str">
        <f t="shared" si="103"/>
        <v>OK</v>
      </c>
      <c r="K202" s="1" t="s">
        <v>1532</v>
      </c>
      <c r="L202" s="1" t="s">
        <v>24</v>
      </c>
      <c r="M202" s="1" t="str">
        <f t="shared" si="82"/>
        <v>Karan Malhotra</v>
      </c>
      <c r="N202" s="1" t="s">
        <v>25</v>
      </c>
      <c r="O202" s="1" t="str">
        <f t="shared" si="83"/>
        <v>Consumer</v>
      </c>
      <c r="P202" s="1" t="s">
        <v>71</v>
      </c>
      <c r="Q202" s="1" t="str">
        <f t="shared" si="84"/>
        <v>West</v>
      </c>
      <c r="R202" s="1" t="str">
        <f t="shared" si="85"/>
        <v>OK</v>
      </c>
      <c r="S202" s="1" t="s">
        <v>81</v>
      </c>
      <c r="T202" s="1" t="str">
        <f t="shared" si="86"/>
        <v>Madhya Pradesh</v>
      </c>
      <c r="U202" s="1" t="s">
        <v>82</v>
      </c>
      <c r="V202" s="1" t="str">
        <f t="shared" si="87"/>
        <v>Indore</v>
      </c>
      <c r="W202" s="1" t="s">
        <v>44</v>
      </c>
      <c r="X202" s="1" t="str">
        <f t="shared" si="88"/>
        <v>Furniture</v>
      </c>
      <c r="Y202" s="1" t="s">
        <v>63</v>
      </c>
      <c r="Z202" s="1" t="str">
        <f t="shared" si="89"/>
        <v>Furnishings</v>
      </c>
      <c r="AA202" s="1" t="s">
        <v>1533</v>
      </c>
      <c r="AB202" s="1" t="s">
        <v>32</v>
      </c>
      <c r="AC202" s="1" t="str">
        <f t="shared" si="90"/>
        <v>Second Class</v>
      </c>
      <c r="AD202" s="1" t="str">
        <f t="shared" si="91"/>
        <v>OK</v>
      </c>
      <c r="AE202" s="1">
        <v>2</v>
      </c>
      <c r="AF202" s="1">
        <v>2765.3</v>
      </c>
      <c r="AG202" s="9">
        <v>0</v>
      </c>
      <c r="AH202" s="9">
        <f t="shared" si="92"/>
        <v>0</v>
      </c>
      <c r="AI202" s="1" t="str">
        <f t="shared" si="93"/>
        <v>OK</v>
      </c>
      <c r="AJ202" s="1">
        <v>5530.6</v>
      </c>
      <c r="AK202" s="1">
        <v>4453.1099999999997</v>
      </c>
      <c r="AL202" s="1">
        <v>1077.49</v>
      </c>
      <c r="AM202" s="13">
        <f t="shared" si="94"/>
        <v>5530.6</v>
      </c>
      <c r="AN202" s="9">
        <f t="shared" si="95"/>
        <v>1077.4900000000007</v>
      </c>
      <c r="AO202" s="9">
        <f t="shared" si="104"/>
        <v>0.19482334647235391</v>
      </c>
      <c r="AP202" s="1" t="s">
        <v>33</v>
      </c>
      <c r="AQ202" s="1" t="str">
        <f t="shared" si="96"/>
        <v>Paid</v>
      </c>
      <c r="AR202" s="1" t="str">
        <f t="shared" si="97"/>
        <v>OK</v>
      </c>
      <c r="AS202" s="1" t="s">
        <v>34</v>
      </c>
      <c r="AT202" s="4" t="str">
        <f t="shared" si="98"/>
        <v>Completed</v>
      </c>
      <c r="AU202" s="3" t="str">
        <f t="shared" si="99"/>
        <v>OK</v>
      </c>
      <c r="AV202" s="3" t="str">
        <f t="shared" si="105"/>
        <v>CLEAN</v>
      </c>
      <c r="AW202" t="str">
        <f t="shared" si="106"/>
        <v>MATCH</v>
      </c>
      <c r="AX202" t="str">
        <f t="shared" si="107"/>
        <v>MATCH</v>
      </c>
    </row>
    <row r="203" spans="1:50" ht="15.6" hidden="1">
      <c r="A203" s="1" t="s">
        <v>1538</v>
      </c>
      <c r="B203" s="1">
        <f t="shared" si="81"/>
        <v>1</v>
      </c>
      <c r="C203" s="16">
        <v>45627</v>
      </c>
      <c r="D203" s="16">
        <v>45627</v>
      </c>
      <c r="E203" s="16" t="str">
        <f t="shared" si="100"/>
        <v>Dec</v>
      </c>
      <c r="F203" s="1">
        <f t="shared" si="101"/>
        <v>2024</v>
      </c>
      <c r="G203" t="s">
        <v>955</v>
      </c>
      <c r="H203" s="17">
        <v>45872</v>
      </c>
      <c r="I203" s="21">
        <f t="shared" si="102"/>
        <v>245</v>
      </c>
      <c r="J203" s="6" t="str">
        <f t="shared" si="103"/>
        <v>OK</v>
      </c>
      <c r="K203" s="1" t="s">
        <v>1540</v>
      </c>
      <c r="L203" s="1" t="s">
        <v>153</v>
      </c>
      <c r="M203" s="1" t="str">
        <f t="shared" si="82"/>
        <v>Aarav Sharma</v>
      </c>
      <c r="N203" s="1" t="s">
        <v>40</v>
      </c>
      <c r="O203" s="1" t="str">
        <f t="shared" si="83"/>
        <v>Small Business</v>
      </c>
      <c r="P203" s="1" t="s">
        <v>71</v>
      </c>
      <c r="Q203" s="1" t="str">
        <f t="shared" si="84"/>
        <v>West</v>
      </c>
      <c r="R203" s="1" t="str">
        <f t="shared" si="85"/>
        <v>OK</v>
      </c>
      <c r="S203" s="1" t="s">
        <v>230</v>
      </c>
      <c r="T203" s="1" t="str">
        <f t="shared" si="86"/>
        <v>Goa</v>
      </c>
      <c r="U203" s="1" t="s">
        <v>231</v>
      </c>
      <c r="V203" s="1" t="str">
        <f t="shared" si="87"/>
        <v>Panaji</v>
      </c>
      <c r="W203" s="1" t="s">
        <v>44</v>
      </c>
      <c r="X203" s="1" t="str">
        <f t="shared" si="88"/>
        <v>Furniture</v>
      </c>
      <c r="Y203" s="1" t="s">
        <v>74</v>
      </c>
      <c r="Z203" s="1" t="str">
        <f t="shared" si="89"/>
        <v>Chairs</v>
      </c>
      <c r="AA203" s="1" t="s">
        <v>1541</v>
      </c>
      <c r="AB203" s="1" t="s">
        <v>32</v>
      </c>
      <c r="AC203" s="1" t="str">
        <f t="shared" si="90"/>
        <v>Second Class</v>
      </c>
      <c r="AD203" s="1" t="str">
        <f t="shared" si="91"/>
        <v>OK</v>
      </c>
      <c r="AE203" s="1">
        <v>5</v>
      </c>
      <c r="AF203" s="1">
        <v>2981.49</v>
      </c>
      <c r="AG203" s="9">
        <v>0.2</v>
      </c>
      <c r="AH203" s="9">
        <f t="shared" si="92"/>
        <v>0.2</v>
      </c>
      <c r="AI203" s="1" t="str">
        <f t="shared" si="93"/>
        <v>OK</v>
      </c>
      <c r="AJ203" s="1">
        <v>11925.96</v>
      </c>
      <c r="AK203" s="1">
        <v>10103.51</v>
      </c>
      <c r="AL203" s="1">
        <v>1822.45</v>
      </c>
      <c r="AM203" s="13">
        <f t="shared" si="94"/>
        <v>11925.96</v>
      </c>
      <c r="AN203" s="9">
        <f t="shared" si="95"/>
        <v>1822.4499999999989</v>
      </c>
      <c r="AO203" s="9">
        <f t="shared" si="104"/>
        <v>0.15281369382422874</v>
      </c>
      <c r="AP203" s="1" t="s">
        <v>119</v>
      </c>
      <c r="AQ203" s="1" t="str">
        <f t="shared" si="96"/>
        <v>Refunded</v>
      </c>
      <c r="AR203" s="1" t="str">
        <f t="shared" si="97"/>
        <v>REFUNDED_PAYMENT</v>
      </c>
      <c r="AS203" s="1" t="s">
        <v>120</v>
      </c>
      <c r="AT203" s="4" t="str">
        <f t="shared" si="98"/>
        <v>Returned</v>
      </c>
      <c r="AU203" s="3" t="str">
        <f t="shared" si="99"/>
        <v>RETURNED_ORDER</v>
      </c>
      <c r="AV203" s="3" t="str">
        <f t="shared" si="105"/>
        <v>CLEAN</v>
      </c>
      <c r="AW203" t="str">
        <f t="shared" si="106"/>
        <v>MATCH</v>
      </c>
      <c r="AX203" t="str">
        <f t="shared" si="107"/>
        <v>MATCH</v>
      </c>
    </row>
    <row r="204" spans="1:50" ht="15.6" hidden="1">
      <c r="A204" s="1" t="s">
        <v>1542</v>
      </c>
      <c r="B204" s="1">
        <f t="shared" si="81"/>
        <v>1</v>
      </c>
      <c r="C204" s="16">
        <v>45328</v>
      </c>
      <c r="D204" s="16">
        <v>45328</v>
      </c>
      <c r="E204" s="16" t="str">
        <f t="shared" si="100"/>
        <v>Feb</v>
      </c>
      <c r="F204" s="1">
        <f t="shared" si="101"/>
        <v>2024</v>
      </c>
      <c r="G204" t="s">
        <v>959</v>
      </c>
      <c r="H204" s="17">
        <v>45744</v>
      </c>
      <c r="I204" s="21">
        <f t="shared" si="102"/>
        <v>416</v>
      </c>
      <c r="J204" s="6" t="str">
        <f t="shared" si="103"/>
        <v>OK</v>
      </c>
      <c r="K204" s="1" t="s">
        <v>1544</v>
      </c>
      <c r="L204" s="1" t="s">
        <v>153</v>
      </c>
      <c r="M204" s="1" t="str">
        <f t="shared" si="82"/>
        <v>Aarav Sharma</v>
      </c>
      <c r="N204" s="1" t="s">
        <v>104</v>
      </c>
      <c r="O204" s="1" t="str">
        <f t="shared" si="83"/>
        <v>Corporate</v>
      </c>
      <c r="P204" s="1" t="s">
        <v>60</v>
      </c>
      <c r="Q204" s="1" t="str">
        <f t="shared" si="84"/>
        <v>South</v>
      </c>
      <c r="R204" s="1" t="str">
        <f t="shared" si="85"/>
        <v>OK</v>
      </c>
      <c r="S204" s="1" t="s">
        <v>212</v>
      </c>
      <c r="T204" s="1" t="str">
        <f t="shared" si="86"/>
        <v>Karnataka</v>
      </c>
      <c r="U204" s="1" t="s">
        <v>213</v>
      </c>
      <c r="V204" s="1" t="str">
        <f t="shared" si="87"/>
        <v>Bengaluru</v>
      </c>
      <c r="W204" s="1" t="s">
        <v>83</v>
      </c>
      <c r="X204" s="1" t="str">
        <f t="shared" si="88"/>
        <v>Technology</v>
      </c>
      <c r="Y204" s="1" t="s">
        <v>207</v>
      </c>
      <c r="Z204" s="1" t="str">
        <f t="shared" si="89"/>
        <v>Phones</v>
      </c>
      <c r="AA204" s="1" t="s">
        <v>1545</v>
      </c>
      <c r="AB204" s="1" t="s">
        <v>47</v>
      </c>
      <c r="AC204" s="1" t="str">
        <f t="shared" si="90"/>
        <v>Same Day</v>
      </c>
      <c r="AD204" s="1" t="str">
        <f t="shared" si="91"/>
        <v>OK</v>
      </c>
      <c r="AE204" s="1">
        <v>9</v>
      </c>
      <c r="AF204" s="1">
        <v>2860.26</v>
      </c>
      <c r="AG204" s="9">
        <v>0.25</v>
      </c>
      <c r="AH204" s="9">
        <f t="shared" si="92"/>
        <v>0.25</v>
      </c>
      <c r="AI204" s="1" t="str">
        <f t="shared" si="93"/>
        <v>OK</v>
      </c>
      <c r="AJ204" s="1">
        <v>19306.759999999998</v>
      </c>
      <c r="AK204" s="1">
        <v>14442.38</v>
      </c>
      <c r="AL204" s="1">
        <v>4864.38</v>
      </c>
      <c r="AM204" s="13">
        <f t="shared" si="94"/>
        <v>19306.755000000005</v>
      </c>
      <c r="AN204" s="9">
        <f t="shared" si="95"/>
        <v>4864.3750000000055</v>
      </c>
      <c r="AO204" s="9">
        <f t="shared" si="104"/>
        <v>0.25195197225012717</v>
      </c>
      <c r="AP204" s="1" t="s">
        <v>33</v>
      </c>
      <c r="AQ204" s="1" t="str">
        <f t="shared" si="96"/>
        <v>Paid</v>
      </c>
      <c r="AR204" s="1" t="str">
        <f t="shared" si="97"/>
        <v>OK</v>
      </c>
      <c r="AS204" s="1" t="s">
        <v>34</v>
      </c>
      <c r="AT204" s="4" t="str">
        <f t="shared" si="98"/>
        <v>Completed</v>
      </c>
      <c r="AU204" s="3" t="str">
        <f t="shared" si="99"/>
        <v>OK</v>
      </c>
      <c r="AV204" s="3" t="str">
        <f t="shared" si="105"/>
        <v>CLEAN</v>
      </c>
      <c r="AW204" t="str">
        <f t="shared" si="106"/>
        <v>MATCH</v>
      </c>
      <c r="AX204" t="str">
        <f t="shared" si="107"/>
        <v>MATCH</v>
      </c>
    </row>
    <row r="205" spans="1:50" ht="15.6" hidden="1">
      <c r="A205" s="1" t="s">
        <v>1549</v>
      </c>
      <c r="B205" s="1">
        <f t="shared" si="81"/>
        <v>1</v>
      </c>
      <c r="C205" s="16">
        <v>45298</v>
      </c>
      <c r="D205" s="16">
        <v>45298</v>
      </c>
      <c r="E205" s="16" t="str">
        <f t="shared" si="100"/>
        <v>Jan</v>
      </c>
      <c r="F205" s="1">
        <f t="shared" si="101"/>
        <v>2024</v>
      </c>
      <c r="G205" t="s">
        <v>963</v>
      </c>
      <c r="H205" s="17">
        <v>45381</v>
      </c>
      <c r="I205" s="21">
        <f t="shared" si="102"/>
        <v>83</v>
      </c>
      <c r="J205" s="6" t="str">
        <f t="shared" si="103"/>
        <v>OK</v>
      </c>
      <c r="K205" s="1" t="s">
        <v>1552</v>
      </c>
      <c r="L205" s="1" t="s">
        <v>158</v>
      </c>
      <c r="M205" s="1" t="str">
        <f t="shared" si="82"/>
        <v>Sneha Kapoor</v>
      </c>
      <c r="N205" s="1" t="s">
        <v>40</v>
      </c>
      <c r="O205" s="1" t="str">
        <f t="shared" si="83"/>
        <v>Small Business</v>
      </c>
      <c r="P205" s="1" t="s">
        <v>41</v>
      </c>
      <c r="Q205" s="1" t="str">
        <f t="shared" si="84"/>
        <v>East</v>
      </c>
      <c r="R205" s="1" t="str">
        <f t="shared" si="85"/>
        <v>OK</v>
      </c>
      <c r="S205" s="1" t="s">
        <v>284</v>
      </c>
      <c r="T205" s="1" t="str">
        <f t="shared" si="86"/>
        <v>Jharkhand</v>
      </c>
      <c r="U205" s="1" t="s">
        <v>285</v>
      </c>
      <c r="V205" s="1" t="str">
        <f t="shared" si="87"/>
        <v>Ranchi</v>
      </c>
      <c r="W205" s="1" t="s">
        <v>44</v>
      </c>
      <c r="X205" s="1" t="str">
        <f t="shared" si="88"/>
        <v>Furniture</v>
      </c>
      <c r="Y205" s="1" t="s">
        <v>63</v>
      </c>
      <c r="Z205" s="1" t="str">
        <f t="shared" si="89"/>
        <v>Furnishings</v>
      </c>
      <c r="AA205" s="1" t="s">
        <v>1553</v>
      </c>
      <c r="AB205" s="1" t="s">
        <v>32</v>
      </c>
      <c r="AC205" s="1" t="str">
        <f t="shared" si="90"/>
        <v>Second Class</v>
      </c>
      <c r="AD205" s="1" t="str">
        <f t="shared" si="91"/>
        <v>OK</v>
      </c>
      <c r="AE205" s="1">
        <v>4</v>
      </c>
      <c r="AF205" s="1">
        <v>3309.54</v>
      </c>
      <c r="AG205" s="9">
        <v>0.1</v>
      </c>
      <c r="AH205" s="9">
        <f t="shared" si="92"/>
        <v>0.1</v>
      </c>
      <c r="AI205" s="1" t="str">
        <f t="shared" si="93"/>
        <v>OK</v>
      </c>
      <c r="AJ205" s="1">
        <v>11914.34</v>
      </c>
      <c r="AK205" s="1">
        <v>9771.24</v>
      </c>
      <c r="AL205" s="1">
        <v>2143.1</v>
      </c>
      <c r="AM205" s="13">
        <f t="shared" si="94"/>
        <v>11914.344000000001</v>
      </c>
      <c r="AN205" s="9">
        <f t="shared" si="95"/>
        <v>2143.1040000000012</v>
      </c>
      <c r="AO205" s="9">
        <f t="shared" si="104"/>
        <v>0.17987595456367561</v>
      </c>
      <c r="AP205" s="1" t="s">
        <v>119</v>
      </c>
      <c r="AQ205" s="1" t="str">
        <f t="shared" si="96"/>
        <v>Refunded</v>
      </c>
      <c r="AR205" s="1" t="str">
        <f t="shared" si="97"/>
        <v>REFUNDED_PAYMENT</v>
      </c>
      <c r="AS205" s="1" t="s">
        <v>120</v>
      </c>
      <c r="AT205" s="4" t="str">
        <f t="shared" si="98"/>
        <v>Returned</v>
      </c>
      <c r="AU205" s="3" t="str">
        <f t="shared" si="99"/>
        <v>RETURNED_ORDER</v>
      </c>
      <c r="AV205" s="3" t="str">
        <f t="shared" si="105"/>
        <v>CLEAN</v>
      </c>
      <c r="AW205" t="str">
        <f t="shared" si="106"/>
        <v>MATCH</v>
      </c>
      <c r="AX205" t="str">
        <f t="shared" si="107"/>
        <v>MATCH</v>
      </c>
    </row>
    <row r="206" spans="1:50" ht="15.6">
      <c r="A206" s="1" t="s">
        <v>1564</v>
      </c>
      <c r="B206" s="1">
        <f t="shared" si="81"/>
        <v>1</v>
      </c>
      <c r="C206" s="16">
        <v>45653</v>
      </c>
      <c r="D206" s="16">
        <v>45653</v>
      </c>
      <c r="E206" s="16" t="str">
        <f t="shared" si="100"/>
        <v>Dec</v>
      </c>
      <c r="F206" s="1">
        <f t="shared" si="101"/>
        <v>2024</v>
      </c>
      <c r="G206" t="s">
        <v>967</v>
      </c>
      <c r="H206" s="17">
        <v>45861</v>
      </c>
      <c r="I206" s="21">
        <f t="shared" si="102"/>
        <v>208</v>
      </c>
      <c r="J206" s="6" t="str">
        <f t="shared" si="103"/>
        <v>OK</v>
      </c>
      <c r="K206" s="1" t="s">
        <v>1566</v>
      </c>
      <c r="L206" s="1" t="s">
        <v>334</v>
      </c>
      <c r="M206" s="1" t="str">
        <f t="shared" si="82"/>
        <v>Kabir Singh</v>
      </c>
      <c r="N206" s="1" t="s">
        <v>1567</v>
      </c>
      <c r="O206" s="1" t="str">
        <f t="shared" si="83"/>
        <v>Corporate</v>
      </c>
      <c r="P206" s="1" t="s">
        <v>26</v>
      </c>
      <c r="Q206" s="1" t="str">
        <f t="shared" si="84"/>
        <v>North</v>
      </c>
      <c r="R206" s="1" t="str">
        <f t="shared" si="85"/>
        <v>OK</v>
      </c>
      <c r="S206" s="1" t="s">
        <v>146</v>
      </c>
      <c r="T206" s="1" t="str">
        <f t="shared" si="86"/>
        <v>Punjab</v>
      </c>
      <c r="U206" s="1" t="s">
        <v>147</v>
      </c>
      <c r="V206" s="1" t="str">
        <f t="shared" si="87"/>
        <v>Ludhiana</v>
      </c>
      <c r="W206" s="1" t="s">
        <v>44</v>
      </c>
      <c r="X206" s="1" t="str">
        <f t="shared" si="88"/>
        <v>Furniture</v>
      </c>
      <c r="Y206" s="1" t="s">
        <v>63</v>
      </c>
      <c r="Z206" s="1" t="str">
        <f t="shared" si="89"/>
        <v>Furnishings</v>
      </c>
      <c r="AA206" s="1" t="s">
        <v>1568</v>
      </c>
      <c r="AB206" s="1" t="s">
        <v>65</v>
      </c>
      <c r="AC206" s="1" t="str">
        <f t="shared" si="90"/>
        <v>Standard Class</v>
      </c>
      <c r="AD206" s="1" t="str">
        <f t="shared" si="91"/>
        <v>OK</v>
      </c>
      <c r="AE206" s="1">
        <v>6</v>
      </c>
      <c r="AF206" s="1">
        <v>3346.78</v>
      </c>
      <c r="AG206" s="9">
        <v>-0.06</v>
      </c>
      <c r="AH206" s="9">
        <f t="shared" si="92"/>
        <v>-0.06</v>
      </c>
      <c r="AI206" s="1" t="str">
        <f t="shared" si="93"/>
        <v>Invalid Negative Discount</v>
      </c>
      <c r="AJ206" s="1">
        <v>20080.68</v>
      </c>
      <c r="AK206" s="1">
        <v>12908.84</v>
      </c>
      <c r="AL206" s="1">
        <v>7171.84</v>
      </c>
      <c r="AM206" s="13" t="str">
        <f t="shared" si="94"/>
        <v>INVALID</v>
      </c>
      <c r="AN206" s="9" t="str">
        <f t="shared" si="95"/>
        <v>INVALID</v>
      </c>
      <c r="AO206" s="9" t="str">
        <f t="shared" si="104"/>
        <v/>
      </c>
      <c r="AP206" s="1" t="s">
        <v>131</v>
      </c>
      <c r="AQ206" s="1" t="str">
        <f t="shared" si="96"/>
        <v>Pending</v>
      </c>
      <c r="AR206" s="1" t="str">
        <f t="shared" si="97"/>
        <v>OK</v>
      </c>
      <c r="AS206" s="1" t="s">
        <v>76</v>
      </c>
      <c r="AT206" s="4" t="str">
        <f t="shared" si="98"/>
        <v>Cancelled</v>
      </c>
      <c r="AU206" s="3" t="str">
        <f t="shared" si="99"/>
        <v>EXCLUDE_FROM_SALES</v>
      </c>
      <c r="AV206" s="3" t="str">
        <f t="shared" si="105"/>
        <v>INVALID</v>
      </c>
      <c r="AW206" t="str">
        <f t="shared" si="106"/>
        <v>INVALID</v>
      </c>
      <c r="AX206" t="str">
        <f t="shared" si="107"/>
        <v>INVALID</v>
      </c>
    </row>
    <row r="207" spans="1:50" ht="15.6" hidden="1">
      <c r="A207" s="1" t="s">
        <v>1569</v>
      </c>
      <c r="B207" s="1">
        <f t="shared" si="81"/>
        <v>1</v>
      </c>
      <c r="C207" s="16">
        <v>45424</v>
      </c>
      <c r="D207" s="16">
        <v>45424</v>
      </c>
      <c r="E207" s="16" t="str">
        <f t="shared" si="100"/>
        <v>May</v>
      </c>
      <c r="F207" s="1">
        <f t="shared" si="101"/>
        <v>2024</v>
      </c>
      <c r="G207" t="s">
        <v>971</v>
      </c>
      <c r="H207" s="17">
        <v>45773</v>
      </c>
      <c r="I207" s="21">
        <f t="shared" si="102"/>
        <v>349</v>
      </c>
      <c r="J207" s="6" t="str">
        <f t="shared" si="103"/>
        <v>OK</v>
      </c>
      <c r="K207" s="1" t="s">
        <v>1572</v>
      </c>
      <c r="L207" s="1" t="s">
        <v>136</v>
      </c>
      <c r="M207" s="1" t="str">
        <f t="shared" si="82"/>
        <v>Priya Menon</v>
      </c>
      <c r="N207" s="1" t="s">
        <v>104</v>
      </c>
      <c r="O207" s="1" t="str">
        <f t="shared" si="83"/>
        <v>Corporate</v>
      </c>
      <c r="P207" s="1" t="s">
        <v>71</v>
      </c>
      <c r="Q207" s="1" t="str">
        <f t="shared" si="84"/>
        <v>West</v>
      </c>
      <c r="R207" s="1" t="str">
        <f t="shared" si="85"/>
        <v>OK</v>
      </c>
      <c r="S207" s="1" t="s">
        <v>27</v>
      </c>
      <c r="T207" s="1" t="str">
        <f t="shared" si="86"/>
        <v>Rajasthan</v>
      </c>
      <c r="U207" s="1" t="s">
        <v>129</v>
      </c>
      <c r="V207" s="1" t="str">
        <f t="shared" si="87"/>
        <v>Udaipur</v>
      </c>
      <c r="W207" s="1" t="s">
        <v>44</v>
      </c>
      <c r="X207" s="1" t="str">
        <f t="shared" si="88"/>
        <v>Furniture</v>
      </c>
      <c r="Y207" s="1" t="s">
        <v>45</v>
      </c>
      <c r="Z207" s="1" t="str">
        <f t="shared" si="89"/>
        <v>Tables</v>
      </c>
      <c r="AA207" s="1" t="s">
        <v>1573</v>
      </c>
      <c r="AB207" s="1" t="s">
        <v>65</v>
      </c>
      <c r="AC207" s="1" t="str">
        <f t="shared" si="90"/>
        <v>Standard Class</v>
      </c>
      <c r="AD207" s="1" t="str">
        <f t="shared" si="91"/>
        <v>OK</v>
      </c>
      <c r="AE207" s="1">
        <v>5</v>
      </c>
      <c r="AF207" s="1">
        <v>3203.48</v>
      </c>
      <c r="AG207" s="9">
        <v>0</v>
      </c>
      <c r="AH207" s="9">
        <f t="shared" si="92"/>
        <v>0</v>
      </c>
      <c r="AI207" s="1" t="str">
        <f t="shared" si="93"/>
        <v>OK</v>
      </c>
      <c r="AJ207" s="1">
        <v>16017.4</v>
      </c>
      <c r="AK207" s="1">
        <v>9557.7999999999993</v>
      </c>
      <c r="AL207" s="1">
        <v>6459.6</v>
      </c>
      <c r="AM207" s="13">
        <f t="shared" si="94"/>
        <v>16017.4</v>
      </c>
      <c r="AN207" s="9">
        <f t="shared" si="95"/>
        <v>6459.6</v>
      </c>
      <c r="AO207" s="9">
        <f t="shared" si="104"/>
        <v>0.40328642601171227</v>
      </c>
      <c r="AP207" s="1" t="s">
        <v>131</v>
      </c>
      <c r="AQ207" s="1" t="str">
        <f t="shared" si="96"/>
        <v>Pending</v>
      </c>
      <c r="AR207" s="1" t="str">
        <f t="shared" si="97"/>
        <v>OK</v>
      </c>
      <c r="AS207" s="1" t="s">
        <v>76</v>
      </c>
      <c r="AT207" s="4" t="str">
        <f t="shared" si="98"/>
        <v>Cancelled</v>
      </c>
      <c r="AU207" s="3" t="str">
        <f t="shared" si="99"/>
        <v>EXCLUDE_FROM_SALES</v>
      </c>
      <c r="AV207" s="3" t="str">
        <f t="shared" si="105"/>
        <v>CLEAN</v>
      </c>
      <c r="AW207" t="str">
        <f t="shared" si="106"/>
        <v>MATCH</v>
      </c>
      <c r="AX207" t="str">
        <f t="shared" si="107"/>
        <v>MATCH</v>
      </c>
    </row>
    <row r="208" spans="1:50" ht="15.6" hidden="1">
      <c r="A208" s="1" t="s">
        <v>1586</v>
      </c>
      <c r="B208" s="1">
        <f t="shared" si="81"/>
        <v>1</v>
      </c>
      <c r="C208" s="16">
        <v>45525</v>
      </c>
      <c r="D208" s="16">
        <v>45525</v>
      </c>
      <c r="E208" s="16" t="str">
        <f t="shared" si="100"/>
        <v>Aug</v>
      </c>
      <c r="F208" s="1">
        <f t="shared" si="101"/>
        <v>2024</v>
      </c>
      <c r="G208" t="s">
        <v>113</v>
      </c>
      <c r="H208" s="17">
        <v>45797</v>
      </c>
      <c r="I208" s="21">
        <f t="shared" si="102"/>
        <v>272</v>
      </c>
      <c r="J208" s="6" t="str">
        <f t="shared" si="103"/>
        <v>OK</v>
      </c>
      <c r="K208" s="1" t="s">
        <v>1588</v>
      </c>
      <c r="L208" s="1" t="s">
        <v>52</v>
      </c>
      <c r="M208" s="1" t="str">
        <f t="shared" si="82"/>
        <v>Isha Nair</v>
      </c>
      <c r="N208" s="1" t="s">
        <v>25</v>
      </c>
      <c r="O208" s="1" t="str">
        <f t="shared" si="83"/>
        <v>Consumer</v>
      </c>
      <c r="P208" s="1" t="s">
        <v>60</v>
      </c>
      <c r="Q208" s="1" t="str">
        <f t="shared" si="84"/>
        <v>South</v>
      </c>
      <c r="R208" s="1" t="str">
        <f t="shared" si="85"/>
        <v>OK</v>
      </c>
      <c r="S208" s="1" t="s">
        <v>309</v>
      </c>
      <c r="T208" s="1" t="str">
        <f t="shared" si="86"/>
        <v>Tamil Nadu</v>
      </c>
      <c r="U208" s="1" t="s">
        <v>310</v>
      </c>
      <c r="V208" s="1" t="str">
        <f t="shared" si="87"/>
        <v>Chennai</v>
      </c>
      <c r="W208" s="1" t="s">
        <v>83</v>
      </c>
      <c r="X208" s="1" t="str">
        <f t="shared" si="88"/>
        <v>Technology</v>
      </c>
      <c r="Y208" s="1" t="s">
        <v>207</v>
      </c>
      <c r="Z208" s="1" t="str">
        <f t="shared" si="89"/>
        <v>Phones</v>
      </c>
      <c r="AA208" s="1" t="s">
        <v>1589</v>
      </c>
      <c r="AB208" s="1" t="s">
        <v>47</v>
      </c>
      <c r="AC208" s="1" t="str">
        <f t="shared" si="90"/>
        <v>Same Day</v>
      </c>
      <c r="AD208" s="1" t="str">
        <f t="shared" si="91"/>
        <v>OK</v>
      </c>
      <c r="AE208" s="1">
        <v>9</v>
      </c>
      <c r="AF208" s="1">
        <v>616.96</v>
      </c>
      <c r="AG208" s="9">
        <v>0.1</v>
      </c>
      <c r="AH208" s="9">
        <f t="shared" si="92"/>
        <v>0.1</v>
      </c>
      <c r="AI208" s="1" t="str">
        <f t="shared" si="93"/>
        <v>OK</v>
      </c>
      <c r="AJ208" s="1">
        <v>4997.38</v>
      </c>
      <c r="AK208" s="1">
        <v>2971.39</v>
      </c>
      <c r="AL208" s="1">
        <v>2025.99</v>
      </c>
      <c r="AM208" s="13">
        <f t="shared" si="94"/>
        <v>4997.3760000000002</v>
      </c>
      <c r="AN208" s="9">
        <f t="shared" si="95"/>
        <v>2025.9860000000003</v>
      </c>
      <c r="AO208" s="9">
        <f t="shared" si="104"/>
        <v>0.40540995914656014</v>
      </c>
      <c r="AP208" s="1" t="s">
        <v>33</v>
      </c>
      <c r="AQ208" s="1" t="str">
        <f t="shared" si="96"/>
        <v>Paid</v>
      </c>
      <c r="AR208" s="1" t="str">
        <f t="shared" si="97"/>
        <v>OK</v>
      </c>
      <c r="AS208" s="1" t="s">
        <v>34</v>
      </c>
      <c r="AT208" s="4" t="str">
        <f t="shared" si="98"/>
        <v>Completed</v>
      </c>
      <c r="AU208" s="3" t="str">
        <f t="shared" si="99"/>
        <v>OK</v>
      </c>
      <c r="AV208" s="3" t="str">
        <f t="shared" si="105"/>
        <v>CLEAN</v>
      </c>
      <c r="AW208" t="str">
        <f t="shared" si="106"/>
        <v>MATCH</v>
      </c>
      <c r="AX208" t="str">
        <f t="shared" si="107"/>
        <v>MATCH</v>
      </c>
    </row>
    <row r="209" spans="1:50" ht="15.6" hidden="1">
      <c r="A209" s="1" t="s">
        <v>1590</v>
      </c>
      <c r="B209" s="1">
        <f t="shared" si="81"/>
        <v>1</v>
      </c>
      <c r="C209" s="16">
        <v>45460</v>
      </c>
      <c r="D209" s="16">
        <v>45460</v>
      </c>
      <c r="E209" s="16" t="str">
        <f t="shared" si="100"/>
        <v>Jun</v>
      </c>
      <c r="F209" s="1">
        <f t="shared" si="101"/>
        <v>2024</v>
      </c>
      <c r="G209" t="s">
        <v>978</v>
      </c>
      <c r="H209" s="17">
        <v>45489</v>
      </c>
      <c r="I209" s="21">
        <f t="shared" si="102"/>
        <v>29</v>
      </c>
      <c r="J209" s="6" t="str">
        <f t="shared" si="103"/>
        <v>OK</v>
      </c>
      <c r="K209" s="1" t="s">
        <v>1592</v>
      </c>
      <c r="L209" s="1" t="s">
        <v>158</v>
      </c>
      <c r="M209" s="1" t="str">
        <f t="shared" si="82"/>
        <v>Sneha Kapoor</v>
      </c>
      <c r="N209" s="1" t="s">
        <v>40</v>
      </c>
      <c r="O209" s="1" t="str">
        <f t="shared" si="83"/>
        <v>Small Business</v>
      </c>
      <c r="P209" s="1" t="s">
        <v>71</v>
      </c>
      <c r="Q209" s="1" t="str">
        <f t="shared" si="84"/>
        <v>West</v>
      </c>
      <c r="R209" s="1" t="str">
        <f t="shared" si="85"/>
        <v>OK</v>
      </c>
      <c r="S209" s="1" t="s">
        <v>218</v>
      </c>
      <c r="T209" s="1" t="str">
        <f t="shared" si="86"/>
        <v>Gujarat</v>
      </c>
      <c r="U209" s="1" t="s">
        <v>219</v>
      </c>
      <c r="V209" s="1" t="str">
        <f t="shared" si="87"/>
        <v>Ahmedabad</v>
      </c>
      <c r="W209" s="1" t="s">
        <v>44</v>
      </c>
      <c r="X209" s="1" t="str">
        <f t="shared" si="88"/>
        <v>Furniture</v>
      </c>
      <c r="Y209" s="1" t="s">
        <v>63</v>
      </c>
      <c r="Z209" s="1" t="str">
        <f t="shared" si="89"/>
        <v>Furnishings</v>
      </c>
      <c r="AA209" s="1" t="s">
        <v>1593</v>
      </c>
      <c r="AB209" s="1" t="s">
        <v>65</v>
      </c>
      <c r="AC209" s="1" t="str">
        <f t="shared" si="90"/>
        <v>Standard Class</v>
      </c>
      <c r="AD209" s="1" t="str">
        <f t="shared" si="91"/>
        <v>OK</v>
      </c>
      <c r="AE209" s="1">
        <v>7</v>
      </c>
      <c r="AF209" s="1">
        <v>3155.25</v>
      </c>
      <c r="AG209" s="9">
        <v>0.2</v>
      </c>
      <c r="AH209" s="9">
        <f t="shared" si="92"/>
        <v>0.2</v>
      </c>
      <c r="AI209" s="1" t="str">
        <f t="shared" si="93"/>
        <v>OK</v>
      </c>
      <c r="AJ209" s="1">
        <v>17669.400000000001</v>
      </c>
      <c r="AK209" s="1">
        <v>13718.77</v>
      </c>
      <c r="AL209" s="1">
        <v>3950.63</v>
      </c>
      <c r="AM209" s="13">
        <f t="shared" si="94"/>
        <v>17669.400000000001</v>
      </c>
      <c r="AN209" s="9">
        <f t="shared" si="95"/>
        <v>3950.630000000001</v>
      </c>
      <c r="AO209" s="9">
        <f t="shared" si="104"/>
        <v>0.2235859734908939</v>
      </c>
      <c r="AP209" s="1" t="s">
        <v>119</v>
      </c>
      <c r="AQ209" s="1" t="str">
        <f t="shared" si="96"/>
        <v>Refunded</v>
      </c>
      <c r="AR209" s="1" t="str">
        <f t="shared" si="97"/>
        <v>REFUNDED_PAYMENT</v>
      </c>
      <c r="AS209" s="1" t="s">
        <v>76</v>
      </c>
      <c r="AT209" s="4" t="str">
        <f t="shared" si="98"/>
        <v>Cancelled</v>
      </c>
      <c r="AU209" s="3" t="str">
        <f t="shared" si="99"/>
        <v>EXCLUDE_FROM_SALES</v>
      </c>
      <c r="AV209" s="3" t="str">
        <f t="shared" si="105"/>
        <v>CLEAN</v>
      </c>
      <c r="AW209" t="str">
        <f t="shared" si="106"/>
        <v>MATCH</v>
      </c>
      <c r="AX209" t="str">
        <f t="shared" si="107"/>
        <v>MATCH</v>
      </c>
    </row>
    <row r="210" spans="1:50" ht="15.6" hidden="1">
      <c r="A210" s="1" t="s">
        <v>1598</v>
      </c>
      <c r="B210" s="1">
        <f t="shared" si="81"/>
        <v>1</v>
      </c>
      <c r="C210" s="16">
        <v>45527</v>
      </c>
      <c r="D210" s="16">
        <v>45527</v>
      </c>
      <c r="E210" s="16" t="str">
        <f t="shared" si="100"/>
        <v>Aug</v>
      </c>
      <c r="F210" s="1">
        <f t="shared" si="101"/>
        <v>2024</v>
      </c>
      <c r="G210" t="s">
        <v>982</v>
      </c>
      <c r="H210" s="17">
        <v>45784</v>
      </c>
      <c r="I210" s="21">
        <f t="shared" si="102"/>
        <v>257</v>
      </c>
      <c r="J210" s="6" t="str">
        <f t="shared" si="103"/>
        <v>OK</v>
      </c>
      <c r="K210" s="1" t="s">
        <v>1600</v>
      </c>
      <c r="L210" s="1" t="s">
        <v>80</v>
      </c>
      <c r="M210" s="1" t="str">
        <f t="shared" si="82"/>
        <v>Vikram Iyer</v>
      </c>
      <c r="N210" s="1" t="s">
        <v>25</v>
      </c>
      <c r="O210" s="1" t="str">
        <f t="shared" si="83"/>
        <v>Consumer</v>
      </c>
      <c r="P210" s="1" t="s">
        <v>71</v>
      </c>
      <c r="Q210" s="1" t="str">
        <f t="shared" si="84"/>
        <v>West</v>
      </c>
      <c r="R210" s="1" t="str">
        <f t="shared" si="85"/>
        <v>OK</v>
      </c>
      <c r="S210" s="1" t="s">
        <v>230</v>
      </c>
      <c r="T210" s="1" t="str">
        <f t="shared" si="86"/>
        <v>Goa</v>
      </c>
      <c r="U210" s="1" t="s">
        <v>231</v>
      </c>
      <c r="V210" s="1" t="str">
        <f t="shared" si="87"/>
        <v>Panaji</v>
      </c>
      <c r="W210" s="1" t="s">
        <v>83</v>
      </c>
      <c r="X210" s="1" t="str">
        <f t="shared" si="88"/>
        <v>Technology</v>
      </c>
      <c r="Y210" s="1" t="s">
        <v>347</v>
      </c>
      <c r="Z210" s="1" t="str">
        <f t="shared" si="89"/>
        <v>Machines</v>
      </c>
      <c r="AA210" s="1" t="s">
        <v>1601</v>
      </c>
      <c r="AB210" s="1" t="s">
        <v>47</v>
      </c>
      <c r="AC210" s="1" t="str">
        <f t="shared" si="90"/>
        <v>Same Day</v>
      </c>
      <c r="AD210" s="1" t="str">
        <f t="shared" si="91"/>
        <v>OK</v>
      </c>
      <c r="AE210" s="1">
        <v>4</v>
      </c>
      <c r="AF210" s="1">
        <v>491.16</v>
      </c>
      <c r="AG210" s="9">
        <v>0.05</v>
      </c>
      <c r="AH210" s="9">
        <f t="shared" si="92"/>
        <v>0.05</v>
      </c>
      <c r="AI210" s="1" t="str">
        <f t="shared" si="93"/>
        <v>OK</v>
      </c>
      <c r="AJ210" s="1">
        <v>1866.41</v>
      </c>
      <c r="AK210" s="1">
        <v>1576.49</v>
      </c>
      <c r="AL210" s="1">
        <v>289.92</v>
      </c>
      <c r="AM210" s="13">
        <f t="shared" si="94"/>
        <v>1866.4079999999999</v>
      </c>
      <c r="AN210" s="9">
        <f t="shared" si="95"/>
        <v>289.91799999999989</v>
      </c>
      <c r="AO210" s="9">
        <f t="shared" si="104"/>
        <v>0.15533473924243782</v>
      </c>
      <c r="AP210" s="1" t="s">
        <v>33</v>
      </c>
      <c r="AQ210" s="1" t="str">
        <f t="shared" si="96"/>
        <v>Paid</v>
      </c>
      <c r="AR210" s="1" t="str">
        <f t="shared" si="97"/>
        <v>OK</v>
      </c>
      <c r="AS210" s="1" t="s">
        <v>34</v>
      </c>
      <c r="AT210" s="4" t="str">
        <f t="shared" si="98"/>
        <v>Completed</v>
      </c>
      <c r="AU210" s="3" t="str">
        <f t="shared" si="99"/>
        <v>OK</v>
      </c>
      <c r="AV210" s="3" t="str">
        <f t="shared" si="105"/>
        <v>CLEAN</v>
      </c>
      <c r="AW210" t="str">
        <f t="shared" si="106"/>
        <v>MATCH</v>
      </c>
      <c r="AX210" t="str">
        <f t="shared" si="107"/>
        <v>MATCH</v>
      </c>
    </row>
    <row r="211" spans="1:50" ht="15.6">
      <c r="A211" s="1" t="s">
        <v>1610</v>
      </c>
      <c r="B211" s="1">
        <f t="shared" si="81"/>
        <v>1</v>
      </c>
      <c r="C211" s="16">
        <v>45458</v>
      </c>
      <c r="D211" s="16">
        <v>45458</v>
      </c>
      <c r="E211" s="16" t="str">
        <f t="shared" si="100"/>
        <v>Jun</v>
      </c>
      <c r="F211" s="1">
        <f t="shared" si="101"/>
        <v>2024</v>
      </c>
      <c r="G211" t="s">
        <v>987</v>
      </c>
      <c r="H211" s="17">
        <v>45883</v>
      </c>
      <c r="I211" s="21">
        <f t="shared" si="102"/>
        <v>425</v>
      </c>
      <c r="J211" s="6" t="str">
        <f t="shared" si="103"/>
        <v>OK</v>
      </c>
      <c r="K211" s="1" t="s">
        <v>1612</v>
      </c>
      <c r="L211" s="1" t="s">
        <v>103</v>
      </c>
      <c r="M211" s="1" t="str">
        <f t="shared" si="82"/>
        <v>Aditi Sen</v>
      </c>
      <c r="N211" s="1" t="s">
        <v>104</v>
      </c>
      <c r="O211" s="1" t="str">
        <f t="shared" si="83"/>
        <v>Corporate</v>
      </c>
      <c r="P211" s="1" t="s">
        <v>71</v>
      </c>
      <c r="Q211" s="1" t="str">
        <f t="shared" si="84"/>
        <v>West</v>
      </c>
      <c r="R211" s="1" t="str">
        <f t="shared" si="85"/>
        <v>OK</v>
      </c>
      <c r="S211" s="1" t="s">
        <v>230</v>
      </c>
      <c r="T211" s="1" t="str">
        <f t="shared" si="86"/>
        <v>Goa</v>
      </c>
      <c r="U211" s="1" t="s">
        <v>231</v>
      </c>
      <c r="V211" s="1" t="str">
        <f t="shared" si="87"/>
        <v>Panaji</v>
      </c>
      <c r="W211" s="1" t="s">
        <v>83</v>
      </c>
      <c r="X211" s="1" t="str">
        <f t="shared" si="88"/>
        <v>Technology</v>
      </c>
      <c r="Y211" s="1" t="s">
        <v>84</v>
      </c>
      <c r="Z211" s="1" t="str">
        <f t="shared" si="89"/>
        <v>Accessories</v>
      </c>
      <c r="AA211" s="1" t="s">
        <v>1613</v>
      </c>
      <c r="AB211" s="1" t="s">
        <v>55</v>
      </c>
      <c r="AC211" s="1" t="str">
        <f t="shared" si="90"/>
        <v>First Class</v>
      </c>
      <c r="AD211" s="1" t="str">
        <f t="shared" si="91"/>
        <v>OK</v>
      </c>
      <c r="AE211" s="1">
        <v>8</v>
      </c>
      <c r="AF211" s="1">
        <v>1706.4</v>
      </c>
      <c r="AG211" s="9"/>
      <c r="AH211" s="9">
        <f t="shared" si="92"/>
        <v>0</v>
      </c>
      <c r="AI211" s="1" t="str">
        <f t="shared" si="93"/>
        <v>Missing Discount</v>
      </c>
      <c r="AJ211" s="1">
        <v>12968.64</v>
      </c>
      <c r="AK211" s="1">
        <v>10119.61</v>
      </c>
      <c r="AL211" s="1">
        <v>2849.03</v>
      </c>
      <c r="AM211" s="13">
        <f t="shared" si="94"/>
        <v>13651.2</v>
      </c>
      <c r="AN211" s="9">
        <f t="shared" si="95"/>
        <v>3531.59</v>
      </c>
      <c r="AO211" s="9">
        <f t="shared" si="104"/>
        <v>0.2587017991092358</v>
      </c>
      <c r="AP211" s="1" t="s">
        <v>33</v>
      </c>
      <c r="AQ211" s="1" t="str">
        <f t="shared" si="96"/>
        <v>Paid</v>
      </c>
      <c r="AR211" s="1" t="str">
        <f t="shared" si="97"/>
        <v>OK</v>
      </c>
      <c r="AS211" s="1" t="s">
        <v>34</v>
      </c>
      <c r="AT211" s="4" t="str">
        <f t="shared" si="98"/>
        <v>Completed</v>
      </c>
      <c r="AU211" s="3" t="str">
        <f t="shared" si="99"/>
        <v>OK</v>
      </c>
      <c r="AV211" s="3" t="str">
        <f t="shared" si="105"/>
        <v>INVALID</v>
      </c>
      <c r="AW211" t="str">
        <f t="shared" si="106"/>
        <v>MISMATCH</v>
      </c>
      <c r="AX211" t="str">
        <f t="shared" si="107"/>
        <v>MISMATCH</v>
      </c>
    </row>
    <row r="212" spans="1:50" ht="15.6" hidden="1">
      <c r="A212" s="1" t="s">
        <v>1618</v>
      </c>
      <c r="B212" s="1">
        <f t="shared" si="81"/>
        <v>1</v>
      </c>
      <c r="C212" s="16">
        <v>45366</v>
      </c>
      <c r="D212" s="16">
        <v>45366</v>
      </c>
      <c r="E212" s="16" t="str">
        <f t="shared" si="100"/>
        <v>Mar</v>
      </c>
      <c r="F212" s="1">
        <f t="shared" si="101"/>
        <v>2024</v>
      </c>
      <c r="G212" t="s">
        <v>992</v>
      </c>
      <c r="H212" s="17">
        <v>45369</v>
      </c>
      <c r="I212" s="21">
        <f t="shared" si="102"/>
        <v>3</v>
      </c>
      <c r="J212" s="6" t="str">
        <f t="shared" si="103"/>
        <v>OK</v>
      </c>
      <c r="K212" s="1" t="s">
        <v>1620</v>
      </c>
      <c r="L212" s="1" t="s">
        <v>169</v>
      </c>
      <c r="M212" s="1" t="str">
        <f t="shared" si="82"/>
        <v>Rohan Mehta</v>
      </c>
      <c r="N212" s="1" t="s">
        <v>25</v>
      </c>
      <c r="O212" s="1" t="str">
        <f t="shared" si="83"/>
        <v>Consumer</v>
      </c>
      <c r="P212" s="1" t="s">
        <v>26</v>
      </c>
      <c r="Q212" s="1" t="str">
        <f t="shared" si="84"/>
        <v>North</v>
      </c>
      <c r="R212" s="1" t="str">
        <f t="shared" si="85"/>
        <v>OK</v>
      </c>
      <c r="S212" s="1" t="s">
        <v>454</v>
      </c>
      <c r="T212" s="1" t="str">
        <f t="shared" si="86"/>
        <v>Delhi</v>
      </c>
      <c r="U212" s="1" t="s">
        <v>455</v>
      </c>
      <c r="V212" s="1" t="str">
        <f t="shared" si="87"/>
        <v>New Delhi</v>
      </c>
      <c r="W212" s="1" t="s">
        <v>29</v>
      </c>
      <c r="X212" s="1" t="str">
        <f t="shared" si="88"/>
        <v>Office Supplies</v>
      </c>
      <c r="Y212" s="1" t="s">
        <v>53</v>
      </c>
      <c r="Z212" s="1" t="str">
        <f t="shared" si="89"/>
        <v>Art</v>
      </c>
      <c r="AA212" s="1" t="s">
        <v>1621</v>
      </c>
      <c r="AB212" s="1" t="s">
        <v>65</v>
      </c>
      <c r="AC212" s="1" t="str">
        <f t="shared" si="90"/>
        <v>Standard Class</v>
      </c>
      <c r="AD212" s="1" t="str">
        <f t="shared" si="91"/>
        <v>OK</v>
      </c>
      <c r="AE212" s="1">
        <v>6</v>
      </c>
      <c r="AF212" s="1">
        <v>3815.09</v>
      </c>
      <c r="AG212" s="9">
        <v>0.15</v>
      </c>
      <c r="AH212" s="9">
        <f t="shared" si="92"/>
        <v>0.15</v>
      </c>
      <c r="AI212" s="1" t="str">
        <f t="shared" si="93"/>
        <v>OK</v>
      </c>
      <c r="AJ212" s="1">
        <v>19456.96</v>
      </c>
      <c r="AK212" s="1">
        <v>14520.06</v>
      </c>
      <c r="AL212" s="1">
        <v>4936.8999999999996</v>
      </c>
      <c r="AM212" s="13">
        <f t="shared" si="94"/>
        <v>19456.958999999999</v>
      </c>
      <c r="AN212" s="9">
        <f t="shared" si="95"/>
        <v>4936.8989999999994</v>
      </c>
      <c r="AO212" s="9">
        <f t="shared" si="104"/>
        <v>0.25373435797443988</v>
      </c>
      <c r="AP212" s="1" t="s">
        <v>186</v>
      </c>
      <c r="AQ212" s="1" t="str">
        <f t="shared" si="96"/>
        <v>Failed</v>
      </c>
      <c r="AR212" s="1" t="str">
        <f t="shared" si="97"/>
        <v>EXCLUDE_FROM_SALES</v>
      </c>
      <c r="AS212" s="1" t="s">
        <v>76</v>
      </c>
      <c r="AT212" s="4" t="str">
        <f t="shared" si="98"/>
        <v>Cancelled</v>
      </c>
      <c r="AU212" s="3" t="str">
        <f t="shared" si="99"/>
        <v>EXCLUDE_FROM_SALES</v>
      </c>
      <c r="AV212" s="3" t="str">
        <f t="shared" si="105"/>
        <v>CLEAN</v>
      </c>
      <c r="AW212" t="str">
        <f t="shared" si="106"/>
        <v>MATCH</v>
      </c>
      <c r="AX212" t="str">
        <f t="shared" si="107"/>
        <v>MATCH</v>
      </c>
    </row>
    <row r="213" spans="1:50" ht="15.6">
      <c r="A213" s="1" t="s">
        <v>1628</v>
      </c>
      <c r="B213" s="1">
        <f t="shared" si="81"/>
        <v>1</v>
      </c>
      <c r="C213" s="16">
        <v>45519</v>
      </c>
      <c r="D213" s="16">
        <v>45519</v>
      </c>
      <c r="E213" s="16" t="str">
        <f t="shared" si="100"/>
        <v>Aug</v>
      </c>
      <c r="F213" s="1">
        <f t="shared" si="101"/>
        <v>2024</v>
      </c>
      <c r="G213" t="s">
        <v>996</v>
      </c>
      <c r="H213" s="17">
        <v>45429</v>
      </c>
      <c r="I213" s="21">
        <f t="shared" si="102"/>
        <v>-90</v>
      </c>
      <c r="J213" s="6" t="str">
        <f t="shared" si="103"/>
        <v>INVALID_SHIPPING</v>
      </c>
      <c r="K213" s="1" t="s">
        <v>1629</v>
      </c>
      <c r="L213" s="1" t="s">
        <v>70</v>
      </c>
      <c r="M213" s="1" t="str">
        <f t="shared" si="82"/>
        <v>Ananya Rao</v>
      </c>
      <c r="N213" s="1" t="s">
        <v>40</v>
      </c>
      <c r="O213" s="1" t="str">
        <f t="shared" si="83"/>
        <v>Small Business</v>
      </c>
      <c r="P213" s="1" t="s">
        <v>71</v>
      </c>
      <c r="Q213" s="1" t="str">
        <f t="shared" si="84"/>
        <v>West</v>
      </c>
      <c r="R213" s="1" t="str">
        <f t="shared" si="85"/>
        <v>OK</v>
      </c>
      <c r="S213" s="1" t="s">
        <v>27</v>
      </c>
      <c r="T213" s="1" t="str">
        <f t="shared" si="86"/>
        <v>Rajasthan</v>
      </c>
      <c r="U213" s="1" t="s">
        <v>129</v>
      </c>
      <c r="V213" s="1" t="str">
        <f t="shared" si="87"/>
        <v>Udaipur</v>
      </c>
      <c r="W213" s="1" t="s">
        <v>83</v>
      </c>
      <c r="X213" s="1" t="str">
        <f t="shared" si="88"/>
        <v>Technology</v>
      </c>
      <c r="Y213" s="1" t="s">
        <v>91</v>
      </c>
      <c r="Z213" s="1" t="str">
        <f t="shared" si="89"/>
        <v>Copiers</v>
      </c>
      <c r="AA213" s="1" t="s">
        <v>1630</v>
      </c>
      <c r="AB213" s="1" t="s">
        <v>55</v>
      </c>
      <c r="AC213" s="1" t="str">
        <f t="shared" si="90"/>
        <v>First Class</v>
      </c>
      <c r="AD213" s="1" t="str">
        <f t="shared" si="91"/>
        <v>OK</v>
      </c>
      <c r="AE213" s="1">
        <v>7</v>
      </c>
      <c r="AF213" s="1">
        <v>2333.81</v>
      </c>
      <c r="AG213" s="9">
        <v>0.2</v>
      </c>
      <c r="AH213" s="9">
        <f t="shared" si="92"/>
        <v>0.2</v>
      </c>
      <c r="AI213" s="1" t="str">
        <f t="shared" si="93"/>
        <v>OK</v>
      </c>
      <c r="AJ213" s="1">
        <v>13069.34</v>
      </c>
      <c r="AK213" s="1">
        <v>8768.59</v>
      </c>
      <c r="AL213" s="1">
        <v>4300.75</v>
      </c>
      <c r="AM213" s="13">
        <f t="shared" si="94"/>
        <v>13069.336000000001</v>
      </c>
      <c r="AN213" s="9">
        <f t="shared" si="95"/>
        <v>4300.746000000001</v>
      </c>
      <c r="AO213" s="9">
        <f t="shared" si="104"/>
        <v>0.32907149988339124</v>
      </c>
      <c r="AP213" s="1" t="s">
        <v>33</v>
      </c>
      <c r="AQ213" s="1" t="str">
        <f t="shared" si="96"/>
        <v>Paid</v>
      </c>
      <c r="AR213" s="1" t="str">
        <f t="shared" si="97"/>
        <v>OK</v>
      </c>
      <c r="AS213" s="1" t="s">
        <v>34</v>
      </c>
      <c r="AT213" s="4" t="str">
        <f t="shared" si="98"/>
        <v>Completed</v>
      </c>
      <c r="AU213" s="3" t="str">
        <f t="shared" si="99"/>
        <v>OK</v>
      </c>
      <c r="AV213" s="3" t="str">
        <f t="shared" si="105"/>
        <v>INVALID</v>
      </c>
      <c r="AW213" t="str">
        <f t="shared" si="106"/>
        <v>MATCH</v>
      </c>
      <c r="AX213" t="str">
        <f t="shared" si="107"/>
        <v>MATCH</v>
      </c>
    </row>
    <row r="214" spans="1:50" ht="15.6">
      <c r="A214" s="1" t="s">
        <v>1631</v>
      </c>
      <c r="B214" s="1">
        <f t="shared" si="81"/>
        <v>1</v>
      </c>
      <c r="C214" s="16">
        <v>45313</v>
      </c>
      <c r="D214" s="16">
        <v>45313</v>
      </c>
      <c r="E214" s="16" t="str">
        <f t="shared" si="100"/>
        <v>Jan</v>
      </c>
      <c r="F214" s="1">
        <f t="shared" si="101"/>
        <v>2024</v>
      </c>
      <c r="G214" t="s">
        <v>1002</v>
      </c>
      <c r="H214" s="17">
        <v>45556</v>
      </c>
      <c r="I214" s="21">
        <f t="shared" si="102"/>
        <v>243</v>
      </c>
      <c r="J214" s="6" t="str">
        <f t="shared" si="103"/>
        <v>OK</v>
      </c>
      <c r="K214" s="1" t="s">
        <v>1633</v>
      </c>
      <c r="L214" s="1" t="s">
        <v>196</v>
      </c>
      <c r="M214" s="1" t="str">
        <f t="shared" si="82"/>
        <v>Diya Patel</v>
      </c>
      <c r="N214" s="1" t="s">
        <v>110</v>
      </c>
      <c r="O214" s="1" t="str">
        <f t="shared" si="83"/>
        <v>Home Office</v>
      </c>
      <c r="P214" s="1" t="s">
        <v>71</v>
      </c>
      <c r="Q214" s="1" t="str">
        <f t="shared" si="84"/>
        <v>West</v>
      </c>
      <c r="R214" s="1" t="str">
        <f t="shared" si="85"/>
        <v>OK</v>
      </c>
      <c r="S214" s="1" t="s">
        <v>72</v>
      </c>
      <c r="T214" s="1" t="str">
        <f t="shared" si="86"/>
        <v>Maharashtra</v>
      </c>
      <c r="U214" s="1" t="s">
        <v>73</v>
      </c>
      <c r="V214" s="1" t="str">
        <f t="shared" si="87"/>
        <v>Mumbai</v>
      </c>
      <c r="W214" s="1" t="s">
        <v>29</v>
      </c>
      <c r="X214" s="1" t="str">
        <f t="shared" si="88"/>
        <v>Office Supplies</v>
      </c>
      <c r="Y214" s="1" t="s">
        <v>53</v>
      </c>
      <c r="Z214" s="1" t="str">
        <f t="shared" si="89"/>
        <v>Art</v>
      </c>
      <c r="AA214" s="1" t="s">
        <v>1634</v>
      </c>
      <c r="AB214" s="1" t="s">
        <v>65</v>
      </c>
      <c r="AC214" s="1" t="str">
        <f t="shared" si="90"/>
        <v>Standard Class</v>
      </c>
      <c r="AD214" s="1" t="str">
        <f t="shared" si="91"/>
        <v>OK</v>
      </c>
      <c r="AE214" s="1">
        <v>6</v>
      </c>
      <c r="AF214" s="1">
        <v>1026.06</v>
      </c>
      <c r="AG214" s="9"/>
      <c r="AH214" s="9">
        <f t="shared" si="92"/>
        <v>0</v>
      </c>
      <c r="AI214" s="1" t="str">
        <f t="shared" si="93"/>
        <v>Missing Discount</v>
      </c>
      <c r="AJ214" s="1">
        <v>4617.2700000000004</v>
      </c>
      <c r="AK214" s="1">
        <v>2981.94</v>
      </c>
      <c r="AL214" s="1">
        <v>1635.33</v>
      </c>
      <c r="AM214" s="13">
        <f t="shared" si="94"/>
        <v>6156.36</v>
      </c>
      <c r="AN214" s="9">
        <f t="shared" si="95"/>
        <v>3174.4199999999996</v>
      </c>
      <c r="AO214" s="9">
        <f t="shared" si="104"/>
        <v>0.51563261407714944</v>
      </c>
      <c r="AP214" s="1" t="s">
        <v>119</v>
      </c>
      <c r="AQ214" s="1" t="str">
        <f t="shared" si="96"/>
        <v>Refunded</v>
      </c>
      <c r="AR214" s="1" t="str">
        <f t="shared" si="97"/>
        <v>REFUNDED_PAYMENT</v>
      </c>
      <c r="AS214" s="1" t="s">
        <v>76</v>
      </c>
      <c r="AT214" s="4" t="str">
        <f t="shared" si="98"/>
        <v>Cancelled</v>
      </c>
      <c r="AU214" s="3" t="str">
        <f t="shared" si="99"/>
        <v>EXCLUDE_FROM_SALES</v>
      </c>
      <c r="AV214" s="3" t="str">
        <f t="shared" si="105"/>
        <v>INVALID</v>
      </c>
      <c r="AW214" t="str">
        <f t="shared" si="106"/>
        <v>MISMATCH</v>
      </c>
      <c r="AX214" t="str">
        <f t="shared" si="107"/>
        <v>MISMATCH</v>
      </c>
    </row>
    <row r="215" spans="1:50" ht="15.6">
      <c r="A215" s="1" t="s">
        <v>1646</v>
      </c>
      <c r="B215" s="1">
        <f t="shared" si="81"/>
        <v>1</v>
      </c>
      <c r="C215" s="16">
        <v>45657</v>
      </c>
      <c r="D215" s="16">
        <v>45657</v>
      </c>
      <c r="E215" s="16" t="str">
        <f t="shared" si="100"/>
        <v>Dec</v>
      </c>
      <c r="F215" s="1">
        <f t="shared" si="101"/>
        <v>2024</v>
      </c>
      <c r="G215" t="s">
        <v>1006</v>
      </c>
      <c r="H215" s="17">
        <v>45433</v>
      </c>
      <c r="I215" s="21">
        <f t="shared" si="102"/>
        <v>-224</v>
      </c>
      <c r="J215" s="6" t="str">
        <f t="shared" si="103"/>
        <v>INVALID_SHIPPING</v>
      </c>
      <c r="K215" s="1" t="s">
        <v>1649</v>
      </c>
      <c r="L215" s="1" t="s">
        <v>80</v>
      </c>
      <c r="M215" s="1" t="str">
        <f t="shared" si="82"/>
        <v>Vikram Iyer</v>
      </c>
      <c r="N215" s="1" t="s">
        <v>25</v>
      </c>
      <c r="O215" s="1" t="str">
        <f t="shared" si="83"/>
        <v>Consumer</v>
      </c>
      <c r="P215" s="1" t="s">
        <v>26</v>
      </c>
      <c r="Q215" s="1" t="str">
        <f t="shared" si="84"/>
        <v>North</v>
      </c>
      <c r="R215" s="1" t="str">
        <f t="shared" si="85"/>
        <v>OK</v>
      </c>
      <c r="S215" s="1" t="s">
        <v>454</v>
      </c>
      <c r="T215" s="1" t="str">
        <f t="shared" si="86"/>
        <v>Delhi</v>
      </c>
      <c r="U215" s="1" t="s">
        <v>455</v>
      </c>
      <c r="V215" s="1" t="str">
        <f t="shared" si="87"/>
        <v>New Delhi</v>
      </c>
      <c r="W215" s="1" t="s">
        <v>44</v>
      </c>
      <c r="X215" s="1" t="str">
        <f t="shared" si="88"/>
        <v>Furniture</v>
      </c>
      <c r="Y215" s="1" t="s">
        <v>74</v>
      </c>
      <c r="Z215" s="1" t="str">
        <f t="shared" si="89"/>
        <v>Chairs</v>
      </c>
      <c r="AA215" s="1" t="s">
        <v>1650</v>
      </c>
      <c r="AB215" s="1" t="s">
        <v>47</v>
      </c>
      <c r="AC215" s="1" t="str">
        <f t="shared" si="90"/>
        <v>Same Day</v>
      </c>
      <c r="AD215" s="1" t="str">
        <f t="shared" si="91"/>
        <v>OK</v>
      </c>
      <c r="AE215" s="1">
        <v>3</v>
      </c>
      <c r="AF215" s="1">
        <v>1166.6099999999999</v>
      </c>
      <c r="AG215" s="9">
        <v>0.25</v>
      </c>
      <c r="AH215" s="9">
        <f t="shared" si="92"/>
        <v>0.25</v>
      </c>
      <c r="AI215" s="1" t="str">
        <f t="shared" si="93"/>
        <v>OK</v>
      </c>
      <c r="AJ215" s="1">
        <v>2624.87</v>
      </c>
      <c r="AK215" s="1">
        <v>2253.88</v>
      </c>
      <c r="AL215" s="1">
        <v>370.99</v>
      </c>
      <c r="AM215" s="13">
        <f t="shared" si="94"/>
        <v>2624.8724999999999</v>
      </c>
      <c r="AN215" s="9">
        <f t="shared" si="95"/>
        <v>370.99249999999984</v>
      </c>
      <c r="AO215" s="9">
        <f t="shared" si="104"/>
        <v>0.14133734114704613</v>
      </c>
      <c r="AP215" s="1" t="s">
        <v>33</v>
      </c>
      <c r="AQ215" s="1" t="str">
        <f t="shared" si="96"/>
        <v>Paid</v>
      </c>
      <c r="AR215" s="1" t="str">
        <f t="shared" si="97"/>
        <v>OK</v>
      </c>
      <c r="AS215" s="1" t="s">
        <v>34</v>
      </c>
      <c r="AT215" s="4" t="str">
        <f t="shared" si="98"/>
        <v>Completed</v>
      </c>
      <c r="AU215" s="3" t="str">
        <f t="shared" si="99"/>
        <v>OK</v>
      </c>
      <c r="AV215" s="3" t="str">
        <f t="shared" si="105"/>
        <v>INVALID</v>
      </c>
      <c r="AW215" t="str">
        <f t="shared" si="106"/>
        <v>MATCH</v>
      </c>
      <c r="AX215" t="str">
        <f t="shared" si="107"/>
        <v>MATCH</v>
      </c>
    </row>
    <row r="216" spans="1:50" ht="15.6">
      <c r="A216" s="1" t="s">
        <v>1651</v>
      </c>
      <c r="B216" s="1">
        <f t="shared" si="81"/>
        <v>1</v>
      </c>
      <c r="C216" s="16">
        <v>45655</v>
      </c>
      <c r="D216" s="16">
        <v>45655</v>
      </c>
      <c r="E216" s="16" t="str">
        <f t="shared" si="100"/>
        <v>Dec</v>
      </c>
      <c r="F216" s="1">
        <f t="shared" si="101"/>
        <v>2024</v>
      </c>
      <c r="G216" t="s">
        <v>1010</v>
      </c>
      <c r="H216" s="17">
        <v>45374</v>
      </c>
      <c r="I216" s="21">
        <f t="shared" si="102"/>
        <v>-281</v>
      </c>
      <c r="J216" s="6" t="str">
        <f t="shared" si="103"/>
        <v>INVALID_SHIPPING</v>
      </c>
      <c r="K216" s="1" t="s">
        <v>1652</v>
      </c>
      <c r="L216" s="1" t="s">
        <v>52</v>
      </c>
      <c r="M216" s="1" t="str">
        <f t="shared" si="82"/>
        <v>Isha Nair</v>
      </c>
      <c r="N216" s="1" t="s">
        <v>40</v>
      </c>
      <c r="O216" s="1" t="str">
        <f t="shared" si="83"/>
        <v>Small Business</v>
      </c>
      <c r="P216" s="1" t="s">
        <v>41</v>
      </c>
      <c r="Q216" s="1" t="str">
        <f t="shared" si="84"/>
        <v>East</v>
      </c>
      <c r="R216" s="1" t="str">
        <f t="shared" si="85"/>
        <v>OK</v>
      </c>
      <c r="S216" s="1" t="s">
        <v>174</v>
      </c>
      <c r="T216" s="1" t="str">
        <f t="shared" si="86"/>
        <v>Bihar</v>
      </c>
      <c r="U216" s="1" t="s">
        <v>175</v>
      </c>
      <c r="V216" s="1" t="str">
        <f t="shared" si="87"/>
        <v>Patna</v>
      </c>
      <c r="W216" s="1" t="s">
        <v>44</v>
      </c>
      <c r="X216" s="1" t="str">
        <f t="shared" si="88"/>
        <v>Furniture</v>
      </c>
      <c r="Y216" s="1" t="s">
        <v>74</v>
      </c>
      <c r="Z216" s="1" t="str">
        <f t="shared" si="89"/>
        <v>Chairs</v>
      </c>
      <c r="AA216" s="1" t="s">
        <v>1653</v>
      </c>
      <c r="AB216" s="1" t="s">
        <v>55</v>
      </c>
      <c r="AC216" s="1" t="str">
        <f t="shared" si="90"/>
        <v>First Class</v>
      </c>
      <c r="AD216" s="1" t="str">
        <f t="shared" si="91"/>
        <v>OK</v>
      </c>
      <c r="AE216" s="1">
        <v>6</v>
      </c>
      <c r="AF216" s="1">
        <v>1844.78</v>
      </c>
      <c r="AG216" s="9">
        <v>0.2</v>
      </c>
      <c r="AH216" s="9">
        <f t="shared" si="92"/>
        <v>0.2</v>
      </c>
      <c r="AI216" s="1" t="str">
        <f t="shared" si="93"/>
        <v>OK</v>
      </c>
      <c r="AJ216" s="1">
        <v>8854.94</v>
      </c>
      <c r="AK216" s="1">
        <v>7433.95</v>
      </c>
      <c r="AL216" s="1">
        <v>1420.99</v>
      </c>
      <c r="AM216" s="13">
        <f t="shared" si="94"/>
        <v>8854.9440000000013</v>
      </c>
      <c r="AN216" s="9">
        <f t="shared" si="95"/>
        <v>1420.9940000000015</v>
      </c>
      <c r="AO216" s="9">
        <f t="shared" si="104"/>
        <v>0.1604746455765278</v>
      </c>
      <c r="AP216" s="1" t="s">
        <v>33</v>
      </c>
      <c r="AQ216" s="1" t="str">
        <f t="shared" si="96"/>
        <v>Paid</v>
      </c>
      <c r="AR216" s="1" t="str">
        <f t="shared" si="97"/>
        <v>OK</v>
      </c>
      <c r="AS216" s="1" t="s">
        <v>34</v>
      </c>
      <c r="AT216" s="4" t="str">
        <f t="shared" si="98"/>
        <v>Completed</v>
      </c>
      <c r="AU216" s="3" t="str">
        <f t="shared" si="99"/>
        <v>OK</v>
      </c>
      <c r="AV216" s="3" t="str">
        <f t="shared" si="105"/>
        <v>INVALID</v>
      </c>
      <c r="AW216" t="str">
        <f t="shared" si="106"/>
        <v>MATCH</v>
      </c>
      <c r="AX216" t="str">
        <f t="shared" si="107"/>
        <v>MATCH</v>
      </c>
    </row>
    <row r="217" spans="1:50" ht="15.6">
      <c r="A217" s="1" t="s">
        <v>1663</v>
      </c>
      <c r="B217" s="1">
        <f t="shared" si="81"/>
        <v>1</v>
      </c>
      <c r="C217" s="16">
        <v>45554</v>
      </c>
      <c r="D217" s="16">
        <v>45554</v>
      </c>
      <c r="E217" s="16" t="str">
        <f t="shared" si="100"/>
        <v>Sep</v>
      </c>
      <c r="F217" s="1">
        <f t="shared" si="101"/>
        <v>2024</v>
      </c>
      <c r="G217" t="s">
        <v>193</v>
      </c>
      <c r="H217" s="17">
        <v>45355</v>
      </c>
      <c r="I217" s="21">
        <f t="shared" si="102"/>
        <v>-199</v>
      </c>
      <c r="J217" s="6" t="str">
        <f t="shared" si="103"/>
        <v>INVALID_SHIPPING</v>
      </c>
      <c r="K217" s="1" t="s">
        <v>1666</v>
      </c>
      <c r="L217" s="1" t="s">
        <v>39</v>
      </c>
      <c r="M217" s="1" t="str">
        <f t="shared" si="82"/>
        <v>Mira Das</v>
      </c>
      <c r="N217" s="1" t="s">
        <v>40</v>
      </c>
      <c r="O217" s="1" t="str">
        <f t="shared" si="83"/>
        <v>Small Business</v>
      </c>
      <c r="P217" s="1" t="s">
        <v>60</v>
      </c>
      <c r="Q217" s="1" t="str">
        <f t="shared" si="84"/>
        <v>South</v>
      </c>
      <c r="R217" s="1" t="str">
        <f t="shared" si="85"/>
        <v>OK</v>
      </c>
      <c r="S217" s="1" t="s">
        <v>224</v>
      </c>
      <c r="T217" s="1" t="str">
        <f t="shared" si="86"/>
        <v>Kerala</v>
      </c>
      <c r="U217" s="1" t="s">
        <v>225</v>
      </c>
      <c r="V217" s="1" t="str">
        <f t="shared" si="87"/>
        <v>Kochi</v>
      </c>
      <c r="W217" s="1" t="s">
        <v>29</v>
      </c>
      <c r="X217" s="1" t="str">
        <f t="shared" si="88"/>
        <v>Office Supplies</v>
      </c>
      <c r="Y217" s="1" t="s">
        <v>30</v>
      </c>
      <c r="Z217" s="1" t="str">
        <f t="shared" si="89"/>
        <v>Paper</v>
      </c>
      <c r="AA217" s="1" t="s">
        <v>1667</v>
      </c>
      <c r="AB217" s="1" t="s">
        <v>65</v>
      </c>
      <c r="AC217" s="1" t="str">
        <f t="shared" si="90"/>
        <v>Standard Class</v>
      </c>
      <c r="AD217" s="1" t="str">
        <f t="shared" si="91"/>
        <v>OK</v>
      </c>
      <c r="AE217" s="1">
        <v>7</v>
      </c>
      <c r="AF217" s="1">
        <v>1136.68</v>
      </c>
      <c r="AG217" s="9"/>
      <c r="AH217" s="9">
        <f t="shared" si="92"/>
        <v>0</v>
      </c>
      <c r="AI217" s="1" t="str">
        <f t="shared" si="93"/>
        <v>Missing Discount</v>
      </c>
      <c r="AJ217" s="1">
        <v>7956.76</v>
      </c>
      <c r="AK217" s="1">
        <v>4799.54</v>
      </c>
      <c r="AL217" s="1">
        <v>3157.22</v>
      </c>
      <c r="AM217" s="13">
        <f t="shared" si="94"/>
        <v>7956.76</v>
      </c>
      <c r="AN217" s="9">
        <f t="shared" si="95"/>
        <v>3157.2200000000003</v>
      </c>
      <c r="AO217" s="9">
        <f t="shared" si="104"/>
        <v>0.39679718880549369</v>
      </c>
      <c r="AP217" s="1" t="s">
        <v>33</v>
      </c>
      <c r="AQ217" s="1" t="str">
        <f t="shared" si="96"/>
        <v>Paid</v>
      </c>
      <c r="AR217" s="1" t="str">
        <f t="shared" si="97"/>
        <v>OK</v>
      </c>
      <c r="AS217" s="1" t="s">
        <v>34</v>
      </c>
      <c r="AT217" s="4" t="str">
        <f t="shared" si="98"/>
        <v>Completed</v>
      </c>
      <c r="AU217" s="3" t="str">
        <f t="shared" si="99"/>
        <v>OK</v>
      </c>
      <c r="AV217" s="3" t="str">
        <f t="shared" si="105"/>
        <v>INVALID</v>
      </c>
      <c r="AW217" t="str">
        <f t="shared" si="106"/>
        <v>MATCH</v>
      </c>
      <c r="AX217" t="str">
        <f t="shared" si="107"/>
        <v>MATCH</v>
      </c>
    </row>
    <row r="218" spans="1:50" ht="15.6" hidden="1">
      <c r="A218" s="1" t="s">
        <v>1668</v>
      </c>
      <c r="B218" s="1">
        <f t="shared" si="81"/>
        <v>1</v>
      </c>
      <c r="C218" s="16">
        <v>45477</v>
      </c>
      <c r="D218" s="16">
        <v>45477</v>
      </c>
      <c r="E218" s="16" t="str">
        <f t="shared" si="100"/>
        <v>Jul</v>
      </c>
      <c r="F218" s="1">
        <f t="shared" si="101"/>
        <v>2024</v>
      </c>
      <c r="G218" t="s">
        <v>1017</v>
      </c>
      <c r="H218" s="17">
        <v>45762</v>
      </c>
      <c r="I218" s="21">
        <f t="shared" si="102"/>
        <v>285</v>
      </c>
      <c r="J218" s="6" t="str">
        <f t="shared" si="103"/>
        <v>OK</v>
      </c>
      <c r="K218" s="1" t="s">
        <v>1670</v>
      </c>
      <c r="L218" s="1" t="s">
        <v>80</v>
      </c>
      <c r="M218" s="1" t="str">
        <f t="shared" si="82"/>
        <v>Vikram Iyer</v>
      </c>
      <c r="N218" s="1" t="s">
        <v>25</v>
      </c>
      <c r="O218" s="1" t="str">
        <f t="shared" si="83"/>
        <v>Consumer</v>
      </c>
      <c r="P218" s="1" t="s">
        <v>71</v>
      </c>
      <c r="Q218" s="1" t="str">
        <f t="shared" si="84"/>
        <v>West</v>
      </c>
      <c r="R218" s="1" t="str">
        <f t="shared" si="85"/>
        <v>OK</v>
      </c>
      <c r="S218" s="1" t="s">
        <v>72</v>
      </c>
      <c r="T218" s="1" t="str">
        <f t="shared" si="86"/>
        <v>Maharashtra</v>
      </c>
      <c r="U218" s="1" t="s">
        <v>73</v>
      </c>
      <c r="V218" s="1" t="str">
        <f t="shared" si="87"/>
        <v>Mumbai</v>
      </c>
      <c r="W218" s="1" t="s">
        <v>44</v>
      </c>
      <c r="X218" s="1" t="str">
        <f t="shared" si="88"/>
        <v>Furniture</v>
      </c>
      <c r="Y218" s="1" t="s">
        <v>190</v>
      </c>
      <c r="Z218" s="1" t="str">
        <f t="shared" si="89"/>
        <v>Bookcases</v>
      </c>
      <c r="AA218" s="1" t="s">
        <v>1671</v>
      </c>
      <c r="AB218" s="1" t="s">
        <v>47</v>
      </c>
      <c r="AC218" s="1" t="str">
        <f t="shared" si="90"/>
        <v>Same Day</v>
      </c>
      <c r="AD218" s="1" t="str">
        <f t="shared" si="91"/>
        <v>OK</v>
      </c>
      <c r="AE218" s="1">
        <v>5</v>
      </c>
      <c r="AF218" s="1">
        <v>2235.85</v>
      </c>
      <c r="AG218" s="9">
        <v>0.25</v>
      </c>
      <c r="AH218" s="9">
        <f t="shared" si="92"/>
        <v>0.25</v>
      </c>
      <c r="AI218" s="1" t="str">
        <f t="shared" si="93"/>
        <v>OK</v>
      </c>
      <c r="AJ218" s="1">
        <v>8384.44</v>
      </c>
      <c r="AK218" s="1">
        <v>4765.96</v>
      </c>
      <c r="AL218" s="1">
        <v>3618.48</v>
      </c>
      <c r="AM218" s="13">
        <f t="shared" si="94"/>
        <v>8384.4375</v>
      </c>
      <c r="AN218" s="9">
        <f t="shared" si="95"/>
        <v>3618.4775</v>
      </c>
      <c r="AO218" s="9">
        <f t="shared" si="104"/>
        <v>0.43157069272685256</v>
      </c>
      <c r="AP218" s="1" t="s">
        <v>33</v>
      </c>
      <c r="AQ218" s="1" t="str">
        <f t="shared" si="96"/>
        <v>Paid</v>
      </c>
      <c r="AR218" s="1" t="str">
        <f t="shared" si="97"/>
        <v>OK</v>
      </c>
      <c r="AS218" s="1" t="s">
        <v>120</v>
      </c>
      <c r="AT218" s="4" t="str">
        <f t="shared" si="98"/>
        <v>Returned</v>
      </c>
      <c r="AU218" s="3" t="str">
        <f t="shared" si="99"/>
        <v>RETURNED_ORDER</v>
      </c>
      <c r="AV218" s="3" t="str">
        <f t="shared" si="105"/>
        <v>CLEAN</v>
      </c>
      <c r="AW218" t="str">
        <f t="shared" si="106"/>
        <v>MATCH</v>
      </c>
      <c r="AX218" t="str">
        <f t="shared" si="107"/>
        <v>MATCH</v>
      </c>
    </row>
    <row r="219" spans="1:50" ht="15.6" hidden="1">
      <c r="A219" s="1" t="s">
        <v>1683</v>
      </c>
      <c r="B219" s="1">
        <f t="shared" si="81"/>
        <v>1</v>
      </c>
      <c r="C219" s="16">
        <v>45366</v>
      </c>
      <c r="D219" s="16">
        <v>45366</v>
      </c>
      <c r="E219" s="16" t="str">
        <f t="shared" si="100"/>
        <v>Mar</v>
      </c>
      <c r="F219" s="1">
        <f t="shared" si="101"/>
        <v>2024</v>
      </c>
      <c r="G219" t="s">
        <v>1021</v>
      </c>
      <c r="H219" s="17">
        <v>45755</v>
      </c>
      <c r="I219" s="21">
        <f t="shared" si="102"/>
        <v>389</v>
      </c>
      <c r="J219" s="6" t="str">
        <f t="shared" si="103"/>
        <v>OK</v>
      </c>
      <c r="K219" s="1" t="s">
        <v>1685</v>
      </c>
      <c r="L219" s="1" t="s">
        <v>169</v>
      </c>
      <c r="M219" s="1" t="str">
        <f t="shared" si="82"/>
        <v>Rohan Mehta</v>
      </c>
      <c r="N219" s="1" t="s">
        <v>25</v>
      </c>
      <c r="O219" s="1" t="str">
        <f t="shared" si="83"/>
        <v>Consumer</v>
      </c>
      <c r="P219" s="1" t="s">
        <v>41</v>
      </c>
      <c r="Q219" s="1" t="str">
        <f t="shared" si="84"/>
        <v>East</v>
      </c>
      <c r="R219" s="1" t="str">
        <f t="shared" si="85"/>
        <v>OK</v>
      </c>
      <c r="S219" s="1" t="s">
        <v>284</v>
      </c>
      <c r="T219" s="1" t="str">
        <f t="shared" si="86"/>
        <v>Jharkhand</v>
      </c>
      <c r="U219" s="1" t="s">
        <v>285</v>
      </c>
      <c r="V219" s="1" t="str">
        <f t="shared" si="87"/>
        <v>Ranchi</v>
      </c>
      <c r="W219" s="1" t="s">
        <v>83</v>
      </c>
      <c r="X219" s="1" t="str">
        <f t="shared" si="88"/>
        <v>Technology</v>
      </c>
      <c r="Y219" s="1" t="s">
        <v>91</v>
      </c>
      <c r="Z219" s="1" t="str">
        <f t="shared" si="89"/>
        <v>Copiers</v>
      </c>
      <c r="AA219" s="1" t="s">
        <v>1686</v>
      </c>
      <c r="AB219" s="1" t="s">
        <v>65</v>
      </c>
      <c r="AC219" s="1" t="str">
        <f t="shared" si="90"/>
        <v>Standard Class</v>
      </c>
      <c r="AD219" s="1" t="str">
        <f t="shared" si="91"/>
        <v>OK</v>
      </c>
      <c r="AE219" s="1">
        <v>2</v>
      </c>
      <c r="AF219" s="1">
        <v>1881.4</v>
      </c>
      <c r="AG219" s="9">
        <v>0.25</v>
      </c>
      <c r="AH219" s="9">
        <f t="shared" si="92"/>
        <v>0.25</v>
      </c>
      <c r="AI219" s="1" t="str">
        <f t="shared" si="93"/>
        <v>OK</v>
      </c>
      <c r="AJ219" s="1">
        <v>2822.1</v>
      </c>
      <c r="AK219" s="1">
        <v>1624.57</v>
      </c>
      <c r="AL219" s="1">
        <v>1197.53</v>
      </c>
      <c r="AM219" s="13">
        <f t="shared" si="94"/>
        <v>2822.1000000000004</v>
      </c>
      <c r="AN219" s="9">
        <f t="shared" si="95"/>
        <v>1197.5300000000004</v>
      </c>
      <c r="AO219" s="9">
        <f t="shared" si="104"/>
        <v>0.42434003047376079</v>
      </c>
      <c r="AP219" s="1" t="s">
        <v>33</v>
      </c>
      <c r="AQ219" s="1" t="str">
        <f t="shared" si="96"/>
        <v>Paid</v>
      </c>
      <c r="AR219" s="1" t="str">
        <f t="shared" si="97"/>
        <v>OK</v>
      </c>
      <c r="AS219" s="1" t="s">
        <v>120</v>
      </c>
      <c r="AT219" s="4" t="str">
        <f t="shared" si="98"/>
        <v>Returned</v>
      </c>
      <c r="AU219" s="3" t="str">
        <f t="shared" si="99"/>
        <v>RETURNED_ORDER</v>
      </c>
      <c r="AV219" s="3" t="str">
        <f t="shared" si="105"/>
        <v>CLEAN</v>
      </c>
      <c r="AW219" t="str">
        <f t="shared" si="106"/>
        <v>MATCH</v>
      </c>
      <c r="AX219" t="str">
        <f t="shared" si="107"/>
        <v>MATCH</v>
      </c>
    </row>
    <row r="220" spans="1:50" ht="15.6" hidden="1">
      <c r="A220" s="1" t="s">
        <v>1698</v>
      </c>
      <c r="B220" s="1">
        <f t="shared" si="81"/>
        <v>1</v>
      </c>
      <c r="C220" s="16">
        <v>45425</v>
      </c>
      <c r="D220" s="16">
        <v>45425</v>
      </c>
      <c r="E220" s="16" t="str">
        <f t="shared" si="100"/>
        <v>May</v>
      </c>
      <c r="F220" s="1">
        <f t="shared" si="101"/>
        <v>2024</v>
      </c>
      <c r="G220" t="s">
        <v>1025</v>
      </c>
      <c r="H220" s="17">
        <v>45715</v>
      </c>
      <c r="I220" s="21">
        <f t="shared" si="102"/>
        <v>290</v>
      </c>
      <c r="J220" s="6" t="str">
        <f t="shared" si="103"/>
        <v>OK</v>
      </c>
      <c r="K220" s="1" t="s">
        <v>1700</v>
      </c>
      <c r="L220" s="1" t="s">
        <v>52</v>
      </c>
      <c r="M220" s="1" t="str">
        <f t="shared" si="82"/>
        <v>Isha Nair</v>
      </c>
      <c r="N220" s="1" t="s">
        <v>40</v>
      </c>
      <c r="O220" s="1" t="str">
        <f t="shared" si="83"/>
        <v>Small Business</v>
      </c>
      <c r="P220" s="1" t="s">
        <v>71</v>
      </c>
      <c r="Q220" s="1" t="str">
        <f t="shared" si="84"/>
        <v>West</v>
      </c>
      <c r="R220" s="1" t="str">
        <f t="shared" si="85"/>
        <v>OK</v>
      </c>
      <c r="S220" s="1" t="s">
        <v>218</v>
      </c>
      <c r="T220" s="1" t="str">
        <f t="shared" si="86"/>
        <v>Gujarat</v>
      </c>
      <c r="U220" s="1" t="s">
        <v>219</v>
      </c>
      <c r="V220" s="1" t="str">
        <f t="shared" si="87"/>
        <v>Ahmedabad</v>
      </c>
      <c r="W220" s="1" t="s">
        <v>44</v>
      </c>
      <c r="X220" s="1" t="str">
        <f t="shared" si="88"/>
        <v>Furniture</v>
      </c>
      <c r="Y220" s="1" t="s">
        <v>74</v>
      </c>
      <c r="Z220" s="1" t="str">
        <f t="shared" si="89"/>
        <v>Chairs</v>
      </c>
      <c r="AA220" s="1" t="s">
        <v>1701</v>
      </c>
      <c r="AB220" s="1" t="s">
        <v>65</v>
      </c>
      <c r="AC220" s="1" t="str">
        <f t="shared" si="90"/>
        <v>Standard Class</v>
      </c>
      <c r="AD220" s="1" t="str">
        <f t="shared" si="91"/>
        <v>OK</v>
      </c>
      <c r="AE220" s="1">
        <v>3</v>
      </c>
      <c r="AF220" s="1">
        <v>3128.59</v>
      </c>
      <c r="AG220" s="9">
        <v>0</v>
      </c>
      <c r="AH220" s="9">
        <f t="shared" si="92"/>
        <v>0</v>
      </c>
      <c r="AI220" s="1" t="str">
        <f t="shared" si="93"/>
        <v>OK</v>
      </c>
      <c r="AJ220" s="1">
        <v>9385.77</v>
      </c>
      <c r="AK220" s="1">
        <v>6872.44</v>
      </c>
      <c r="AL220" s="1">
        <v>2783.66</v>
      </c>
      <c r="AM220" s="13">
        <f t="shared" si="94"/>
        <v>9385.77</v>
      </c>
      <c r="AN220" s="9">
        <f t="shared" si="95"/>
        <v>2513.3300000000008</v>
      </c>
      <c r="AO220" s="9">
        <f t="shared" si="104"/>
        <v>0.26778090662779941</v>
      </c>
      <c r="AP220" s="1" t="s">
        <v>33</v>
      </c>
      <c r="AQ220" s="1" t="str">
        <f t="shared" si="96"/>
        <v>Paid</v>
      </c>
      <c r="AR220" s="1" t="str">
        <f t="shared" si="97"/>
        <v>OK</v>
      </c>
      <c r="AS220" s="1" t="s">
        <v>34</v>
      </c>
      <c r="AT220" s="4" t="str">
        <f t="shared" si="98"/>
        <v>Completed</v>
      </c>
      <c r="AU220" s="3" t="str">
        <f t="shared" si="99"/>
        <v>OK</v>
      </c>
      <c r="AV220" s="3" t="str">
        <f t="shared" si="105"/>
        <v>CLEAN</v>
      </c>
      <c r="AW220" t="str">
        <f t="shared" si="106"/>
        <v>MATCH</v>
      </c>
      <c r="AX220" t="str">
        <f t="shared" si="107"/>
        <v>MISMATCH</v>
      </c>
    </row>
    <row r="221" spans="1:50" ht="15.6" hidden="1">
      <c r="A221" s="1" t="s">
        <v>1702</v>
      </c>
      <c r="B221" s="1">
        <f t="shared" si="81"/>
        <v>1</v>
      </c>
      <c r="C221" s="16">
        <v>45416</v>
      </c>
      <c r="D221" s="16">
        <v>45416</v>
      </c>
      <c r="E221" s="16" t="str">
        <f t="shared" si="100"/>
        <v>May</v>
      </c>
      <c r="F221" s="1">
        <f t="shared" si="101"/>
        <v>2024</v>
      </c>
      <c r="G221" t="s">
        <v>1029</v>
      </c>
      <c r="H221" s="17">
        <v>45462</v>
      </c>
      <c r="I221" s="21">
        <f t="shared" si="102"/>
        <v>46</v>
      </c>
      <c r="J221" s="6" t="str">
        <f t="shared" si="103"/>
        <v>OK</v>
      </c>
      <c r="K221" s="1" t="s">
        <v>1703</v>
      </c>
      <c r="L221" s="1" t="s">
        <v>196</v>
      </c>
      <c r="M221" s="1" t="str">
        <f t="shared" si="82"/>
        <v>Diya Patel</v>
      </c>
      <c r="N221" s="1" t="s">
        <v>104</v>
      </c>
      <c r="O221" s="1" t="str">
        <f t="shared" si="83"/>
        <v>Corporate</v>
      </c>
      <c r="P221" s="1" t="s">
        <v>71</v>
      </c>
      <c r="Q221" s="1" t="str">
        <f t="shared" si="84"/>
        <v>West</v>
      </c>
      <c r="R221" s="1" t="str">
        <f t="shared" si="85"/>
        <v>OK</v>
      </c>
      <c r="S221" s="1" t="s">
        <v>218</v>
      </c>
      <c r="T221" s="1" t="str">
        <f t="shared" si="86"/>
        <v>Gujarat</v>
      </c>
      <c r="U221" s="1" t="s">
        <v>219</v>
      </c>
      <c r="V221" s="1" t="str">
        <f t="shared" si="87"/>
        <v>Ahmedabad</v>
      </c>
      <c r="W221" s="1" t="s">
        <v>83</v>
      </c>
      <c r="X221" s="1" t="str">
        <f t="shared" si="88"/>
        <v>Technology</v>
      </c>
      <c r="Y221" s="1" t="s">
        <v>347</v>
      </c>
      <c r="Z221" s="1" t="str">
        <f t="shared" si="89"/>
        <v>Machines</v>
      </c>
      <c r="AA221" s="1" t="s">
        <v>1704</v>
      </c>
      <c r="AB221" s="1" t="s">
        <v>32</v>
      </c>
      <c r="AC221" s="1" t="str">
        <f t="shared" si="90"/>
        <v>Second Class</v>
      </c>
      <c r="AD221" s="1" t="str">
        <f t="shared" si="91"/>
        <v>OK</v>
      </c>
      <c r="AE221" s="1">
        <v>5</v>
      </c>
      <c r="AF221" s="1">
        <v>1937.54</v>
      </c>
      <c r="AG221" s="9">
        <v>0.2</v>
      </c>
      <c r="AH221" s="9">
        <f t="shared" si="92"/>
        <v>0.2</v>
      </c>
      <c r="AI221" s="1" t="str">
        <f t="shared" si="93"/>
        <v>OK</v>
      </c>
      <c r="AJ221" s="1">
        <v>7750.16</v>
      </c>
      <c r="AK221" s="1">
        <v>5434.3</v>
      </c>
      <c r="AL221" s="1">
        <v>2315.86</v>
      </c>
      <c r="AM221" s="13">
        <f t="shared" si="94"/>
        <v>7750.1600000000008</v>
      </c>
      <c r="AN221" s="9">
        <f t="shared" si="95"/>
        <v>2315.8600000000006</v>
      </c>
      <c r="AO221" s="9">
        <f t="shared" si="104"/>
        <v>0.29881447608823564</v>
      </c>
      <c r="AP221" s="1" t="s">
        <v>131</v>
      </c>
      <c r="AQ221" s="1" t="str">
        <f t="shared" si="96"/>
        <v>Pending</v>
      </c>
      <c r="AR221" s="1" t="str">
        <f t="shared" si="97"/>
        <v>OK</v>
      </c>
      <c r="AS221" s="1" t="s">
        <v>76</v>
      </c>
      <c r="AT221" s="4" t="str">
        <f t="shared" si="98"/>
        <v>Cancelled</v>
      </c>
      <c r="AU221" s="3" t="str">
        <f t="shared" si="99"/>
        <v>EXCLUDE_FROM_SALES</v>
      </c>
      <c r="AV221" s="3" t="str">
        <f t="shared" si="105"/>
        <v>CLEAN</v>
      </c>
      <c r="AW221" t="str">
        <f t="shared" si="106"/>
        <v>MATCH</v>
      </c>
      <c r="AX221" t="str">
        <f t="shared" si="107"/>
        <v>MATCH</v>
      </c>
    </row>
    <row r="222" spans="1:50" ht="15.6" hidden="1">
      <c r="A222" s="1" t="s">
        <v>1705</v>
      </c>
      <c r="B222" s="1">
        <f t="shared" si="81"/>
        <v>1</v>
      </c>
      <c r="C222" s="16">
        <v>45454</v>
      </c>
      <c r="D222" s="16">
        <v>45454</v>
      </c>
      <c r="E222" s="16" t="str">
        <f t="shared" si="100"/>
        <v>Jun</v>
      </c>
      <c r="F222" s="1">
        <f t="shared" si="101"/>
        <v>2024</v>
      </c>
      <c r="G222" t="s">
        <v>1034</v>
      </c>
      <c r="H222" s="17">
        <v>45538</v>
      </c>
      <c r="I222" s="21">
        <f t="shared" si="102"/>
        <v>84</v>
      </c>
      <c r="J222" s="6" t="str">
        <f t="shared" si="103"/>
        <v>OK</v>
      </c>
      <c r="K222" s="1" t="s">
        <v>1706</v>
      </c>
      <c r="L222" s="1" t="s">
        <v>52</v>
      </c>
      <c r="M222" s="1" t="str">
        <f t="shared" si="82"/>
        <v>Isha Nair</v>
      </c>
      <c r="N222" s="1" t="s">
        <v>25</v>
      </c>
      <c r="O222" s="1" t="str">
        <f t="shared" si="83"/>
        <v>Consumer</v>
      </c>
      <c r="P222" s="1" t="s">
        <v>71</v>
      </c>
      <c r="Q222" s="1" t="str">
        <f t="shared" si="84"/>
        <v>West</v>
      </c>
      <c r="R222" s="1" t="str">
        <f t="shared" si="85"/>
        <v>OK</v>
      </c>
      <c r="S222" s="1" t="s">
        <v>218</v>
      </c>
      <c r="T222" s="1" t="str">
        <f t="shared" si="86"/>
        <v>Gujarat</v>
      </c>
      <c r="U222" s="1" t="s">
        <v>219</v>
      </c>
      <c r="V222" s="1" t="str">
        <f t="shared" si="87"/>
        <v>Ahmedabad</v>
      </c>
      <c r="W222" s="1" t="s">
        <v>44</v>
      </c>
      <c r="X222" s="1" t="str">
        <f t="shared" si="88"/>
        <v>Furniture</v>
      </c>
      <c r="Y222" s="1" t="s">
        <v>63</v>
      </c>
      <c r="Z222" s="1" t="str">
        <f t="shared" si="89"/>
        <v>Furnishings</v>
      </c>
      <c r="AA222" s="1" t="s">
        <v>1707</v>
      </c>
      <c r="AB222" s="1" t="s">
        <v>65</v>
      </c>
      <c r="AC222" s="1" t="str">
        <f t="shared" si="90"/>
        <v>Standard Class</v>
      </c>
      <c r="AD222" s="1" t="str">
        <f t="shared" si="91"/>
        <v>OK</v>
      </c>
      <c r="AE222" s="1">
        <v>4</v>
      </c>
      <c r="AF222" s="1">
        <v>1917.26</v>
      </c>
      <c r="AG222" s="9">
        <v>0.2</v>
      </c>
      <c r="AH222" s="9">
        <f t="shared" si="92"/>
        <v>0.2</v>
      </c>
      <c r="AI222" s="1" t="str">
        <f t="shared" si="93"/>
        <v>OK</v>
      </c>
      <c r="AJ222" s="1">
        <v>6135.23</v>
      </c>
      <c r="AK222" s="1">
        <v>3439.79</v>
      </c>
      <c r="AL222" s="1">
        <v>2695.44</v>
      </c>
      <c r="AM222" s="13">
        <f t="shared" si="94"/>
        <v>6135.232</v>
      </c>
      <c r="AN222" s="9">
        <f t="shared" si="95"/>
        <v>2695.442</v>
      </c>
      <c r="AO222" s="9">
        <f t="shared" si="104"/>
        <v>0.43933823529411764</v>
      </c>
      <c r="AP222" s="1" t="s">
        <v>33</v>
      </c>
      <c r="AQ222" s="1" t="str">
        <f t="shared" si="96"/>
        <v>Paid</v>
      </c>
      <c r="AR222" s="1" t="str">
        <f t="shared" si="97"/>
        <v>OK</v>
      </c>
      <c r="AS222" s="1" t="s">
        <v>34</v>
      </c>
      <c r="AT222" s="4" t="str">
        <f t="shared" si="98"/>
        <v>Completed</v>
      </c>
      <c r="AU222" s="3" t="str">
        <f t="shared" si="99"/>
        <v>OK</v>
      </c>
      <c r="AV222" s="3" t="str">
        <f t="shared" si="105"/>
        <v>CLEAN</v>
      </c>
      <c r="AW222" t="str">
        <f t="shared" si="106"/>
        <v>MATCH</v>
      </c>
      <c r="AX222" t="str">
        <f t="shared" si="107"/>
        <v>MATCH</v>
      </c>
    </row>
    <row r="223" spans="1:50" ht="15.6" hidden="1">
      <c r="A223" s="1" t="s">
        <v>1712</v>
      </c>
      <c r="B223" s="1">
        <f t="shared" si="81"/>
        <v>1</v>
      </c>
      <c r="C223" s="16">
        <v>45341</v>
      </c>
      <c r="D223" s="16">
        <v>45341</v>
      </c>
      <c r="E223" s="16" t="str">
        <f t="shared" si="100"/>
        <v>Feb</v>
      </c>
      <c r="F223" s="1">
        <f t="shared" si="101"/>
        <v>2024</v>
      </c>
      <c r="G223" t="s">
        <v>1039</v>
      </c>
      <c r="H223" s="17">
        <v>45672</v>
      </c>
      <c r="I223" s="21">
        <f t="shared" si="102"/>
        <v>331</v>
      </c>
      <c r="J223" s="6" t="str">
        <f t="shared" si="103"/>
        <v>OK</v>
      </c>
      <c r="K223" s="1" t="s">
        <v>1714</v>
      </c>
      <c r="L223" s="1" t="s">
        <v>103</v>
      </c>
      <c r="M223" s="1" t="str">
        <f t="shared" si="82"/>
        <v>Aditi Sen</v>
      </c>
      <c r="N223" s="1" t="s">
        <v>40</v>
      </c>
      <c r="O223" s="1" t="str">
        <f t="shared" si="83"/>
        <v>Small Business</v>
      </c>
      <c r="P223" s="1" t="s">
        <v>60</v>
      </c>
      <c r="Q223" s="1" t="str">
        <f t="shared" si="84"/>
        <v>South</v>
      </c>
      <c r="R223" s="1" t="str">
        <f t="shared" si="85"/>
        <v>OK</v>
      </c>
      <c r="S223" s="1" t="s">
        <v>224</v>
      </c>
      <c r="T223" s="1" t="str">
        <f t="shared" si="86"/>
        <v>Kerala</v>
      </c>
      <c r="U223" s="1" t="s">
        <v>225</v>
      </c>
      <c r="V223" s="1" t="str">
        <f t="shared" si="87"/>
        <v>Kochi</v>
      </c>
      <c r="W223" s="1" t="s">
        <v>44</v>
      </c>
      <c r="X223" s="1" t="str">
        <f t="shared" si="88"/>
        <v>Furniture</v>
      </c>
      <c r="Y223" s="1" t="s">
        <v>63</v>
      </c>
      <c r="Z223" s="1" t="str">
        <f t="shared" si="89"/>
        <v>Furnishings</v>
      </c>
      <c r="AA223" s="1" t="s">
        <v>1715</v>
      </c>
      <c r="AB223" s="1" t="s">
        <v>47</v>
      </c>
      <c r="AC223" s="1" t="str">
        <f t="shared" si="90"/>
        <v>Same Day</v>
      </c>
      <c r="AD223" s="1" t="str">
        <f t="shared" si="91"/>
        <v>OK</v>
      </c>
      <c r="AE223" s="1">
        <v>9</v>
      </c>
      <c r="AF223" s="1">
        <v>4053.01</v>
      </c>
      <c r="AG223" s="9">
        <v>0</v>
      </c>
      <c r="AH223" s="9">
        <f t="shared" si="92"/>
        <v>0</v>
      </c>
      <c r="AI223" s="1" t="str">
        <f t="shared" si="93"/>
        <v>OK</v>
      </c>
      <c r="AJ223" s="1">
        <v>36477.089999999997</v>
      </c>
      <c r="AK223" s="1">
        <v>24525.48</v>
      </c>
      <c r="AL223" s="1">
        <v>11951.61</v>
      </c>
      <c r="AM223" s="13">
        <f t="shared" si="94"/>
        <v>36477.090000000004</v>
      </c>
      <c r="AN223" s="9">
        <f t="shared" si="95"/>
        <v>11951.610000000004</v>
      </c>
      <c r="AO223" s="9">
        <f t="shared" si="104"/>
        <v>0.32764702447481425</v>
      </c>
      <c r="AP223" s="1" t="s">
        <v>33</v>
      </c>
      <c r="AQ223" s="1" t="str">
        <f t="shared" si="96"/>
        <v>Paid</v>
      </c>
      <c r="AR223" s="1" t="str">
        <f t="shared" si="97"/>
        <v>OK</v>
      </c>
      <c r="AS223" s="1" t="s">
        <v>34</v>
      </c>
      <c r="AT223" s="4" t="str">
        <f t="shared" si="98"/>
        <v>Completed</v>
      </c>
      <c r="AU223" s="3" t="str">
        <f t="shared" si="99"/>
        <v>OK</v>
      </c>
      <c r="AV223" s="3" t="str">
        <f t="shared" si="105"/>
        <v>CLEAN</v>
      </c>
      <c r="AW223" t="str">
        <f t="shared" si="106"/>
        <v>MATCH</v>
      </c>
      <c r="AX223" t="str">
        <f t="shared" si="107"/>
        <v>MATCH</v>
      </c>
    </row>
    <row r="224" spans="1:50" ht="15.6" hidden="1">
      <c r="A224" s="1" t="s">
        <v>1716</v>
      </c>
      <c r="B224" s="1">
        <f t="shared" si="81"/>
        <v>1</v>
      </c>
      <c r="C224" s="16">
        <v>45527</v>
      </c>
      <c r="D224" s="16">
        <v>45527</v>
      </c>
      <c r="E224" s="16" t="str">
        <f t="shared" si="100"/>
        <v>Aug</v>
      </c>
      <c r="F224" s="1">
        <f t="shared" si="101"/>
        <v>2024</v>
      </c>
      <c r="G224" t="s">
        <v>897</v>
      </c>
      <c r="H224" s="17">
        <v>45779</v>
      </c>
      <c r="I224" s="21">
        <f t="shared" si="102"/>
        <v>252</v>
      </c>
      <c r="J224" s="6" t="str">
        <f t="shared" si="103"/>
        <v>OK</v>
      </c>
      <c r="K224" s="1" t="s">
        <v>1718</v>
      </c>
      <c r="L224" s="1" t="s">
        <v>39</v>
      </c>
      <c r="M224" s="1" t="str">
        <f t="shared" si="82"/>
        <v>Mira Das</v>
      </c>
      <c r="N224" s="1" t="s">
        <v>104</v>
      </c>
      <c r="O224" s="1" t="str">
        <f t="shared" si="83"/>
        <v>Corporate</v>
      </c>
      <c r="P224" s="1" t="s">
        <v>26</v>
      </c>
      <c r="Q224" s="1" t="str">
        <f t="shared" si="84"/>
        <v>North</v>
      </c>
      <c r="R224" s="1" t="str">
        <f t="shared" si="85"/>
        <v>OK</v>
      </c>
      <c r="S224" s="1" t="s">
        <v>163</v>
      </c>
      <c r="T224" s="1" t="str">
        <f t="shared" si="86"/>
        <v>Uttar Pradesh</v>
      </c>
      <c r="U224" s="1" t="s">
        <v>164</v>
      </c>
      <c r="V224" s="1" t="str">
        <f t="shared" si="87"/>
        <v>Noida</v>
      </c>
      <c r="W224" s="1" t="s">
        <v>29</v>
      </c>
      <c r="X224" s="1" t="str">
        <f t="shared" si="88"/>
        <v>Office Supplies</v>
      </c>
      <c r="Y224" s="1" t="s">
        <v>105</v>
      </c>
      <c r="Z224" s="1" t="str">
        <f t="shared" si="89"/>
        <v>Labels</v>
      </c>
      <c r="AA224" s="1" t="s">
        <v>1719</v>
      </c>
      <c r="AB224" s="1" t="s">
        <v>47</v>
      </c>
      <c r="AC224" s="1" t="str">
        <f t="shared" si="90"/>
        <v>Same Day</v>
      </c>
      <c r="AD224" s="1" t="str">
        <f t="shared" si="91"/>
        <v>OK</v>
      </c>
      <c r="AE224" s="1">
        <v>2</v>
      </c>
      <c r="AF224" s="1">
        <v>1936.91</v>
      </c>
      <c r="AG224" s="9">
        <v>0.05</v>
      </c>
      <c r="AH224" s="9">
        <f t="shared" si="92"/>
        <v>0.05</v>
      </c>
      <c r="AI224" s="1" t="str">
        <f t="shared" si="93"/>
        <v>OK</v>
      </c>
      <c r="AJ224" s="1">
        <v>3680.13</v>
      </c>
      <c r="AK224" s="1">
        <v>2967.46</v>
      </c>
      <c r="AL224" s="1">
        <v>712.67</v>
      </c>
      <c r="AM224" s="13">
        <f t="shared" si="94"/>
        <v>3680.1289999999999</v>
      </c>
      <c r="AN224" s="9">
        <f t="shared" si="95"/>
        <v>712.66899999999987</v>
      </c>
      <c r="AO224" s="9">
        <f t="shared" si="104"/>
        <v>0.19365326595888346</v>
      </c>
      <c r="AP224" s="1" t="s">
        <v>33</v>
      </c>
      <c r="AQ224" s="1" t="str">
        <f t="shared" si="96"/>
        <v>Paid</v>
      </c>
      <c r="AR224" s="1" t="str">
        <f t="shared" si="97"/>
        <v>OK</v>
      </c>
      <c r="AS224" s="1" t="s">
        <v>34</v>
      </c>
      <c r="AT224" s="4" t="str">
        <f t="shared" si="98"/>
        <v>Completed</v>
      </c>
      <c r="AU224" s="3" t="str">
        <f t="shared" si="99"/>
        <v>OK</v>
      </c>
      <c r="AV224" s="3" t="str">
        <f t="shared" si="105"/>
        <v>CLEAN</v>
      </c>
      <c r="AW224" t="str">
        <f t="shared" si="106"/>
        <v>MATCH</v>
      </c>
      <c r="AX224" t="str">
        <f t="shared" si="107"/>
        <v>MATCH</v>
      </c>
    </row>
    <row r="225" spans="1:50" ht="15.6" hidden="1">
      <c r="A225" s="1" t="s">
        <v>1720</v>
      </c>
      <c r="B225" s="1">
        <f t="shared" si="81"/>
        <v>1</v>
      </c>
      <c r="C225" s="16">
        <v>45385</v>
      </c>
      <c r="D225" s="16">
        <v>45385</v>
      </c>
      <c r="E225" s="16" t="str">
        <f t="shared" si="100"/>
        <v>Apr</v>
      </c>
      <c r="F225" s="1">
        <f t="shared" si="101"/>
        <v>2024</v>
      </c>
      <c r="G225" t="s">
        <v>1046</v>
      </c>
      <c r="H225" s="17">
        <v>45714</v>
      </c>
      <c r="I225" s="21">
        <f t="shared" si="102"/>
        <v>329</v>
      </c>
      <c r="J225" s="6" t="str">
        <f t="shared" si="103"/>
        <v>OK</v>
      </c>
      <c r="K225" s="1" t="s">
        <v>1722</v>
      </c>
      <c r="L225" s="1" t="s">
        <v>334</v>
      </c>
      <c r="M225" s="1" t="str">
        <f t="shared" si="82"/>
        <v>Kabir Singh</v>
      </c>
      <c r="N225" s="1" t="s">
        <v>25</v>
      </c>
      <c r="O225" s="1" t="str">
        <f t="shared" si="83"/>
        <v>Consumer</v>
      </c>
      <c r="P225" s="1" t="s">
        <v>71</v>
      </c>
      <c r="Q225" s="1" t="str">
        <f t="shared" si="84"/>
        <v>West</v>
      </c>
      <c r="R225" s="1" t="str">
        <f t="shared" si="85"/>
        <v>OK</v>
      </c>
      <c r="S225" s="1" t="s">
        <v>72</v>
      </c>
      <c r="T225" s="1" t="str">
        <f t="shared" si="86"/>
        <v>Maharashtra</v>
      </c>
      <c r="U225" s="1" t="s">
        <v>73</v>
      </c>
      <c r="V225" s="1" t="str">
        <f t="shared" si="87"/>
        <v>Mumbai</v>
      </c>
      <c r="W225" s="1" t="s">
        <v>44</v>
      </c>
      <c r="X225" s="1" t="str">
        <f t="shared" si="88"/>
        <v>Furniture</v>
      </c>
      <c r="Y225" s="1" t="s">
        <v>63</v>
      </c>
      <c r="Z225" s="1" t="str">
        <f t="shared" si="89"/>
        <v>Furnishings</v>
      </c>
      <c r="AA225" s="1" t="s">
        <v>1723</v>
      </c>
      <c r="AB225" s="1" t="s">
        <v>55</v>
      </c>
      <c r="AC225" s="1" t="str">
        <f t="shared" si="90"/>
        <v>First Class</v>
      </c>
      <c r="AD225" s="1" t="str">
        <f t="shared" si="91"/>
        <v>OK</v>
      </c>
      <c r="AE225" s="1">
        <v>7</v>
      </c>
      <c r="AF225" s="1">
        <v>3945.21</v>
      </c>
      <c r="AG225" s="9">
        <v>0</v>
      </c>
      <c r="AH225" s="9">
        <f t="shared" si="92"/>
        <v>0</v>
      </c>
      <c r="AI225" s="1" t="str">
        <f t="shared" si="93"/>
        <v>OK</v>
      </c>
      <c r="AJ225" s="1">
        <v>27616.47</v>
      </c>
      <c r="AK225" s="1">
        <v>21225.26</v>
      </c>
      <c r="AL225" s="1">
        <v>6391.21</v>
      </c>
      <c r="AM225" s="13">
        <f t="shared" si="94"/>
        <v>27616.47</v>
      </c>
      <c r="AN225" s="9">
        <f t="shared" si="95"/>
        <v>6391.2100000000028</v>
      </c>
      <c r="AO225" s="9">
        <f t="shared" si="104"/>
        <v>0.23142747787823725</v>
      </c>
      <c r="AP225" s="1" t="s">
        <v>33</v>
      </c>
      <c r="AQ225" s="1" t="str">
        <f t="shared" si="96"/>
        <v>Paid</v>
      </c>
      <c r="AR225" s="1" t="str">
        <f t="shared" si="97"/>
        <v>OK</v>
      </c>
      <c r="AS225" s="1" t="s">
        <v>34</v>
      </c>
      <c r="AT225" s="4" t="str">
        <f t="shared" si="98"/>
        <v>Completed</v>
      </c>
      <c r="AU225" s="3" t="str">
        <f t="shared" si="99"/>
        <v>OK</v>
      </c>
      <c r="AV225" s="3" t="str">
        <f t="shared" si="105"/>
        <v>CLEAN</v>
      </c>
      <c r="AW225" t="str">
        <f t="shared" si="106"/>
        <v>MATCH</v>
      </c>
      <c r="AX225" t="str">
        <f t="shared" si="107"/>
        <v>MATCH</v>
      </c>
    </row>
    <row r="226" spans="1:50" ht="15.6" hidden="1">
      <c r="A226" s="1" t="s">
        <v>1724</v>
      </c>
      <c r="B226" s="1">
        <f t="shared" si="81"/>
        <v>1</v>
      </c>
      <c r="C226" s="16">
        <v>45449</v>
      </c>
      <c r="D226" s="16">
        <v>45449</v>
      </c>
      <c r="E226" s="16" t="str">
        <f t="shared" si="100"/>
        <v>Jun</v>
      </c>
      <c r="F226" s="1">
        <f t="shared" si="101"/>
        <v>2024</v>
      </c>
      <c r="G226" t="s">
        <v>1050</v>
      </c>
      <c r="H226" s="17">
        <v>45938</v>
      </c>
      <c r="I226" s="21">
        <f t="shared" si="102"/>
        <v>489</v>
      </c>
      <c r="J226" s="6" t="str">
        <f t="shared" si="103"/>
        <v>OK</v>
      </c>
      <c r="K226" s="1" t="s">
        <v>1725</v>
      </c>
      <c r="L226" s="1" t="s">
        <v>141</v>
      </c>
      <c r="M226" s="1" t="str">
        <f t="shared" si="82"/>
        <v>Rahul Verma</v>
      </c>
      <c r="N226" s="1" t="s">
        <v>110</v>
      </c>
      <c r="O226" s="1" t="str">
        <f t="shared" si="83"/>
        <v>Home Office</v>
      </c>
      <c r="P226" s="1" t="s">
        <v>60</v>
      </c>
      <c r="Q226" s="1" t="str">
        <f t="shared" si="84"/>
        <v>South</v>
      </c>
      <c r="R226" s="1" t="str">
        <f t="shared" si="85"/>
        <v>OK</v>
      </c>
      <c r="S226" s="1" t="s">
        <v>309</v>
      </c>
      <c r="T226" s="1" t="str">
        <f t="shared" si="86"/>
        <v>Tamil Nadu</v>
      </c>
      <c r="U226" s="1" t="s">
        <v>310</v>
      </c>
      <c r="V226" s="1" t="str">
        <f t="shared" si="87"/>
        <v>Chennai</v>
      </c>
      <c r="W226" s="1" t="s">
        <v>44</v>
      </c>
      <c r="X226" s="1" t="str">
        <f t="shared" si="88"/>
        <v>Furniture</v>
      </c>
      <c r="Y226" s="1" t="s">
        <v>45</v>
      </c>
      <c r="Z226" s="1" t="str">
        <f t="shared" si="89"/>
        <v>Tables</v>
      </c>
      <c r="AA226" s="1" t="s">
        <v>1726</v>
      </c>
      <c r="AB226" s="1" t="s">
        <v>47</v>
      </c>
      <c r="AC226" s="1" t="str">
        <f t="shared" si="90"/>
        <v>Same Day</v>
      </c>
      <c r="AD226" s="1" t="str">
        <f t="shared" si="91"/>
        <v>OK</v>
      </c>
      <c r="AE226" s="1">
        <v>7</v>
      </c>
      <c r="AF226" s="1">
        <v>861.91</v>
      </c>
      <c r="AG226" s="9">
        <v>0.05</v>
      </c>
      <c r="AH226" s="9">
        <f t="shared" si="92"/>
        <v>0.05</v>
      </c>
      <c r="AI226" s="1" t="str">
        <f t="shared" si="93"/>
        <v>OK</v>
      </c>
      <c r="AJ226" s="1">
        <v>5731.7</v>
      </c>
      <c r="AK226" s="1">
        <v>4115.5600000000004</v>
      </c>
      <c r="AL226" s="1">
        <v>1616.14</v>
      </c>
      <c r="AM226" s="13">
        <f t="shared" si="94"/>
        <v>5731.7014999999992</v>
      </c>
      <c r="AN226" s="9">
        <f t="shared" si="95"/>
        <v>1616.1414999999988</v>
      </c>
      <c r="AO226" s="9">
        <f t="shared" si="104"/>
        <v>0.28196539893084088</v>
      </c>
      <c r="AP226" s="1" t="s">
        <v>33</v>
      </c>
      <c r="AQ226" s="1" t="str">
        <f t="shared" si="96"/>
        <v>Paid</v>
      </c>
      <c r="AR226" s="1" t="str">
        <f t="shared" si="97"/>
        <v>OK</v>
      </c>
      <c r="AS226" s="1" t="s">
        <v>34</v>
      </c>
      <c r="AT226" s="4" t="str">
        <f t="shared" si="98"/>
        <v>Completed</v>
      </c>
      <c r="AU226" s="3" t="str">
        <f t="shared" si="99"/>
        <v>OK</v>
      </c>
      <c r="AV226" s="3" t="str">
        <f t="shared" si="105"/>
        <v>CLEAN</v>
      </c>
      <c r="AW226" t="str">
        <f t="shared" si="106"/>
        <v>MATCH</v>
      </c>
      <c r="AX226" t="str">
        <f t="shared" si="107"/>
        <v>MATCH</v>
      </c>
    </row>
    <row r="227" spans="1:50" ht="15.6" hidden="1">
      <c r="A227" s="1" t="s">
        <v>1736</v>
      </c>
      <c r="B227" s="1">
        <f t="shared" si="81"/>
        <v>1</v>
      </c>
      <c r="C227" s="16">
        <v>45492</v>
      </c>
      <c r="D227" s="16">
        <v>45492</v>
      </c>
      <c r="E227" s="16" t="str">
        <f t="shared" si="100"/>
        <v>Jul</v>
      </c>
      <c r="F227" s="1">
        <f t="shared" si="101"/>
        <v>2024</v>
      </c>
      <c r="G227" t="s">
        <v>1055</v>
      </c>
      <c r="H227" s="17">
        <v>45545</v>
      </c>
      <c r="I227" s="21">
        <f t="shared" si="102"/>
        <v>53</v>
      </c>
      <c r="J227" s="6" t="str">
        <f t="shared" si="103"/>
        <v>OK</v>
      </c>
      <c r="K227" s="1" t="s">
        <v>1738</v>
      </c>
      <c r="L227" s="1" t="s">
        <v>80</v>
      </c>
      <c r="M227" s="1" t="str">
        <f t="shared" si="82"/>
        <v>Vikram Iyer</v>
      </c>
      <c r="N227" s="1" t="s">
        <v>104</v>
      </c>
      <c r="O227" s="1" t="str">
        <f t="shared" si="83"/>
        <v>Corporate</v>
      </c>
      <c r="P227" s="1" t="s">
        <v>26</v>
      </c>
      <c r="Q227" s="1" t="str">
        <f t="shared" si="84"/>
        <v>North</v>
      </c>
      <c r="R227" s="1" t="str">
        <f t="shared" si="85"/>
        <v>OK</v>
      </c>
      <c r="S227" s="1" t="s">
        <v>146</v>
      </c>
      <c r="T227" s="1" t="str">
        <f t="shared" si="86"/>
        <v>Punjab</v>
      </c>
      <c r="U227" s="1" t="s">
        <v>147</v>
      </c>
      <c r="V227" s="1" t="str">
        <f t="shared" si="87"/>
        <v>Ludhiana</v>
      </c>
      <c r="W227" s="1" t="s">
        <v>83</v>
      </c>
      <c r="X227" s="1" t="str">
        <f t="shared" si="88"/>
        <v>Technology</v>
      </c>
      <c r="Y227" s="1" t="s">
        <v>347</v>
      </c>
      <c r="Z227" s="1" t="str">
        <f t="shared" si="89"/>
        <v>Machines</v>
      </c>
      <c r="AA227" s="1" t="s">
        <v>1739</v>
      </c>
      <c r="AB227" s="1" t="s">
        <v>47</v>
      </c>
      <c r="AC227" s="1" t="str">
        <f t="shared" si="90"/>
        <v>Same Day</v>
      </c>
      <c r="AD227" s="1" t="str">
        <f t="shared" si="91"/>
        <v>OK</v>
      </c>
      <c r="AE227" s="1">
        <v>2</v>
      </c>
      <c r="AF227" s="1">
        <v>1263.6500000000001</v>
      </c>
      <c r="AG227" s="9">
        <v>0.2</v>
      </c>
      <c r="AH227" s="9">
        <f t="shared" si="92"/>
        <v>0.2</v>
      </c>
      <c r="AI227" s="1" t="str">
        <f t="shared" si="93"/>
        <v>OK</v>
      </c>
      <c r="AJ227" s="1">
        <v>2021.84</v>
      </c>
      <c r="AK227" s="1">
        <v>1355.22</v>
      </c>
      <c r="AL227" s="1">
        <v>666.62</v>
      </c>
      <c r="AM227" s="13">
        <f t="shared" si="94"/>
        <v>2021.8400000000001</v>
      </c>
      <c r="AN227" s="9">
        <f t="shared" si="95"/>
        <v>666.62000000000012</v>
      </c>
      <c r="AO227" s="9">
        <f t="shared" si="104"/>
        <v>0.32970957147944452</v>
      </c>
      <c r="AP227" s="1" t="s">
        <v>33</v>
      </c>
      <c r="AQ227" s="1" t="str">
        <f t="shared" si="96"/>
        <v>Paid</v>
      </c>
      <c r="AR227" s="1" t="str">
        <f t="shared" si="97"/>
        <v>OK</v>
      </c>
      <c r="AS227" s="1" t="s">
        <v>34</v>
      </c>
      <c r="AT227" s="4" t="str">
        <f t="shared" si="98"/>
        <v>Completed</v>
      </c>
      <c r="AU227" s="3" t="str">
        <f t="shared" si="99"/>
        <v>OK</v>
      </c>
      <c r="AV227" s="3" t="str">
        <f t="shared" si="105"/>
        <v>CLEAN</v>
      </c>
      <c r="AW227" t="str">
        <f t="shared" si="106"/>
        <v>MATCH</v>
      </c>
      <c r="AX227" t="str">
        <f t="shared" si="107"/>
        <v>MATCH</v>
      </c>
    </row>
    <row r="228" spans="1:50" ht="15.6" hidden="1">
      <c r="A228" s="1" t="s">
        <v>1752</v>
      </c>
      <c r="B228" s="1">
        <f t="shared" si="81"/>
        <v>1</v>
      </c>
      <c r="C228" s="16">
        <v>45373</v>
      </c>
      <c r="D228" s="16">
        <v>45373</v>
      </c>
      <c r="E228" s="16" t="str">
        <f t="shared" si="100"/>
        <v>Mar</v>
      </c>
      <c r="F228" s="1">
        <f t="shared" si="101"/>
        <v>2024</v>
      </c>
      <c r="G228" t="s">
        <v>1017</v>
      </c>
      <c r="H228" s="17">
        <v>45762</v>
      </c>
      <c r="I228" s="21">
        <f t="shared" si="102"/>
        <v>389</v>
      </c>
      <c r="J228" s="6" t="str">
        <f t="shared" si="103"/>
        <v>OK</v>
      </c>
      <c r="K228" s="1" t="s">
        <v>1754</v>
      </c>
      <c r="L228" s="1" t="s">
        <v>136</v>
      </c>
      <c r="M228" s="1" t="str">
        <f t="shared" si="82"/>
        <v>Priya Menon</v>
      </c>
      <c r="N228" s="1" t="s">
        <v>40</v>
      </c>
      <c r="O228" s="1" t="str">
        <f t="shared" si="83"/>
        <v>Small Business</v>
      </c>
      <c r="P228" s="1" t="s">
        <v>60</v>
      </c>
      <c r="Q228" s="1" t="str">
        <f t="shared" si="84"/>
        <v>South</v>
      </c>
      <c r="R228" s="1" t="str">
        <f t="shared" si="85"/>
        <v>OK</v>
      </c>
      <c r="S228" s="1" t="s">
        <v>212</v>
      </c>
      <c r="T228" s="1" t="str">
        <f t="shared" si="86"/>
        <v>Karnataka</v>
      </c>
      <c r="U228" s="1" t="s">
        <v>213</v>
      </c>
      <c r="V228" s="1" t="str">
        <f t="shared" si="87"/>
        <v>Bengaluru</v>
      </c>
      <c r="W228" s="1" t="s">
        <v>44</v>
      </c>
      <c r="X228" s="1" t="str">
        <f t="shared" si="88"/>
        <v>Furniture</v>
      </c>
      <c r="Y228" s="1" t="s">
        <v>45</v>
      </c>
      <c r="Z228" s="1" t="str">
        <f t="shared" si="89"/>
        <v>Tables</v>
      </c>
      <c r="AA228" s="1" t="s">
        <v>1755</v>
      </c>
      <c r="AB228" s="1"/>
      <c r="AC228" s="1" t="str">
        <f t="shared" si="90"/>
        <v>Unknown</v>
      </c>
      <c r="AD228" s="1" t="str">
        <f t="shared" si="91"/>
        <v>MISSING_SHIP_MODE</v>
      </c>
      <c r="AE228" s="1">
        <v>3</v>
      </c>
      <c r="AF228" s="1">
        <v>1365.26</v>
      </c>
      <c r="AG228" s="9">
        <v>0</v>
      </c>
      <c r="AH228" s="9">
        <f t="shared" si="92"/>
        <v>0</v>
      </c>
      <c r="AI228" s="1" t="str">
        <f t="shared" si="93"/>
        <v>OK</v>
      </c>
      <c r="AJ228" s="1">
        <v>4095.78</v>
      </c>
      <c r="AK228" s="1">
        <v>2807.77</v>
      </c>
      <c r="AL228" s="1">
        <v>1288.01</v>
      </c>
      <c r="AM228" s="13">
        <f t="shared" si="94"/>
        <v>4095.7799999999997</v>
      </c>
      <c r="AN228" s="9">
        <f t="shared" si="95"/>
        <v>1288.0099999999998</v>
      </c>
      <c r="AO228" s="9">
        <f t="shared" si="104"/>
        <v>0.31447245701673426</v>
      </c>
      <c r="AP228" s="1" t="s">
        <v>33</v>
      </c>
      <c r="AQ228" s="1" t="str">
        <f t="shared" si="96"/>
        <v>Paid</v>
      </c>
      <c r="AR228" s="1" t="str">
        <f t="shared" si="97"/>
        <v>OK</v>
      </c>
      <c r="AS228" s="1" t="s">
        <v>34</v>
      </c>
      <c r="AT228" s="4" t="str">
        <f t="shared" si="98"/>
        <v>Completed</v>
      </c>
      <c r="AU228" s="3" t="str">
        <f t="shared" si="99"/>
        <v>OK</v>
      </c>
      <c r="AV228" s="3" t="str">
        <f t="shared" si="105"/>
        <v>WARNING</v>
      </c>
      <c r="AW228" t="str">
        <f t="shared" si="106"/>
        <v>MATCH</v>
      </c>
      <c r="AX228" t="str">
        <f t="shared" si="107"/>
        <v>MATCH</v>
      </c>
    </row>
    <row r="229" spans="1:50" ht="15.6">
      <c r="A229" s="1" t="s">
        <v>1756</v>
      </c>
      <c r="B229" s="1">
        <f t="shared" si="81"/>
        <v>1</v>
      </c>
      <c r="C229" s="16">
        <v>45565</v>
      </c>
      <c r="D229" s="16">
        <v>45565</v>
      </c>
      <c r="E229" s="16" t="str">
        <f t="shared" si="100"/>
        <v>Sep</v>
      </c>
      <c r="F229" s="1">
        <f t="shared" si="101"/>
        <v>2024</v>
      </c>
      <c r="G229" t="s">
        <v>1062</v>
      </c>
      <c r="H229" s="17">
        <v>45485</v>
      </c>
      <c r="I229" s="21">
        <f t="shared" si="102"/>
        <v>-80</v>
      </c>
      <c r="J229" s="6" t="str">
        <f t="shared" si="103"/>
        <v>INVALID_SHIPPING</v>
      </c>
      <c r="K229" s="1" t="s">
        <v>1758</v>
      </c>
      <c r="L229" s="1" t="s">
        <v>59</v>
      </c>
      <c r="M229" s="1" t="str">
        <f t="shared" si="82"/>
        <v>Arjun Bose</v>
      </c>
      <c r="N229" s="1" t="s">
        <v>40</v>
      </c>
      <c r="O229" s="1" t="str">
        <f t="shared" si="83"/>
        <v>Small Business</v>
      </c>
      <c r="P229" s="1" t="s">
        <v>60</v>
      </c>
      <c r="Q229" s="1" t="str">
        <f t="shared" si="84"/>
        <v>South</v>
      </c>
      <c r="R229" s="1" t="str">
        <f t="shared" si="85"/>
        <v>OK</v>
      </c>
      <c r="S229" s="1" t="s">
        <v>224</v>
      </c>
      <c r="T229" s="1" t="str">
        <f t="shared" si="86"/>
        <v>Kerala</v>
      </c>
      <c r="U229" s="1" t="s">
        <v>225</v>
      </c>
      <c r="V229" s="1" t="str">
        <f t="shared" si="87"/>
        <v>Kochi</v>
      </c>
      <c r="W229" s="1" t="s">
        <v>29</v>
      </c>
      <c r="X229" s="1" t="str">
        <f t="shared" si="88"/>
        <v>Office Supplies</v>
      </c>
      <c r="Y229" s="1" t="s">
        <v>1759</v>
      </c>
      <c r="Z229" s="1" t="str">
        <f t="shared" si="89"/>
        <v>Paper</v>
      </c>
      <c r="AA229" s="1" t="s">
        <v>1760</v>
      </c>
      <c r="AB229" s="1" t="s">
        <v>47</v>
      </c>
      <c r="AC229" s="1" t="str">
        <f t="shared" si="90"/>
        <v>Same Day</v>
      </c>
      <c r="AD229" s="1" t="str">
        <f t="shared" si="91"/>
        <v>OK</v>
      </c>
      <c r="AE229" s="1">
        <v>5</v>
      </c>
      <c r="AF229" s="1">
        <v>3512.25</v>
      </c>
      <c r="AG229" s="9">
        <v>0.05</v>
      </c>
      <c r="AH229" s="9">
        <f t="shared" si="92"/>
        <v>0.05</v>
      </c>
      <c r="AI229" s="1" t="str">
        <f t="shared" si="93"/>
        <v>OK</v>
      </c>
      <c r="AJ229" s="1">
        <v>16683.189999999999</v>
      </c>
      <c r="AK229" s="1">
        <v>10301.16</v>
      </c>
      <c r="AL229" s="1">
        <v>6382.03</v>
      </c>
      <c r="AM229" s="13">
        <f t="shared" si="94"/>
        <v>16683.1875</v>
      </c>
      <c r="AN229" s="9">
        <f t="shared" si="95"/>
        <v>6382.0275000000001</v>
      </c>
      <c r="AO229" s="9">
        <f t="shared" si="104"/>
        <v>0.38254245479168775</v>
      </c>
      <c r="AP229" s="1" t="s">
        <v>33</v>
      </c>
      <c r="AQ229" s="1" t="str">
        <f t="shared" si="96"/>
        <v>Paid</v>
      </c>
      <c r="AR229" s="1" t="str">
        <f t="shared" si="97"/>
        <v>OK</v>
      </c>
      <c r="AS229" s="1" t="s">
        <v>120</v>
      </c>
      <c r="AT229" s="4" t="str">
        <f t="shared" si="98"/>
        <v>Returned</v>
      </c>
      <c r="AU229" s="3" t="str">
        <f t="shared" si="99"/>
        <v>RETURNED_ORDER</v>
      </c>
      <c r="AV229" s="3" t="str">
        <f t="shared" si="105"/>
        <v>INVALID</v>
      </c>
      <c r="AW229" t="str">
        <f t="shared" si="106"/>
        <v>MATCH</v>
      </c>
      <c r="AX229" t="str">
        <f t="shared" si="107"/>
        <v>MATCH</v>
      </c>
    </row>
    <row r="230" spans="1:50" ht="15.6" hidden="1">
      <c r="A230" s="1" t="s">
        <v>1761</v>
      </c>
      <c r="B230" s="1">
        <f t="shared" si="81"/>
        <v>1</v>
      </c>
      <c r="C230" s="16">
        <v>45318</v>
      </c>
      <c r="D230" s="16">
        <v>45318</v>
      </c>
      <c r="E230" s="16" t="str">
        <f t="shared" si="100"/>
        <v>Jan</v>
      </c>
      <c r="F230" s="1">
        <f t="shared" si="101"/>
        <v>2024</v>
      </c>
      <c r="G230" t="s">
        <v>1067</v>
      </c>
      <c r="H230" s="17">
        <v>45410</v>
      </c>
      <c r="I230" s="21">
        <f t="shared" si="102"/>
        <v>92</v>
      </c>
      <c r="J230" s="6" t="str">
        <f t="shared" si="103"/>
        <v>OK</v>
      </c>
      <c r="K230" s="1" t="s">
        <v>1764</v>
      </c>
      <c r="L230" s="1" t="s">
        <v>103</v>
      </c>
      <c r="M230" s="1" t="str">
        <f t="shared" si="82"/>
        <v>Aditi Sen</v>
      </c>
      <c r="N230" s="1" t="s">
        <v>104</v>
      </c>
      <c r="O230" s="1" t="str">
        <f t="shared" si="83"/>
        <v>Corporate</v>
      </c>
      <c r="P230" s="1" t="s">
        <v>71</v>
      </c>
      <c r="Q230" s="1" t="str">
        <f t="shared" si="84"/>
        <v>West</v>
      </c>
      <c r="R230" s="1" t="str">
        <f t="shared" si="85"/>
        <v>OK</v>
      </c>
      <c r="S230" s="1" t="s">
        <v>27</v>
      </c>
      <c r="T230" s="1" t="str">
        <f t="shared" si="86"/>
        <v>Rajasthan</v>
      </c>
      <c r="U230" s="1" t="s">
        <v>129</v>
      </c>
      <c r="V230" s="1" t="str">
        <f t="shared" si="87"/>
        <v>Udaipur</v>
      </c>
      <c r="W230" s="1" t="s">
        <v>44</v>
      </c>
      <c r="X230" s="1" t="str">
        <f t="shared" si="88"/>
        <v>Furniture</v>
      </c>
      <c r="Y230" s="1" t="s">
        <v>74</v>
      </c>
      <c r="Z230" s="1" t="str">
        <f t="shared" si="89"/>
        <v>Chairs</v>
      </c>
      <c r="AA230" s="1" t="s">
        <v>1765</v>
      </c>
      <c r="AB230" s="1" t="s">
        <v>47</v>
      </c>
      <c r="AC230" s="1" t="str">
        <f t="shared" si="90"/>
        <v>Same Day</v>
      </c>
      <c r="AD230" s="1" t="str">
        <f t="shared" si="91"/>
        <v>OK</v>
      </c>
      <c r="AE230" s="1">
        <v>3</v>
      </c>
      <c r="AF230" s="1">
        <v>359.61</v>
      </c>
      <c r="AG230" s="9">
        <v>0</v>
      </c>
      <c r="AH230" s="9">
        <f t="shared" si="92"/>
        <v>0</v>
      </c>
      <c r="AI230" s="1" t="str">
        <f t="shared" si="93"/>
        <v>OK</v>
      </c>
      <c r="AJ230" s="1">
        <v>1078.83</v>
      </c>
      <c r="AK230" s="1">
        <v>926.35</v>
      </c>
      <c r="AL230" s="1">
        <v>152.47999999999999</v>
      </c>
      <c r="AM230" s="13">
        <f t="shared" si="94"/>
        <v>1078.83</v>
      </c>
      <c r="AN230" s="9">
        <f t="shared" si="95"/>
        <v>152.4799999999999</v>
      </c>
      <c r="AO230" s="9">
        <f t="shared" si="104"/>
        <v>0.14133830167867034</v>
      </c>
      <c r="AP230" s="1" t="s">
        <v>33</v>
      </c>
      <c r="AQ230" s="1" t="str">
        <f t="shared" si="96"/>
        <v>Paid</v>
      </c>
      <c r="AR230" s="1" t="str">
        <f t="shared" si="97"/>
        <v>OK</v>
      </c>
      <c r="AS230" s="1" t="s">
        <v>34</v>
      </c>
      <c r="AT230" s="4" t="str">
        <f t="shared" si="98"/>
        <v>Completed</v>
      </c>
      <c r="AU230" s="3" t="str">
        <f t="shared" si="99"/>
        <v>OK</v>
      </c>
      <c r="AV230" s="3" t="str">
        <f t="shared" si="105"/>
        <v>CLEAN</v>
      </c>
      <c r="AW230" t="str">
        <f t="shared" si="106"/>
        <v>MATCH</v>
      </c>
      <c r="AX230" t="str">
        <f t="shared" si="107"/>
        <v>MATCH</v>
      </c>
    </row>
    <row r="231" spans="1:50" ht="15.6" hidden="1">
      <c r="A231" s="1" t="s">
        <v>1766</v>
      </c>
      <c r="B231" s="1">
        <f t="shared" si="81"/>
        <v>1</v>
      </c>
      <c r="C231" s="16">
        <v>45558</v>
      </c>
      <c r="D231" s="16">
        <v>45558</v>
      </c>
      <c r="E231" s="16" t="str">
        <f t="shared" si="100"/>
        <v>Sep</v>
      </c>
      <c r="F231" s="1">
        <f t="shared" si="101"/>
        <v>2024</v>
      </c>
      <c r="G231" t="s">
        <v>1072</v>
      </c>
      <c r="H231" s="17">
        <v>45842</v>
      </c>
      <c r="I231" s="21">
        <f t="shared" si="102"/>
        <v>284</v>
      </c>
      <c r="J231" s="6" t="str">
        <f t="shared" si="103"/>
        <v>OK</v>
      </c>
      <c r="K231" s="1" t="s">
        <v>1768</v>
      </c>
      <c r="L231" s="1" t="s">
        <v>103</v>
      </c>
      <c r="M231" s="1" t="str">
        <f t="shared" si="82"/>
        <v>Aditi Sen</v>
      </c>
      <c r="N231" s="1" t="s">
        <v>110</v>
      </c>
      <c r="O231" s="1" t="str">
        <f t="shared" si="83"/>
        <v>Home Office</v>
      </c>
      <c r="P231" s="1" t="s">
        <v>71</v>
      </c>
      <c r="Q231" s="1" t="str">
        <f t="shared" si="84"/>
        <v>West</v>
      </c>
      <c r="R231" s="1" t="str">
        <f t="shared" si="85"/>
        <v>OK</v>
      </c>
      <c r="S231" s="1" t="s">
        <v>218</v>
      </c>
      <c r="T231" s="1" t="str">
        <f t="shared" si="86"/>
        <v>Gujarat</v>
      </c>
      <c r="U231" s="1" t="s">
        <v>219</v>
      </c>
      <c r="V231" s="1" t="str">
        <f t="shared" si="87"/>
        <v>Ahmedabad</v>
      </c>
      <c r="W231" s="1" t="s">
        <v>44</v>
      </c>
      <c r="X231" s="1" t="str">
        <f t="shared" si="88"/>
        <v>Furniture</v>
      </c>
      <c r="Y231" s="1" t="s">
        <v>190</v>
      </c>
      <c r="Z231" s="1" t="str">
        <f t="shared" si="89"/>
        <v>Bookcases</v>
      </c>
      <c r="AA231" s="1" t="s">
        <v>1769</v>
      </c>
      <c r="AB231" s="1"/>
      <c r="AC231" s="1" t="str">
        <f t="shared" si="90"/>
        <v>Unknown</v>
      </c>
      <c r="AD231" s="1" t="str">
        <f t="shared" si="91"/>
        <v>MISSING_SHIP_MODE</v>
      </c>
      <c r="AE231" s="1">
        <v>7</v>
      </c>
      <c r="AF231" s="1">
        <v>3878.01</v>
      </c>
      <c r="AG231" s="9">
        <v>0.1</v>
      </c>
      <c r="AH231" s="9">
        <f t="shared" si="92"/>
        <v>0.1</v>
      </c>
      <c r="AI231" s="1" t="str">
        <f t="shared" si="93"/>
        <v>OK</v>
      </c>
      <c r="AJ231" s="1">
        <v>24431.46</v>
      </c>
      <c r="AK231" s="1">
        <v>18202.36</v>
      </c>
      <c r="AL231" s="1">
        <v>6229.1</v>
      </c>
      <c r="AM231" s="13">
        <f t="shared" si="94"/>
        <v>24431.463</v>
      </c>
      <c r="AN231" s="9">
        <f t="shared" si="95"/>
        <v>6229.1029999999992</v>
      </c>
      <c r="AO231" s="9">
        <f t="shared" si="104"/>
        <v>0.25496234097810677</v>
      </c>
      <c r="AP231" s="1" t="s">
        <v>33</v>
      </c>
      <c r="AQ231" s="1" t="str">
        <f t="shared" si="96"/>
        <v>Paid</v>
      </c>
      <c r="AR231" s="1" t="str">
        <f t="shared" si="97"/>
        <v>OK</v>
      </c>
      <c r="AS231" s="1" t="s">
        <v>34</v>
      </c>
      <c r="AT231" s="4" t="str">
        <f t="shared" si="98"/>
        <v>Completed</v>
      </c>
      <c r="AU231" s="3" t="str">
        <f t="shared" si="99"/>
        <v>OK</v>
      </c>
      <c r="AV231" s="3" t="str">
        <f t="shared" si="105"/>
        <v>WARNING</v>
      </c>
      <c r="AW231" t="str">
        <f t="shared" si="106"/>
        <v>MATCH</v>
      </c>
      <c r="AX231" t="str">
        <f t="shared" si="107"/>
        <v>MATCH</v>
      </c>
    </row>
    <row r="232" spans="1:50" ht="15.6">
      <c r="A232" s="1" t="s">
        <v>1774</v>
      </c>
      <c r="B232" s="1">
        <f t="shared" si="81"/>
        <v>1</v>
      </c>
      <c r="C232" s="16">
        <v>45631</v>
      </c>
      <c r="D232" s="16">
        <v>45631</v>
      </c>
      <c r="E232" s="16" t="str">
        <f t="shared" si="100"/>
        <v>Dec</v>
      </c>
      <c r="F232" s="1">
        <f t="shared" si="101"/>
        <v>2024</v>
      </c>
      <c r="G232" t="s">
        <v>1076</v>
      </c>
      <c r="H232" s="17">
        <v>45357</v>
      </c>
      <c r="I232" s="21">
        <f t="shared" si="102"/>
        <v>-274</v>
      </c>
      <c r="J232" s="6" t="str">
        <f t="shared" si="103"/>
        <v>INVALID_SHIPPING</v>
      </c>
      <c r="K232" s="1" t="s">
        <v>1776</v>
      </c>
      <c r="L232" s="1" t="s">
        <v>141</v>
      </c>
      <c r="M232" s="1" t="str">
        <f t="shared" si="82"/>
        <v>Rahul Verma</v>
      </c>
      <c r="N232" s="1" t="s">
        <v>104</v>
      </c>
      <c r="O232" s="1" t="str">
        <f t="shared" si="83"/>
        <v>Corporate</v>
      </c>
      <c r="P232" s="1" t="s">
        <v>71</v>
      </c>
      <c r="Q232" s="1" t="str">
        <f t="shared" si="84"/>
        <v>West</v>
      </c>
      <c r="R232" s="1" t="str">
        <f t="shared" si="85"/>
        <v>OK</v>
      </c>
      <c r="S232" s="1" t="s">
        <v>230</v>
      </c>
      <c r="T232" s="1" t="str">
        <f t="shared" si="86"/>
        <v>Goa</v>
      </c>
      <c r="U232" s="1" t="s">
        <v>231</v>
      </c>
      <c r="V232" s="1" t="str">
        <f t="shared" si="87"/>
        <v>Panaji</v>
      </c>
      <c r="W232" s="1" t="s">
        <v>29</v>
      </c>
      <c r="X232" s="1" t="str">
        <f t="shared" si="88"/>
        <v>Office Supplies</v>
      </c>
      <c r="Y232" s="1" t="s">
        <v>105</v>
      </c>
      <c r="Z232" s="1" t="str">
        <f t="shared" si="89"/>
        <v>Labels</v>
      </c>
      <c r="AA232" s="1" t="s">
        <v>1777</v>
      </c>
      <c r="AB232" s="1" t="s">
        <v>32</v>
      </c>
      <c r="AC232" s="1" t="str">
        <f t="shared" si="90"/>
        <v>Second Class</v>
      </c>
      <c r="AD232" s="1" t="str">
        <f t="shared" si="91"/>
        <v>OK</v>
      </c>
      <c r="AE232" s="1">
        <v>3</v>
      </c>
      <c r="AF232" s="1">
        <v>2644.55</v>
      </c>
      <c r="AG232" s="9">
        <v>0</v>
      </c>
      <c r="AH232" s="9">
        <f t="shared" si="92"/>
        <v>0</v>
      </c>
      <c r="AI232" s="1" t="str">
        <f t="shared" si="93"/>
        <v>OK</v>
      </c>
      <c r="AJ232" s="1">
        <v>7933.65</v>
      </c>
      <c r="AK232" s="1">
        <v>5698.42</v>
      </c>
      <c r="AL232" s="1">
        <v>2235.23</v>
      </c>
      <c r="AM232" s="13">
        <f t="shared" si="94"/>
        <v>7933.6500000000005</v>
      </c>
      <c r="AN232" s="9">
        <f t="shared" si="95"/>
        <v>2235.2300000000005</v>
      </c>
      <c r="AO232" s="9">
        <f t="shared" si="104"/>
        <v>0.2817404347305465</v>
      </c>
      <c r="AP232" s="1" t="s">
        <v>33</v>
      </c>
      <c r="AQ232" s="1" t="str">
        <f t="shared" si="96"/>
        <v>Paid</v>
      </c>
      <c r="AR232" s="1" t="str">
        <f t="shared" si="97"/>
        <v>OK</v>
      </c>
      <c r="AS232" s="1" t="s">
        <v>34</v>
      </c>
      <c r="AT232" s="4" t="str">
        <f t="shared" si="98"/>
        <v>Completed</v>
      </c>
      <c r="AU232" s="3" t="str">
        <f t="shared" si="99"/>
        <v>OK</v>
      </c>
      <c r="AV232" s="3" t="str">
        <f t="shared" si="105"/>
        <v>INVALID</v>
      </c>
      <c r="AW232" t="str">
        <f t="shared" si="106"/>
        <v>MATCH</v>
      </c>
      <c r="AX232" t="str">
        <f t="shared" si="107"/>
        <v>MATCH</v>
      </c>
    </row>
    <row r="233" spans="1:50" ht="15.6">
      <c r="A233" s="1" t="s">
        <v>1784</v>
      </c>
      <c r="B233" s="1">
        <f t="shared" si="81"/>
        <v>1</v>
      </c>
      <c r="C233" s="16">
        <v>45630</v>
      </c>
      <c r="D233" s="16">
        <v>45630</v>
      </c>
      <c r="E233" s="16" t="str">
        <f t="shared" si="100"/>
        <v>Dec</v>
      </c>
      <c r="F233" s="1">
        <f t="shared" si="101"/>
        <v>2024</v>
      </c>
      <c r="G233" t="s">
        <v>1080</v>
      </c>
      <c r="H233" s="17">
        <v>45414</v>
      </c>
      <c r="I233" s="21">
        <f t="shared" si="102"/>
        <v>-216</v>
      </c>
      <c r="J233" s="6" t="str">
        <f t="shared" si="103"/>
        <v>INVALID_SHIPPING</v>
      </c>
      <c r="K233" s="1" t="s">
        <v>1786</v>
      </c>
      <c r="L233" s="1" t="s">
        <v>196</v>
      </c>
      <c r="M233" s="1" t="str">
        <f t="shared" si="82"/>
        <v>Diya Patel</v>
      </c>
      <c r="N233" s="1" t="s">
        <v>25</v>
      </c>
      <c r="O233" s="1" t="str">
        <f t="shared" si="83"/>
        <v>Consumer</v>
      </c>
      <c r="P233" s="1" t="s">
        <v>71</v>
      </c>
      <c r="Q233" s="1" t="str">
        <f t="shared" si="84"/>
        <v>West</v>
      </c>
      <c r="R233" s="1" t="str">
        <f t="shared" si="85"/>
        <v>OK</v>
      </c>
      <c r="S233" s="1" t="s">
        <v>230</v>
      </c>
      <c r="T233" s="1" t="str">
        <f t="shared" si="86"/>
        <v>Goa</v>
      </c>
      <c r="U233" s="1" t="s">
        <v>231</v>
      </c>
      <c r="V233" s="1" t="str">
        <f t="shared" si="87"/>
        <v>Panaji</v>
      </c>
      <c r="W233" s="1" t="s">
        <v>44</v>
      </c>
      <c r="X233" s="1" t="str">
        <f t="shared" si="88"/>
        <v>Furniture</v>
      </c>
      <c r="Y233" s="1" t="s">
        <v>45</v>
      </c>
      <c r="Z233" s="1" t="str">
        <f t="shared" si="89"/>
        <v>Tables</v>
      </c>
      <c r="AA233" s="1" t="s">
        <v>1787</v>
      </c>
      <c r="AB233" s="1" t="s">
        <v>55</v>
      </c>
      <c r="AC233" s="1" t="str">
        <f t="shared" si="90"/>
        <v>First Class</v>
      </c>
      <c r="AD233" s="1" t="str">
        <f t="shared" si="91"/>
        <v>OK</v>
      </c>
      <c r="AE233" s="1">
        <v>9</v>
      </c>
      <c r="AF233" s="1">
        <v>1302.6099999999999</v>
      </c>
      <c r="AG233" s="9">
        <v>0.2</v>
      </c>
      <c r="AH233" s="9">
        <f t="shared" si="92"/>
        <v>0.2</v>
      </c>
      <c r="AI233" s="1" t="str">
        <f t="shared" si="93"/>
        <v>OK</v>
      </c>
      <c r="AJ233" s="1">
        <v>9378.7900000000009</v>
      </c>
      <c r="AK233" s="1">
        <v>6774.48</v>
      </c>
      <c r="AL233" s="1">
        <v>2604.31</v>
      </c>
      <c r="AM233" s="13">
        <f t="shared" si="94"/>
        <v>9378.7919999999995</v>
      </c>
      <c r="AN233" s="9">
        <f t="shared" si="95"/>
        <v>2604.3119999999999</v>
      </c>
      <c r="AO233" s="9">
        <f t="shared" si="104"/>
        <v>0.27768096360384154</v>
      </c>
      <c r="AP233" s="1" t="s">
        <v>33</v>
      </c>
      <c r="AQ233" s="1" t="str">
        <f t="shared" si="96"/>
        <v>Paid</v>
      </c>
      <c r="AR233" s="1" t="str">
        <f t="shared" si="97"/>
        <v>OK</v>
      </c>
      <c r="AS233" s="1" t="s">
        <v>34</v>
      </c>
      <c r="AT233" s="4" t="str">
        <f t="shared" si="98"/>
        <v>Completed</v>
      </c>
      <c r="AU233" s="3" t="str">
        <f t="shared" si="99"/>
        <v>OK</v>
      </c>
      <c r="AV233" s="3" t="str">
        <f t="shared" si="105"/>
        <v>INVALID</v>
      </c>
      <c r="AW233" t="str">
        <f t="shared" si="106"/>
        <v>MATCH</v>
      </c>
      <c r="AX233" t="str">
        <f t="shared" si="107"/>
        <v>MATCH</v>
      </c>
    </row>
    <row r="234" spans="1:50" ht="15.6" hidden="1">
      <c r="A234" s="1" t="s">
        <v>1792</v>
      </c>
      <c r="B234" s="1">
        <f t="shared" si="81"/>
        <v>1</v>
      </c>
      <c r="C234" s="16">
        <v>45313</v>
      </c>
      <c r="D234" s="16">
        <v>45313</v>
      </c>
      <c r="E234" s="16" t="str">
        <f t="shared" si="100"/>
        <v>Jan</v>
      </c>
      <c r="F234" s="1">
        <f t="shared" si="101"/>
        <v>2024</v>
      </c>
      <c r="G234" t="s">
        <v>1085</v>
      </c>
      <c r="H234" s="17">
        <v>45818</v>
      </c>
      <c r="I234" s="21">
        <f t="shared" si="102"/>
        <v>505</v>
      </c>
      <c r="J234" s="6" t="str">
        <f t="shared" si="103"/>
        <v>OK</v>
      </c>
      <c r="K234" s="1" t="s">
        <v>1794</v>
      </c>
      <c r="L234" s="1" t="s">
        <v>52</v>
      </c>
      <c r="M234" s="1" t="str">
        <f t="shared" si="82"/>
        <v>Isha Nair</v>
      </c>
      <c r="N234" s="1" t="s">
        <v>104</v>
      </c>
      <c r="O234" s="1" t="str">
        <f t="shared" si="83"/>
        <v>Corporate</v>
      </c>
      <c r="P234" s="1" t="s">
        <v>60</v>
      </c>
      <c r="Q234" s="1" t="str">
        <f t="shared" si="84"/>
        <v>South</v>
      </c>
      <c r="R234" s="1" t="str">
        <f t="shared" si="85"/>
        <v>OK</v>
      </c>
      <c r="S234" s="1" t="s">
        <v>212</v>
      </c>
      <c r="T234" s="1" t="str">
        <f t="shared" si="86"/>
        <v>Karnataka</v>
      </c>
      <c r="U234" s="1" t="s">
        <v>213</v>
      </c>
      <c r="V234" s="1" t="str">
        <f t="shared" si="87"/>
        <v>Bengaluru</v>
      </c>
      <c r="W234" s="1" t="s">
        <v>44</v>
      </c>
      <c r="X234" s="1" t="str">
        <f t="shared" si="88"/>
        <v>Furniture</v>
      </c>
      <c r="Y234" s="1" t="s">
        <v>74</v>
      </c>
      <c r="Z234" s="1" t="str">
        <f t="shared" si="89"/>
        <v>Chairs</v>
      </c>
      <c r="AA234" s="1" t="s">
        <v>1795</v>
      </c>
      <c r="AB234" s="1" t="s">
        <v>47</v>
      </c>
      <c r="AC234" s="1" t="str">
        <f t="shared" si="90"/>
        <v>Same Day</v>
      </c>
      <c r="AD234" s="1" t="str">
        <f t="shared" si="91"/>
        <v>OK</v>
      </c>
      <c r="AE234" s="1">
        <v>1</v>
      </c>
      <c r="AF234" s="1">
        <v>2111.39</v>
      </c>
      <c r="AG234" s="9">
        <v>0.25</v>
      </c>
      <c r="AH234" s="9">
        <f t="shared" si="92"/>
        <v>0.25</v>
      </c>
      <c r="AI234" s="1" t="str">
        <f t="shared" si="93"/>
        <v>OK</v>
      </c>
      <c r="AJ234" s="1">
        <v>1583.54</v>
      </c>
      <c r="AK234" s="1">
        <v>1014.19</v>
      </c>
      <c r="AL234" s="1">
        <v>569.35</v>
      </c>
      <c r="AM234" s="13">
        <f t="shared" si="94"/>
        <v>1583.5425</v>
      </c>
      <c r="AN234" s="9">
        <f t="shared" si="95"/>
        <v>569.35249999999996</v>
      </c>
      <c r="AO234" s="9">
        <f t="shared" si="104"/>
        <v>0.35954355503562424</v>
      </c>
      <c r="AP234" s="1" t="s">
        <v>33</v>
      </c>
      <c r="AQ234" s="1" t="str">
        <f t="shared" si="96"/>
        <v>Paid</v>
      </c>
      <c r="AR234" s="1" t="str">
        <f t="shared" si="97"/>
        <v>OK</v>
      </c>
      <c r="AS234" s="1" t="s">
        <v>34</v>
      </c>
      <c r="AT234" s="4" t="str">
        <f t="shared" si="98"/>
        <v>Completed</v>
      </c>
      <c r="AU234" s="3" t="str">
        <f t="shared" si="99"/>
        <v>OK</v>
      </c>
      <c r="AV234" s="3" t="str">
        <f t="shared" si="105"/>
        <v>CLEAN</v>
      </c>
      <c r="AW234" t="str">
        <f t="shared" si="106"/>
        <v>MATCH</v>
      </c>
      <c r="AX234" t="str">
        <f t="shared" si="107"/>
        <v>MATCH</v>
      </c>
    </row>
    <row r="235" spans="1:50" ht="15.6" hidden="1">
      <c r="A235" s="1" t="s">
        <v>1800</v>
      </c>
      <c r="B235" s="1">
        <f t="shared" si="81"/>
        <v>1</v>
      </c>
      <c r="C235" s="16">
        <v>45533</v>
      </c>
      <c r="D235" s="16">
        <v>45533</v>
      </c>
      <c r="E235" s="16" t="str">
        <f t="shared" si="100"/>
        <v>Aug</v>
      </c>
      <c r="F235" s="1">
        <f t="shared" si="101"/>
        <v>2024</v>
      </c>
      <c r="G235" t="s">
        <v>1089</v>
      </c>
      <c r="H235" s="17">
        <v>45579</v>
      </c>
      <c r="I235" s="21">
        <f t="shared" si="102"/>
        <v>46</v>
      </c>
      <c r="J235" s="6" t="str">
        <f t="shared" si="103"/>
        <v>OK</v>
      </c>
      <c r="K235" s="1" t="s">
        <v>1802</v>
      </c>
      <c r="L235" s="1" t="s">
        <v>59</v>
      </c>
      <c r="M235" s="1" t="str">
        <f t="shared" si="82"/>
        <v>Arjun Bose</v>
      </c>
      <c r="N235" s="1" t="s">
        <v>110</v>
      </c>
      <c r="O235" s="1" t="str">
        <f t="shared" si="83"/>
        <v>Home Office</v>
      </c>
      <c r="P235" s="1" t="s">
        <v>41</v>
      </c>
      <c r="Q235" s="1" t="str">
        <f t="shared" si="84"/>
        <v>East</v>
      </c>
      <c r="R235" s="1" t="str">
        <f t="shared" si="85"/>
        <v>OK</v>
      </c>
      <c r="S235" s="1" t="s">
        <v>201</v>
      </c>
      <c r="T235" s="1" t="str">
        <f t="shared" si="86"/>
        <v>Assam</v>
      </c>
      <c r="U235" s="1" t="s">
        <v>202</v>
      </c>
      <c r="V235" s="1" t="str">
        <f t="shared" si="87"/>
        <v>Guwahati</v>
      </c>
      <c r="W235" s="1" t="s">
        <v>29</v>
      </c>
      <c r="X235" s="1" t="str">
        <f t="shared" si="88"/>
        <v>Office Supplies</v>
      </c>
      <c r="Y235" s="1" t="s">
        <v>148</v>
      </c>
      <c r="Z235" s="1" t="str">
        <f t="shared" si="89"/>
        <v>Storage</v>
      </c>
      <c r="AA235" s="1" t="s">
        <v>1803</v>
      </c>
      <c r="AB235" s="1" t="s">
        <v>55</v>
      </c>
      <c r="AC235" s="1" t="str">
        <f t="shared" si="90"/>
        <v>First Class</v>
      </c>
      <c r="AD235" s="1" t="str">
        <f t="shared" si="91"/>
        <v>OK</v>
      </c>
      <c r="AE235" s="1">
        <v>4</v>
      </c>
      <c r="AF235" s="1">
        <v>2484.08</v>
      </c>
      <c r="AG235" s="9">
        <v>0.05</v>
      </c>
      <c r="AH235" s="9">
        <f t="shared" si="92"/>
        <v>0.05</v>
      </c>
      <c r="AI235" s="1" t="str">
        <f t="shared" si="93"/>
        <v>OK</v>
      </c>
      <c r="AJ235" s="1">
        <v>9439.5</v>
      </c>
      <c r="AK235" s="1">
        <v>5519.39</v>
      </c>
      <c r="AL235" s="1">
        <v>3920.11</v>
      </c>
      <c r="AM235" s="13">
        <f t="shared" si="94"/>
        <v>9439.503999999999</v>
      </c>
      <c r="AN235" s="9">
        <f t="shared" si="95"/>
        <v>3920.1139999999987</v>
      </c>
      <c r="AO235" s="9">
        <f t="shared" si="104"/>
        <v>0.41528813378330037</v>
      </c>
      <c r="AP235" s="1" t="s">
        <v>33</v>
      </c>
      <c r="AQ235" s="1" t="str">
        <f t="shared" si="96"/>
        <v>Paid</v>
      </c>
      <c r="AR235" s="1" t="str">
        <f t="shared" si="97"/>
        <v>OK</v>
      </c>
      <c r="AS235" s="1" t="s">
        <v>34</v>
      </c>
      <c r="AT235" s="4" t="str">
        <f t="shared" si="98"/>
        <v>Completed</v>
      </c>
      <c r="AU235" s="3" t="str">
        <f t="shared" si="99"/>
        <v>OK</v>
      </c>
      <c r="AV235" s="3" t="str">
        <f t="shared" si="105"/>
        <v>CLEAN</v>
      </c>
      <c r="AW235" t="str">
        <f t="shared" si="106"/>
        <v>MATCH</v>
      </c>
      <c r="AX235" t="str">
        <f t="shared" si="107"/>
        <v>MATCH</v>
      </c>
    </row>
    <row r="236" spans="1:50" ht="15.6" hidden="1">
      <c r="A236" s="1" t="s">
        <v>1804</v>
      </c>
      <c r="B236" s="1">
        <f t="shared" si="81"/>
        <v>1</v>
      </c>
      <c r="C236" s="16">
        <v>45316</v>
      </c>
      <c r="D236" s="16">
        <v>45316</v>
      </c>
      <c r="E236" s="16" t="str">
        <f t="shared" si="100"/>
        <v>Jan</v>
      </c>
      <c r="F236" s="1">
        <f t="shared" si="101"/>
        <v>2024</v>
      </c>
      <c r="G236" t="s">
        <v>1093</v>
      </c>
      <c r="H236" s="17">
        <v>45538</v>
      </c>
      <c r="I236" s="21">
        <f t="shared" si="102"/>
        <v>222</v>
      </c>
      <c r="J236" s="6" t="str">
        <f t="shared" si="103"/>
        <v>OK</v>
      </c>
      <c r="K236" s="1" t="s">
        <v>1806</v>
      </c>
      <c r="L236" s="1" t="s">
        <v>153</v>
      </c>
      <c r="M236" s="1" t="str">
        <f t="shared" si="82"/>
        <v>Aarav Sharma</v>
      </c>
      <c r="N236" s="1" t="s">
        <v>104</v>
      </c>
      <c r="O236" s="1" t="str">
        <f t="shared" si="83"/>
        <v>Corporate</v>
      </c>
      <c r="P236" s="1" t="s">
        <v>60</v>
      </c>
      <c r="Q236" s="1" t="str">
        <f t="shared" si="84"/>
        <v>South</v>
      </c>
      <c r="R236" s="1" t="str">
        <f t="shared" si="85"/>
        <v>OK</v>
      </c>
      <c r="S236" s="1" t="s">
        <v>212</v>
      </c>
      <c r="T236" s="1" t="str">
        <f t="shared" si="86"/>
        <v>Karnataka</v>
      </c>
      <c r="U236" s="1" t="s">
        <v>213</v>
      </c>
      <c r="V236" s="1" t="str">
        <f t="shared" si="87"/>
        <v>Bengaluru</v>
      </c>
      <c r="W236" s="1" t="s">
        <v>29</v>
      </c>
      <c r="X236" s="1" t="str">
        <f t="shared" si="88"/>
        <v>Office Supplies</v>
      </c>
      <c r="Y236" s="1" t="s">
        <v>148</v>
      </c>
      <c r="Z236" s="1" t="str">
        <f t="shared" si="89"/>
        <v>Storage</v>
      </c>
      <c r="AA236" s="1" t="s">
        <v>1807</v>
      </c>
      <c r="AB236" s="1" t="s">
        <v>47</v>
      </c>
      <c r="AC236" s="1" t="str">
        <f t="shared" si="90"/>
        <v>Same Day</v>
      </c>
      <c r="AD236" s="1" t="str">
        <f t="shared" si="91"/>
        <v>OK</v>
      </c>
      <c r="AE236" s="1">
        <v>7</v>
      </c>
      <c r="AF236" s="1">
        <v>1727.26</v>
      </c>
      <c r="AG236" s="9">
        <v>0.15</v>
      </c>
      <c r="AH236" s="9">
        <f t="shared" si="92"/>
        <v>0.15</v>
      </c>
      <c r="AI236" s="1" t="str">
        <f t="shared" si="93"/>
        <v>OK</v>
      </c>
      <c r="AJ236" s="1">
        <v>10277.200000000001</v>
      </c>
      <c r="AK236" s="1">
        <v>7906.5</v>
      </c>
      <c r="AL236" s="1">
        <v>2370.6999999999998</v>
      </c>
      <c r="AM236" s="13">
        <f t="shared" si="94"/>
        <v>10277.197</v>
      </c>
      <c r="AN236" s="9">
        <f t="shared" si="95"/>
        <v>2370.6970000000001</v>
      </c>
      <c r="AO236" s="9">
        <f t="shared" si="104"/>
        <v>0.23067544584384245</v>
      </c>
      <c r="AP236" s="1" t="s">
        <v>33</v>
      </c>
      <c r="AQ236" s="1" t="str">
        <f t="shared" si="96"/>
        <v>Paid</v>
      </c>
      <c r="AR236" s="1" t="str">
        <f t="shared" si="97"/>
        <v>OK</v>
      </c>
      <c r="AS236" s="1" t="s">
        <v>120</v>
      </c>
      <c r="AT236" s="4" t="str">
        <f t="shared" si="98"/>
        <v>Returned</v>
      </c>
      <c r="AU236" s="3" t="str">
        <f t="shared" si="99"/>
        <v>RETURNED_ORDER</v>
      </c>
      <c r="AV236" s="3" t="str">
        <f t="shared" si="105"/>
        <v>CLEAN</v>
      </c>
      <c r="AW236" t="str">
        <f t="shared" si="106"/>
        <v>MATCH</v>
      </c>
      <c r="AX236" t="str">
        <f t="shared" si="107"/>
        <v>MATCH</v>
      </c>
    </row>
    <row r="237" spans="1:50" ht="15.6" hidden="1">
      <c r="A237" s="1" t="s">
        <v>1816</v>
      </c>
      <c r="B237" s="1">
        <f t="shared" si="81"/>
        <v>1</v>
      </c>
      <c r="C237" s="16">
        <v>45546</v>
      </c>
      <c r="D237" s="16">
        <v>45546</v>
      </c>
      <c r="E237" s="16" t="str">
        <f t="shared" si="100"/>
        <v>Sep</v>
      </c>
      <c r="F237" s="1">
        <f t="shared" si="101"/>
        <v>2024</v>
      </c>
      <c r="G237" t="s">
        <v>1097</v>
      </c>
      <c r="H237" s="17">
        <v>45599</v>
      </c>
      <c r="I237" s="21">
        <f t="shared" si="102"/>
        <v>53</v>
      </c>
      <c r="J237" s="6" t="str">
        <f t="shared" si="103"/>
        <v>OK</v>
      </c>
      <c r="K237" s="1" t="s">
        <v>1818</v>
      </c>
      <c r="L237" s="1" t="s">
        <v>158</v>
      </c>
      <c r="M237" s="1" t="str">
        <f t="shared" si="82"/>
        <v>Sneha Kapoor</v>
      </c>
      <c r="N237" s="1" t="s">
        <v>104</v>
      </c>
      <c r="O237" s="1" t="str">
        <f t="shared" si="83"/>
        <v>Corporate</v>
      </c>
      <c r="P237" s="1" t="s">
        <v>41</v>
      </c>
      <c r="Q237" s="1" t="str">
        <f t="shared" si="84"/>
        <v>East</v>
      </c>
      <c r="R237" s="1" t="str">
        <f t="shared" si="85"/>
        <v>OK</v>
      </c>
      <c r="S237" s="1" t="s">
        <v>42</v>
      </c>
      <c r="T237" s="1" t="str">
        <f t="shared" si="86"/>
        <v>Odisha</v>
      </c>
      <c r="U237" s="1" t="s">
        <v>43</v>
      </c>
      <c r="V237" s="1" t="str">
        <f t="shared" si="87"/>
        <v>Bhubaneswar</v>
      </c>
      <c r="W237" s="1" t="s">
        <v>83</v>
      </c>
      <c r="X237" s="1" t="str">
        <f t="shared" si="88"/>
        <v>Technology</v>
      </c>
      <c r="Y237" s="1" t="s">
        <v>91</v>
      </c>
      <c r="Z237" s="1" t="str">
        <f t="shared" si="89"/>
        <v>Copiers</v>
      </c>
      <c r="AA237" s="1" t="s">
        <v>1819</v>
      </c>
      <c r="AB237" s="1" t="s">
        <v>65</v>
      </c>
      <c r="AC237" s="1" t="str">
        <f t="shared" si="90"/>
        <v>Standard Class</v>
      </c>
      <c r="AD237" s="1" t="str">
        <f t="shared" si="91"/>
        <v>OK</v>
      </c>
      <c r="AE237" s="1">
        <v>6</v>
      </c>
      <c r="AF237" s="1">
        <v>3660.4</v>
      </c>
      <c r="AG237" s="9">
        <v>0</v>
      </c>
      <c r="AH237" s="9">
        <f t="shared" si="92"/>
        <v>0</v>
      </c>
      <c r="AI237" s="1" t="str">
        <f t="shared" si="93"/>
        <v>OK</v>
      </c>
      <c r="AJ237" s="1">
        <v>21962.400000000001</v>
      </c>
      <c r="AK237" s="1">
        <v>15331.99</v>
      </c>
      <c r="AL237" s="1">
        <v>6630.41</v>
      </c>
      <c r="AM237" s="13">
        <f t="shared" si="94"/>
        <v>21962.400000000001</v>
      </c>
      <c r="AN237" s="9">
        <f t="shared" si="95"/>
        <v>6630.4100000000017</v>
      </c>
      <c r="AO237" s="9">
        <f t="shared" si="104"/>
        <v>0.3018982442720286</v>
      </c>
      <c r="AP237" s="1" t="s">
        <v>186</v>
      </c>
      <c r="AQ237" s="1" t="str">
        <f t="shared" si="96"/>
        <v>Failed</v>
      </c>
      <c r="AR237" s="1" t="str">
        <f t="shared" si="97"/>
        <v>EXCLUDE_FROM_SALES</v>
      </c>
      <c r="AS237" s="1" t="s">
        <v>76</v>
      </c>
      <c r="AT237" s="4" t="str">
        <f t="shared" si="98"/>
        <v>Cancelled</v>
      </c>
      <c r="AU237" s="3" t="str">
        <f t="shared" si="99"/>
        <v>EXCLUDE_FROM_SALES</v>
      </c>
      <c r="AV237" s="3" t="str">
        <f t="shared" si="105"/>
        <v>CLEAN</v>
      </c>
      <c r="AW237" t="str">
        <f t="shared" si="106"/>
        <v>MATCH</v>
      </c>
      <c r="AX237" t="str">
        <f t="shared" si="107"/>
        <v>MATCH</v>
      </c>
    </row>
    <row r="238" spans="1:50" ht="15.6" hidden="1">
      <c r="A238" s="1" t="s">
        <v>1836</v>
      </c>
      <c r="B238" s="1">
        <f t="shared" si="81"/>
        <v>2</v>
      </c>
      <c r="C238" s="16">
        <v>45342</v>
      </c>
      <c r="D238" s="16">
        <v>45342</v>
      </c>
      <c r="E238" s="16" t="str">
        <f t="shared" si="100"/>
        <v>Feb</v>
      </c>
      <c r="F238" s="1">
        <f t="shared" si="101"/>
        <v>2024</v>
      </c>
      <c r="G238" t="s">
        <v>1101</v>
      </c>
      <c r="H238" s="17">
        <v>45586</v>
      </c>
      <c r="I238" s="21">
        <f t="shared" si="102"/>
        <v>244</v>
      </c>
      <c r="J238" s="6" t="str">
        <f t="shared" si="103"/>
        <v>OK</v>
      </c>
      <c r="K238" s="1" t="s">
        <v>1839</v>
      </c>
      <c r="L238" s="1" t="s">
        <v>196</v>
      </c>
      <c r="M238" s="1" t="str">
        <f t="shared" si="82"/>
        <v>Diya Patel</v>
      </c>
      <c r="N238" s="1" t="s">
        <v>25</v>
      </c>
      <c r="O238" s="1" t="str">
        <f t="shared" si="83"/>
        <v>Consumer</v>
      </c>
      <c r="P238" s="1" t="s">
        <v>60</v>
      </c>
      <c r="Q238" s="1" t="str">
        <f t="shared" si="84"/>
        <v>South</v>
      </c>
      <c r="R238" s="1" t="str">
        <f t="shared" si="85"/>
        <v>OK</v>
      </c>
      <c r="S238" s="1" t="s">
        <v>224</v>
      </c>
      <c r="T238" s="1" t="str">
        <f t="shared" si="86"/>
        <v>Kerala</v>
      </c>
      <c r="U238" s="1" t="s">
        <v>225</v>
      </c>
      <c r="V238" s="1" t="str">
        <f t="shared" si="87"/>
        <v>Kochi</v>
      </c>
      <c r="W238" s="1" t="s">
        <v>83</v>
      </c>
      <c r="X238" s="1" t="str">
        <f t="shared" si="88"/>
        <v>Technology</v>
      </c>
      <c r="Y238" s="1" t="s">
        <v>84</v>
      </c>
      <c r="Z238" s="1" t="str">
        <f t="shared" si="89"/>
        <v>Accessories</v>
      </c>
      <c r="AA238" s="1" t="s">
        <v>1840</v>
      </c>
      <c r="AB238" s="1" t="s">
        <v>1841</v>
      </c>
      <c r="AC238" s="1" t="str">
        <f t="shared" si="90"/>
        <v>First Class</v>
      </c>
      <c r="AD238" s="1" t="str">
        <f t="shared" si="91"/>
        <v>OK</v>
      </c>
      <c r="AE238" s="1">
        <v>9</v>
      </c>
      <c r="AF238" s="1">
        <v>3779.31</v>
      </c>
      <c r="AG238" s="9">
        <v>0.2</v>
      </c>
      <c r="AH238" s="9">
        <f t="shared" si="92"/>
        <v>0.2</v>
      </c>
      <c r="AI238" s="1" t="str">
        <f t="shared" si="93"/>
        <v>OK</v>
      </c>
      <c r="AJ238" s="1">
        <v>27211.03</v>
      </c>
      <c r="AK238" s="1">
        <v>17940.43</v>
      </c>
      <c r="AL238" s="1">
        <v>9270.6</v>
      </c>
      <c r="AM238" s="13">
        <f t="shared" si="94"/>
        <v>27211.032000000003</v>
      </c>
      <c r="AN238" s="9">
        <f t="shared" si="95"/>
        <v>9270.6020000000026</v>
      </c>
      <c r="AO238" s="9">
        <f t="shared" si="104"/>
        <v>0.34069277490100347</v>
      </c>
      <c r="AP238" s="1" t="s">
        <v>33</v>
      </c>
      <c r="AQ238" s="1" t="str">
        <f t="shared" si="96"/>
        <v>Paid</v>
      </c>
      <c r="AR238" s="1" t="str">
        <f t="shared" si="97"/>
        <v>OK</v>
      </c>
      <c r="AS238" s="1" t="s">
        <v>34</v>
      </c>
      <c r="AT238" s="4" t="str">
        <f t="shared" si="98"/>
        <v>Completed</v>
      </c>
      <c r="AU238" s="3" t="str">
        <f t="shared" si="99"/>
        <v>OK</v>
      </c>
      <c r="AV238" s="3" t="str">
        <f t="shared" si="105"/>
        <v>CLEAN</v>
      </c>
      <c r="AW238" t="str">
        <f t="shared" si="106"/>
        <v>MATCH</v>
      </c>
      <c r="AX238" t="str">
        <f t="shared" si="107"/>
        <v>MATCH</v>
      </c>
    </row>
    <row r="239" spans="1:50" ht="15.6" hidden="1">
      <c r="A239" s="1" t="s">
        <v>1836</v>
      </c>
      <c r="B239" s="1">
        <f t="shared" si="81"/>
        <v>2</v>
      </c>
      <c r="C239" s="16">
        <v>45342</v>
      </c>
      <c r="D239" s="16">
        <v>45342</v>
      </c>
      <c r="E239" s="16" t="str">
        <f t="shared" si="100"/>
        <v>Feb</v>
      </c>
      <c r="F239" s="1">
        <f t="shared" si="101"/>
        <v>2024</v>
      </c>
      <c r="G239" t="s">
        <v>1105</v>
      </c>
      <c r="H239" s="17">
        <v>45531</v>
      </c>
      <c r="I239" s="21">
        <f t="shared" si="102"/>
        <v>189</v>
      </c>
      <c r="J239" s="6" t="str">
        <f t="shared" si="103"/>
        <v>OK</v>
      </c>
      <c r="K239" s="1" t="s">
        <v>1839</v>
      </c>
      <c r="L239" s="1" t="s">
        <v>196</v>
      </c>
      <c r="M239" s="1" t="str">
        <f t="shared" si="82"/>
        <v>Diya Patel</v>
      </c>
      <c r="N239" s="1" t="s">
        <v>25</v>
      </c>
      <c r="O239" s="1" t="str">
        <f t="shared" si="83"/>
        <v>Consumer</v>
      </c>
      <c r="P239" s="1" t="s">
        <v>60</v>
      </c>
      <c r="Q239" s="1" t="str">
        <f t="shared" si="84"/>
        <v>South</v>
      </c>
      <c r="R239" s="1" t="str">
        <f t="shared" si="85"/>
        <v>OK</v>
      </c>
      <c r="S239" s="1" t="s">
        <v>224</v>
      </c>
      <c r="T239" s="1" t="str">
        <f t="shared" si="86"/>
        <v>Kerala</v>
      </c>
      <c r="U239" s="1" t="s">
        <v>225</v>
      </c>
      <c r="V239" s="1" t="str">
        <f t="shared" si="87"/>
        <v>Kochi</v>
      </c>
      <c r="W239" s="1" t="s">
        <v>83</v>
      </c>
      <c r="X239" s="1" t="str">
        <f t="shared" si="88"/>
        <v>Technology</v>
      </c>
      <c r="Y239" s="1" t="s">
        <v>84</v>
      </c>
      <c r="Z239" s="1" t="str">
        <f t="shared" si="89"/>
        <v>Accessories</v>
      </c>
      <c r="AA239" s="1" t="s">
        <v>1840</v>
      </c>
      <c r="AB239" s="1" t="s">
        <v>1841</v>
      </c>
      <c r="AC239" s="1" t="str">
        <f t="shared" si="90"/>
        <v>First Class</v>
      </c>
      <c r="AD239" s="1" t="str">
        <f t="shared" si="91"/>
        <v>OK</v>
      </c>
      <c r="AE239" s="1">
        <v>9</v>
      </c>
      <c r="AF239" s="1">
        <v>3779.31</v>
      </c>
      <c r="AG239" s="9">
        <v>0.2</v>
      </c>
      <c r="AH239" s="9">
        <f t="shared" si="92"/>
        <v>0.2</v>
      </c>
      <c r="AI239" s="1" t="str">
        <f t="shared" si="93"/>
        <v>OK</v>
      </c>
      <c r="AJ239" s="1">
        <v>27322.9</v>
      </c>
      <c r="AK239" s="1">
        <v>17940.43</v>
      </c>
      <c r="AL239" s="1">
        <v>9270.6</v>
      </c>
      <c r="AM239" s="13">
        <f t="shared" si="94"/>
        <v>27211.032000000003</v>
      </c>
      <c r="AN239" s="9">
        <f t="shared" si="95"/>
        <v>9270.6020000000026</v>
      </c>
      <c r="AO239" s="9">
        <f t="shared" si="104"/>
        <v>0.34069277490100347</v>
      </c>
      <c r="AP239" s="1" t="s">
        <v>33</v>
      </c>
      <c r="AQ239" s="1" t="str">
        <f t="shared" si="96"/>
        <v>Paid</v>
      </c>
      <c r="AR239" s="1" t="str">
        <f t="shared" si="97"/>
        <v>OK</v>
      </c>
      <c r="AS239" s="1" t="s">
        <v>120</v>
      </c>
      <c r="AT239" s="4" t="str">
        <f t="shared" si="98"/>
        <v>Returned</v>
      </c>
      <c r="AU239" s="3" t="str">
        <f t="shared" si="99"/>
        <v>RETURNED_ORDER</v>
      </c>
      <c r="AV239" s="3" t="str">
        <f t="shared" si="105"/>
        <v>CLEAN</v>
      </c>
      <c r="AW239" t="str">
        <f t="shared" si="106"/>
        <v>MISMATCH</v>
      </c>
      <c r="AX239" t="str">
        <f t="shared" si="107"/>
        <v>MATCH</v>
      </c>
    </row>
    <row r="240" spans="1:50" ht="15.6">
      <c r="A240" s="1" t="s">
        <v>1842</v>
      </c>
      <c r="B240" s="1">
        <f t="shared" si="81"/>
        <v>1</v>
      </c>
      <c r="C240" s="16">
        <v>45469</v>
      </c>
      <c r="D240" s="16">
        <v>45469</v>
      </c>
      <c r="E240" s="16" t="str">
        <f t="shared" si="100"/>
        <v>Jun</v>
      </c>
      <c r="F240" s="1">
        <f t="shared" si="101"/>
        <v>2024</v>
      </c>
      <c r="G240" t="s">
        <v>1109</v>
      </c>
      <c r="H240" s="17">
        <v>45308</v>
      </c>
      <c r="I240" s="21">
        <f t="shared" si="102"/>
        <v>-161</v>
      </c>
      <c r="J240" s="6" t="str">
        <f t="shared" si="103"/>
        <v>INVALID_SHIPPING</v>
      </c>
      <c r="K240" s="1" t="s">
        <v>1845</v>
      </c>
      <c r="L240" s="1" t="s">
        <v>90</v>
      </c>
      <c r="M240" s="1" t="str">
        <f t="shared" si="82"/>
        <v>Neha Gupta</v>
      </c>
      <c r="N240" s="1" t="s">
        <v>104</v>
      </c>
      <c r="O240" s="1" t="str">
        <f t="shared" si="83"/>
        <v>Corporate</v>
      </c>
      <c r="P240" s="1" t="s">
        <v>26</v>
      </c>
      <c r="Q240" s="1" t="str">
        <f t="shared" si="84"/>
        <v>North</v>
      </c>
      <c r="R240" s="1" t="str">
        <f t="shared" si="85"/>
        <v>OK</v>
      </c>
      <c r="S240" s="1" t="s">
        <v>146</v>
      </c>
      <c r="T240" s="1" t="str">
        <f t="shared" si="86"/>
        <v>Punjab</v>
      </c>
      <c r="U240" s="1" t="s">
        <v>147</v>
      </c>
      <c r="V240" s="1" t="str">
        <f t="shared" si="87"/>
        <v>Ludhiana</v>
      </c>
      <c r="W240" s="1" t="s">
        <v>83</v>
      </c>
      <c r="X240" s="1" t="str">
        <f t="shared" si="88"/>
        <v>Technology</v>
      </c>
      <c r="Y240" s="1" t="s">
        <v>207</v>
      </c>
      <c r="Z240" s="1" t="str">
        <f t="shared" si="89"/>
        <v>Phones</v>
      </c>
      <c r="AA240" s="1" t="s">
        <v>1846</v>
      </c>
      <c r="AB240" s="1" t="s">
        <v>65</v>
      </c>
      <c r="AC240" s="1" t="str">
        <f t="shared" si="90"/>
        <v>Standard Class</v>
      </c>
      <c r="AD240" s="1" t="str">
        <f t="shared" si="91"/>
        <v>OK</v>
      </c>
      <c r="AE240" s="1">
        <v>8</v>
      </c>
      <c r="AF240" s="1">
        <v>804.52</v>
      </c>
      <c r="AG240" s="9">
        <v>0</v>
      </c>
      <c r="AH240" s="9">
        <f t="shared" si="92"/>
        <v>0</v>
      </c>
      <c r="AI240" s="1" t="str">
        <f t="shared" si="93"/>
        <v>OK</v>
      </c>
      <c r="AJ240" s="1">
        <v>6436.16</v>
      </c>
      <c r="AK240" s="1">
        <v>4263.83</v>
      </c>
      <c r="AL240" s="1">
        <v>2172.33</v>
      </c>
      <c r="AM240" s="13">
        <f t="shared" si="94"/>
        <v>6436.16</v>
      </c>
      <c r="AN240" s="9">
        <f t="shared" si="95"/>
        <v>2172.33</v>
      </c>
      <c r="AO240" s="9">
        <f t="shared" si="104"/>
        <v>0.33751957689056827</v>
      </c>
      <c r="AP240" s="1" t="s">
        <v>33</v>
      </c>
      <c r="AQ240" s="1" t="str">
        <f t="shared" si="96"/>
        <v>Paid</v>
      </c>
      <c r="AR240" s="1" t="str">
        <f t="shared" si="97"/>
        <v>OK</v>
      </c>
      <c r="AS240" s="1" t="s">
        <v>34</v>
      </c>
      <c r="AT240" s="4" t="str">
        <f t="shared" si="98"/>
        <v>Completed</v>
      </c>
      <c r="AU240" s="3" t="str">
        <f t="shared" si="99"/>
        <v>OK</v>
      </c>
      <c r="AV240" s="3" t="str">
        <f t="shared" si="105"/>
        <v>INVALID</v>
      </c>
      <c r="AW240" t="str">
        <f t="shared" si="106"/>
        <v>MATCH</v>
      </c>
      <c r="AX240" t="str">
        <f t="shared" si="107"/>
        <v>MATCH</v>
      </c>
    </row>
    <row r="241" spans="1:50" ht="15.6">
      <c r="A241" s="1" t="s">
        <v>1847</v>
      </c>
      <c r="B241" s="1">
        <f t="shared" si="81"/>
        <v>1</v>
      </c>
      <c r="C241" s="16">
        <v>45561</v>
      </c>
      <c r="D241" s="16">
        <v>45561</v>
      </c>
      <c r="E241" s="16" t="str">
        <f t="shared" si="100"/>
        <v>Sep</v>
      </c>
      <c r="F241" s="1">
        <f t="shared" si="101"/>
        <v>2024</v>
      </c>
      <c r="G241" t="s">
        <v>1001</v>
      </c>
      <c r="H241" s="17">
        <v>45556</v>
      </c>
      <c r="I241" s="21">
        <f t="shared" si="102"/>
        <v>-5</v>
      </c>
      <c r="J241" s="6" t="str">
        <f t="shared" si="103"/>
        <v>INVALID_SHIPPING</v>
      </c>
      <c r="K241" s="1" t="s">
        <v>1849</v>
      </c>
      <c r="L241" s="1" t="s">
        <v>52</v>
      </c>
      <c r="M241" s="1" t="str">
        <f t="shared" si="82"/>
        <v>Isha Nair</v>
      </c>
      <c r="N241" s="1" t="s">
        <v>110</v>
      </c>
      <c r="O241" s="1" t="str">
        <f t="shared" si="83"/>
        <v>Home Office</v>
      </c>
      <c r="P241" s="1" t="s">
        <v>26</v>
      </c>
      <c r="Q241" s="1" t="str">
        <f t="shared" si="84"/>
        <v>North</v>
      </c>
      <c r="R241" s="1" t="str">
        <f t="shared" si="85"/>
        <v>OK</v>
      </c>
      <c r="S241" s="1" t="s">
        <v>454</v>
      </c>
      <c r="T241" s="1" t="str">
        <f t="shared" si="86"/>
        <v>Delhi</v>
      </c>
      <c r="U241" s="1" t="s">
        <v>455</v>
      </c>
      <c r="V241" s="1" t="str">
        <f t="shared" si="87"/>
        <v>New Delhi</v>
      </c>
      <c r="W241" s="1" t="s">
        <v>29</v>
      </c>
      <c r="X241" s="1" t="str">
        <f t="shared" si="88"/>
        <v>Office Supplies</v>
      </c>
      <c r="Y241" s="1" t="s">
        <v>105</v>
      </c>
      <c r="Z241" s="1" t="str">
        <f t="shared" si="89"/>
        <v>Labels</v>
      </c>
      <c r="AA241" s="1" t="s">
        <v>1850</v>
      </c>
      <c r="AB241" s="1" t="s">
        <v>55</v>
      </c>
      <c r="AC241" s="1" t="str">
        <f t="shared" si="90"/>
        <v>First Class</v>
      </c>
      <c r="AD241" s="1" t="str">
        <f t="shared" si="91"/>
        <v>OK</v>
      </c>
      <c r="AE241" s="1">
        <v>2</v>
      </c>
      <c r="AF241" s="1">
        <v>1065.69</v>
      </c>
      <c r="AG241" s="9">
        <v>0.1</v>
      </c>
      <c r="AH241" s="9">
        <f t="shared" si="92"/>
        <v>0.1</v>
      </c>
      <c r="AI241" s="1" t="str">
        <f t="shared" si="93"/>
        <v>OK</v>
      </c>
      <c r="AJ241" s="1">
        <v>1918.24</v>
      </c>
      <c r="AK241" s="1">
        <v>1373.52</v>
      </c>
      <c r="AL241" s="1">
        <v>544.72</v>
      </c>
      <c r="AM241" s="13">
        <f t="shared" si="94"/>
        <v>1918.2420000000002</v>
      </c>
      <c r="AN241" s="9">
        <f t="shared" si="95"/>
        <v>544.72200000000021</v>
      </c>
      <c r="AO241" s="9">
        <f t="shared" si="104"/>
        <v>0.2839693844676533</v>
      </c>
      <c r="AP241" s="1" t="s">
        <v>119</v>
      </c>
      <c r="AQ241" s="1" t="str">
        <f t="shared" si="96"/>
        <v>Refunded</v>
      </c>
      <c r="AR241" s="1" t="str">
        <f t="shared" si="97"/>
        <v>REFUNDED_PAYMENT</v>
      </c>
      <c r="AS241" s="1" t="s">
        <v>76</v>
      </c>
      <c r="AT241" s="4" t="str">
        <f t="shared" si="98"/>
        <v>Cancelled</v>
      </c>
      <c r="AU241" s="3" t="str">
        <f t="shared" si="99"/>
        <v>EXCLUDE_FROM_SALES</v>
      </c>
      <c r="AV241" s="3" t="str">
        <f t="shared" si="105"/>
        <v>INVALID</v>
      </c>
      <c r="AW241" t="str">
        <f t="shared" si="106"/>
        <v>MATCH</v>
      </c>
      <c r="AX241" t="str">
        <f t="shared" si="107"/>
        <v>MATCH</v>
      </c>
    </row>
    <row r="242" spans="1:50" ht="15.6" hidden="1">
      <c r="A242" s="1" t="s">
        <v>1851</v>
      </c>
      <c r="B242" s="1">
        <f t="shared" si="81"/>
        <v>1</v>
      </c>
      <c r="C242" s="16">
        <v>45473</v>
      </c>
      <c r="D242" s="16">
        <v>45473</v>
      </c>
      <c r="E242" s="16" t="str">
        <f t="shared" si="100"/>
        <v>Jun</v>
      </c>
      <c r="F242" s="1">
        <f t="shared" si="101"/>
        <v>2024</v>
      </c>
      <c r="G242" t="s">
        <v>733</v>
      </c>
      <c r="H242" s="17">
        <v>45649</v>
      </c>
      <c r="I242" s="21">
        <f t="shared" si="102"/>
        <v>176</v>
      </c>
      <c r="J242" s="6" t="str">
        <f t="shared" si="103"/>
        <v>OK</v>
      </c>
      <c r="K242" s="1" t="s">
        <v>1853</v>
      </c>
      <c r="L242" s="1" t="s">
        <v>103</v>
      </c>
      <c r="M242" s="1" t="str">
        <f t="shared" si="82"/>
        <v>Aditi Sen</v>
      </c>
      <c r="N242" s="1" t="s">
        <v>25</v>
      </c>
      <c r="O242" s="1" t="str">
        <f t="shared" si="83"/>
        <v>Consumer</v>
      </c>
      <c r="P242" s="1" t="s">
        <v>26</v>
      </c>
      <c r="Q242" s="1" t="str">
        <f t="shared" si="84"/>
        <v>North</v>
      </c>
      <c r="R242" s="1" t="str">
        <f t="shared" si="85"/>
        <v>OK</v>
      </c>
      <c r="S242" s="1" t="s">
        <v>294</v>
      </c>
      <c r="T242" s="1" t="str">
        <f t="shared" si="86"/>
        <v>Haryana</v>
      </c>
      <c r="U242" s="1" t="s">
        <v>295</v>
      </c>
      <c r="V242" s="1" t="str">
        <f t="shared" si="87"/>
        <v>Gurugram</v>
      </c>
      <c r="W242" s="1" t="s">
        <v>83</v>
      </c>
      <c r="X242" s="1" t="str">
        <f t="shared" si="88"/>
        <v>Technology</v>
      </c>
      <c r="Y242" s="1" t="s">
        <v>91</v>
      </c>
      <c r="Z242" s="1" t="str">
        <f t="shared" si="89"/>
        <v>Copiers</v>
      </c>
      <c r="AA242" s="1" t="s">
        <v>1854</v>
      </c>
      <c r="AB242" s="1" t="s">
        <v>47</v>
      </c>
      <c r="AC242" s="1" t="str">
        <f t="shared" si="90"/>
        <v>Same Day</v>
      </c>
      <c r="AD242" s="1" t="str">
        <f t="shared" si="91"/>
        <v>OK</v>
      </c>
      <c r="AE242" s="1">
        <v>8</v>
      </c>
      <c r="AF242" s="1">
        <v>3756.66</v>
      </c>
      <c r="AG242" s="9">
        <v>0.1</v>
      </c>
      <c r="AH242" s="9">
        <f t="shared" si="92"/>
        <v>0.1</v>
      </c>
      <c r="AI242" s="1" t="str">
        <f t="shared" si="93"/>
        <v>OK</v>
      </c>
      <c r="AJ242" s="1">
        <v>27047.95</v>
      </c>
      <c r="AK242" s="1">
        <v>18431.330000000002</v>
      </c>
      <c r="AL242" s="1">
        <v>8616.6200000000008</v>
      </c>
      <c r="AM242" s="13">
        <f t="shared" si="94"/>
        <v>27047.952000000001</v>
      </c>
      <c r="AN242" s="9">
        <f t="shared" si="95"/>
        <v>8616.6219999999994</v>
      </c>
      <c r="AO242" s="9">
        <f t="shared" si="104"/>
        <v>0.31856837072174626</v>
      </c>
      <c r="AP242" s="1" t="s">
        <v>33</v>
      </c>
      <c r="AQ242" s="1" t="str">
        <f t="shared" si="96"/>
        <v>Paid</v>
      </c>
      <c r="AR242" s="1" t="str">
        <f t="shared" si="97"/>
        <v>OK</v>
      </c>
      <c r="AS242" s="1" t="s">
        <v>34</v>
      </c>
      <c r="AT242" s="4" t="str">
        <f t="shared" si="98"/>
        <v>Completed</v>
      </c>
      <c r="AU242" s="3" t="str">
        <f t="shared" si="99"/>
        <v>OK</v>
      </c>
      <c r="AV242" s="3" t="str">
        <f t="shared" si="105"/>
        <v>CLEAN</v>
      </c>
      <c r="AW242" t="str">
        <f t="shared" si="106"/>
        <v>MATCH</v>
      </c>
      <c r="AX242" t="str">
        <f t="shared" si="107"/>
        <v>MATCH</v>
      </c>
    </row>
    <row r="243" spans="1:50" ht="15.6" hidden="1">
      <c r="A243" s="1" t="s">
        <v>1868</v>
      </c>
      <c r="B243" s="1">
        <f t="shared" si="81"/>
        <v>1</v>
      </c>
      <c r="C243" s="16">
        <v>45534</v>
      </c>
      <c r="D243" s="16">
        <v>45534</v>
      </c>
      <c r="E243" s="16" t="str">
        <f t="shared" si="100"/>
        <v>Aug</v>
      </c>
      <c r="F243" s="1">
        <f t="shared" si="101"/>
        <v>2024</v>
      </c>
      <c r="G243" t="s">
        <v>1119</v>
      </c>
      <c r="H243" s="17">
        <v>45815</v>
      </c>
      <c r="I243" s="21">
        <f t="shared" si="102"/>
        <v>281</v>
      </c>
      <c r="J243" s="6" t="str">
        <f t="shared" si="103"/>
        <v>OK</v>
      </c>
      <c r="K243" s="1" t="s">
        <v>1870</v>
      </c>
      <c r="L243" s="1" t="s">
        <v>90</v>
      </c>
      <c r="M243" s="1" t="str">
        <f t="shared" si="82"/>
        <v>Neha Gupta</v>
      </c>
      <c r="N243" s="1" t="s">
        <v>40</v>
      </c>
      <c r="O243" s="1" t="str">
        <f t="shared" si="83"/>
        <v>Small Business</v>
      </c>
      <c r="P243" s="1" t="s">
        <v>26</v>
      </c>
      <c r="Q243" s="1" t="str">
        <f t="shared" si="84"/>
        <v>North</v>
      </c>
      <c r="R243" s="1" t="str">
        <f t="shared" si="85"/>
        <v>OK</v>
      </c>
      <c r="S243" s="1" t="s">
        <v>294</v>
      </c>
      <c r="T243" s="1" t="str">
        <f t="shared" si="86"/>
        <v>Haryana</v>
      </c>
      <c r="U243" s="1" t="s">
        <v>295</v>
      </c>
      <c r="V243" s="1" t="str">
        <f t="shared" si="87"/>
        <v>Gurugram</v>
      </c>
      <c r="W243" s="1" t="s">
        <v>29</v>
      </c>
      <c r="X243" s="1" t="str">
        <f t="shared" si="88"/>
        <v>Office Supplies</v>
      </c>
      <c r="Y243" s="1" t="s">
        <v>30</v>
      </c>
      <c r="Z243" s="1" t="str">
        <f t="shared" si="89"/>
        <v>Paper</v>
      </c>
      <c r="AA243" s="1" t="s">
        <v>1871</v>
      </c>
      <c r="AB243" s="1" t="s">
        <v>32</v>
      </c>
      <c r="AC243" s="1" t="str">
        <f t="shared" si="90"/>
        <v>Second Class</v>
      </c>
      <c r="AD243" s="1" t="str">
        <f t="shared" si="91"/>
        <v>OK</v>
      </c>
      <c r="AE243" s="1">
        <v>1</v>
      </c>
      <c r="AF243" s="1">
        <v>4320.84</v>
      </c>
      <c r="AG243" s="9">
        <v>0.15</v>
      </c>
      <c r="AH243" s="9">
        <f t="shared" si="92"/>
        <v>0.15</v>
      </c>
      <c r="AI243" s="1" t="str">
        <f t="shared" si="93"/>
        <v>OK</v>
      </c>
      <c r="AJ243" s="1">
        <v>3672.71</v>
      </c>
      <c r="AK243" s="1">
        <v>2714.23</v>
      </c>
      <c r="AL243" s="1">
        <v>763.38</v>
      </c>
      <c r="AM243" s="13">
        <f t="shared" si="94"/>
        <v>3672.7139999999999</v>
      </c>
      <c r="AN243" s="9">
        <f t="shared" si="95"/>
        <v>958.48399999999992</v>
      </c>
      <c r="AO243" s="9">
        <f t="shared" si="104"/>
        <v>0.26097430946161337</v>
      </c>
      <c r="AP243" s="1" t="s">
        <v>33</v>
      </c>
      <c r="AQ243" s="1" t="str">
        <f t="shared" si="96"/>
        <v>Paid</v>
      </c>
      <c r="AR243" s="1" t="str">
        <f t="shared" si="97"/>
        <v>OK</v>
      </c>
      <c r="AS243" s="1" t="s">
        <v>34</v>
      </c>
      <c r="AT243" s="4" t="str">
        <f t="shared" si="98"/>
        <v>Completed</v>
      </c>
      <c r="AU243" s="3" t="str">
        <f t="shared" si="99"/>
        <v>OK</v>
      </c>
      <c r="AV243" s="3" t="str">
        <f t="shared" si="105"/>
        <v>CLEAN</v>
      </c>
      <c r="AW243" t="str">
        <f t="shared" si="106"/>
        <v>MATCH</v>
      </c>
      <c r="AX243" t="str">
        <f t="shared" si="107"/>
        <v>MISMATCH</v>
      </c>
    </row>
    <row r="244" spans="1:50" ht="15.6" hidden="1">
      <c r="A244" s="1" t="s">
        <v>1872</v>
      </c>
      <c r="B244" s="1">
        <f t="shared" si="81"/>
        <v>1</v>
      </c>
      <c r="C244" s="16">
        <v>45567</v>
      </c>
      <c r="D244" s="16">
        <v>45567</v>
      </c>
      <c r="E244" s="16" t="str">
        <f t="shared" si="100"/>
        <v>Oct</v>
      </c>
      <c r="F244" s="1">
        <f t="shared" si="101"/>
        <v>2024</v>
      </c>
      <c r="G244" t="s">
        <v>1123</v>
      </c>
      <c r="H244" s="17">
        <v>45695</v>
      </c>
      <c r="I244" s="21">
        <f t="shared" si="102"/>
        <v>128</v>
      </c>
      <c r="J244" s="6" t="str">
        <f t="shared" si="103"/>
        <v>OK</v>
      </c>
      <c r="K244" s="1" t="s">
        <v>1875</v>
      </c>
      <c r="L244" s="1" t="s">
        <v>24</v>
      </c>
      <c r="M244" s="1" t="str">
        <f t="shared" si="82"/>
        <v>Karan Malhotra</v>
      </c>
      <c r="N244" s="1" t="s">
        <v>110</v>
      </c>
      <c r="O244" s="1" t="str">
        <f t="shared" si="83"/>
        <v>Home Office</v>
      </c>
      <c r="P244" s="1" t="s">
        <v>71</v>
      </c>
      <c r="Q244" s="1" t="str">
        <f t="shared" si="84"/>
        <v>West</v>
      </c>
      <c r="R244" s="1" t="str">
        <f t="shared" si="85"/>
        <v>OK</v>
      </c>
      <c r="S244" s="1" t="s">
        <v>230</v>
      </c>
      <c r="T244" s="1" t="str">
        <f t="shared" si="86"/>
        <v>Goa</v>
      </c>
      <c r="U244" s="1" t="s">
        <v>231</v>
      </c>
      <c r="V244" s="1" t="str">
        <f t="shared" si="87"/>
        <v>Panaji</v>
      </c>
      <c r="W244" s="1" t="s">
        <v>83</v>
      </c>
      <c r="X244" s="1" t="str">
        <f t="shared" si="88"/>
        <v>Technology</v>
      </c>
      <c r="Y244" s="1" t="s">
        <v>347</v>
      </c>
      <c r="Z244" s="1" t="str">
        <f t="shared" si="89"/>
        <v>Machines</v>
      </c>
      <c r="AA244" s="1" t="s">
        <v>1876</v>
      </c>
      <c r="AB244" s="1" t="s">
        <v>47</v>
      </c>
      <c r="AC244" s="1" t="str">
        <f t="shared" si="90"/>
        <v>Same Day</v>
      </c>
      <c r="AD244" s="1" t="str">
        <f t="shared" si="91"/>
        <v>OK</v>
      </c>
      <c r="AE244" s="1">
        <v>2</v>
      </c>
      <c r="AF244" s="1">
        <v>4118.45</v>
      </c>
      <c r="AG244" s="9">
        <v>0.25</v>
      </c>
      <c r="AH244" s="9">
        <f t="shared" si="92"/>
        <v>0.25</v>
      </c>
      <c r="AI244" s="1" t="str">
        <f t="shared" si="93"/>
        <v>OK</v>
      </c>
      <c r="AJ244" s="1">
        <v>6177.67</v>
      </c>
      <c r="AK244" s="1">
        <v>4520.75</v>
      </c>
      <c r="AL244" s="1">
        <v>1656.92</v>
      </c>
      <c r="AM244" s="13">
        <f t="shared" si="94"/>
        <v>6177.6749999999993</v>
      </c>
      <c r="AN244" s="9">
        <f t="shared" si="95"/>
        <v>1656.9249999999993</v>
      </c>
      <c r="AO244" s="9">
        <f t="shared" si="104"/>
        <v>0.26821174632851347</v>
      </c>
      <c r="AP244" s="1" t="s">
        <v>33</v>
      </c>
      <c r="AQ244" s="1" t="str">
        <f t="shared" si="96"/>
        <v>Paid</v>
      </c>
      <c r="AR244" s="1" t="str">
        <f t="shared" si="97"/>
        <v>OK</v>
      </c>
      <c r="AS244" s="1" t="s">
        <v>34</v>
      </c>
      <c r="AT244" s="4" t="str">
        <f t="shared" si="98"/>
        <v>Completed</v>
      </c>
      <c r="AU244" s="3" t="str">
        <f t="shared" si="99"/>
        <v>OK</v>
      </c>
      <c r="AV244" s="3" t="str">
        <f t="shared" si="105"/>
        <v>CLEAN</v>
      </c>
      <c r="AW244" t="str">
        <f t="shared" si="106"/>
        <v>MISMATCH</v>
      </c>
      <c r="AX244" t="str">
        <f t="shared" si="107"/>
        <v>MISMATCH</v>
      </c>
    </row>
    <row r="245" spans="1:50" ht="15.6" hidden="1">
      <c r="A245" s="1" t="s">
        <v>1877</v>
      </c>
      <c r="B245" s="1">
        <f t="shared" si="81"/>
        <v>1</v>
      </c>
      <c r="C245" s="16">
        <v>45533</v>
      </c>
      <c r="D245" s="16">
        <v>45533</v>
      </c>
      <c r="E245" s="16" t="str">
        <f t="shared" si="100"/>
        <v>Aug</v>
      </c>
      <c r="F245" s="1">
        <f t="shared" si="101"/>
        <v>2024</v>
      </c>
      <c r="G245" t="s">
        <v>1127</v>
      </c>
      <c r="H245" s="17">
        <v>45871</v>
      </c>
      <c r="I245" s="21">
        <f t="shared" si="102"/>
        <v>338</v>
      </c>
      <c r="J245" s="6" t="str">
        <f t="shared" si="103"/>
        <v>OK</v>
      </c>
      <c r="K245" s="1" t="s">
        <v>1878</v>
      </c>
      <c r="L245" s="1" t="s">
        <v>136</v>
      </c>
      <c r="M245" s="1" t="str">
        <f t="shared" si="82"/>
        <v>Priya Menon</v>
      </c>
      <c r="N245" s="1" t="s">
        <v>40</v>
      </c>
      <c r="O245" s="1" t="str">
        <f t="shared" si="83"/>
        <v>Small Business</v>
      </c>
      <c r="P245" s="1" t="s">
        <v>71</v>
      </c>
      <c r="Q245" s="1" t="str">
        <f t="shared" si="84"/>
        <v>West</v>
      </c>
      <c r="R245" s="1" t="str">
        <f t="shared" si="85"/>
        <v>OK</v>
      </c>
      <c r="S245" s="1" t="s">
        <v>72</v>
      </c>
      <c r="T245" s="1" t="str">
        <f t="shared" si="86"/>
        <v>Maharashtra</v>
      </c>
      <c r="U245" s="1" t="s">
        <v>73</v>
      </c>
      <c r="V245" s="1" t="str">
        <f t="shared" si="87"/>
        <v>Mumbai</v>
      </c>
      <c r="W245" s="1" t="s">
        <v>44</v>
      </c>
      <c r="X245" s="1" t="str">
        <f t="shared" si="88"/>
        <v>Furniture</v>
      </c>
      <c r="Y245" s="1" t="s">
        <v>190</v>
      </c>
      <c r="Z245" s="1" t="str">
        <f t="shared" si="89"/>
        <v>Bookcases</v>
      </c>
      <c r="AA245" s="1" t="s">
        <v>1879</v>
      </c>
      <c r="AB245" s="1" t="s">
        <v>65</v>
      </c>
      <c r="AC245" s="1" t="str">
        <f t="shared" si="90"/>
        <v>Standard Class</v>
      </c>
      <c r="AD245" s="1" t="str">
        <f t="shared" si="91"/>
        <v>OK</v>
      </c>
      <c r="AE245" s="1">
        <v>6</v>
      </c>
      <c r="AF245" s="1">
        <v>172.82</v>
      </c>
      <c r="AG245" s="9">
        <v>0.05</v>
      </c>
      <c r="AH245" s="9">
        <f t="shared" si="92"/>
        <v>0.05</v>
      </c>
      <c r="AI245" s="1" t="str">
        <f t="shared" si="93"/>
        <v>OK</v>
      </c>
      <c r="AJ245" s="1">
        <v>985.07</v>
      </c>
      <c r="AK245" s="1">
        <v>844.48</v>
      </c>
      <c r="AL245" s="1">
        <v>140.59</v>
      </c>
      <c r="AM245" s="13">
        <f t="shared" si="94"/>
        <v>985.07400000000007</v>
      </c>
      <c r="AN245" s="9">
        <f t="shared" si="95"/>
        <v>140.59400000000005</v>
      </c>
      <c r="AO245" s="9">
        <f t="shared" si="104"/>
        <v>0.14272430294576857</v>
      </c>
      <c r="AP245" s="1" t="s">
        <v>33</v>
      </c>
      <c r="AQ245" s="1" t="str">
        <f t="shared" si="96"/>
        <v>Paid</v>
      </c>
      <c r="AR245" s="1" t="str">
        <f t="shared" si="97"/>
        <v>OK</v>
      </c>
      <c r="AS245" s="1" t="s">
        <v>34</v>
      </c>
      <c r="AT245" s="4" t="str">
        <f t="shared" si="98"/>
        <v>Completed</v>
      </c>
      <c r="AU245" s="3" t="str">
        <f t="shared" si="99"/>
        <v>OK</v>
      </c>
      <c r="AV245" s="3" t="str">
        <f t="shared" si="105"/>
        <v>CLEAN</v>
      </c>
      <c r="AW245" t="str">
        <f t="shared" si="106"/>
        <v>MATCH</v>
      </c>
      <c r="AX245" t="str">
        <f t="shared" si="107"/>
        <v>MATCH</v>
      </c>
    </row>
    <row r="246" spans="1:50" ht="15.6" hidden="1">
      <c r="A246" s="1" t="s">
        <v>1880</v>
      </c>
      <c r="B246" s="1">
        <f t="shared" si="81"/>
        <v>1</v>
      </c>
      <c r="C246" s="16">
        <v>45401</v>
      </c>
      <c r="D246" s="16">
        <v>45401</v>
      </c>
      <c r="E246" s="16" t="str">
        <f t="shared" si="100"/>
        <v>Apr</v>
      </c>
      <c r="F246" s="1">
        <f t="shared" si="101"/>
        <v>2024</v>
      </c>
      <c r="G246" t="s">
        <v>1131</v>
      </c>
      <c r="H246" s="17">
        <v>45528</v>
      </c>
      <c r="I246" s="21">
        <f t="shared" si="102"/>
        <v>127</v>
      </c>
      <c r="J246" s="6" t="str">
        <f t="shared" si="103"/>
        <v>OK</v>
      </c>
      <c r="K246" s="1" t="s">
        <v>1882</v>
      </c>
      <c r="L246" s="1" t="s">
        <v>136</v>
      </c>
      <c r="M246" s="1" t="str">
        <f t="shared" si="82"/>
        <v>Priya Menon</v>
      </c>
      <c r="N246" s="1" t="s">
        <v>104</v>
      </c>
      <c r="O246" s="1" t="str">
        <f t="shared" si="83"/>
        <v>Corporate</v>
      </c>
      <c r="P246" s="1" t="s">
        <v>60</v>
      </c>
      <c r="Q246" s="1" t="str">
        <f t="shared" si="84"/>
        <v>South</v>
      </c>
      <c r="R246" s="1" t="str">
        <f t="shared" si="85"/>
        <v>OK</v>
      </c>
      <c r="S246" s="1" t="s">
        <v>224</v>
      </c>
      <c r="T246" s="1" t="str">
        <f t="shared" si="86"/>
        <v>Kerala</v>
      </c>
      <c r="U246" s="1" t="s">
        <v>225</v>
      </c>
      <c r="V246" s="1" t="str">
        <f t="shared" si="87"/>
        <v>Kochi</v>
      </c>
      <c r="W246" s="1" t="s">
        <v>29</v>
      </c>
      <c r="X246" s="1" t="str">
        <f t="shared" si="88"/>
        <v>Office Supplies</v>
      </c>
      <c r="Y246" s="1" t="s">
        <v>53</v>
      </c>
      <c r="Z246" s="1" t="str">
        <f t="shared" si="89"/>
        <v>Art</v>
      </c>
      <c r="AA246" s="1" t="s">
        <v>1883</v>
      </c>
      <c r="AB246" s="1" t="s">
        <v>32</v>
      </c>
      <c r="AC246" s="1" t="str">
        <f t="shared" si="90"/>
        <v>Second Class</v>
      </c>
      <c r="AD246" s="1" t="str">
        <f t="shared" si="91"/>
        <v>OK</v>
      </c>
      <c r="AE246" s="1">
        <v>4</v>
      </c>
      <c r="AF246" s="1">
        <v>1540.22</v>
      </c>
      <c r="AG246" s="9">
        <v>0</v>
      </c>
      <c r="AH246" s="9">
        <f t="shared" si="92"/>
        <v>0</v>
      </c>
      <c r="AI246" s="1" t="str">
        <f t="shared" si="93"/>
        <v>OK</v>
      </c>
      <c r="AJ246" s="1">
        <v>6160.88</v>
      </c>
      <c r="AK246" s="1">
        <v>4938.7</v>
      </c>
      <c r="AL246" s="1">
        <v>1222.18</v>
      </c>
      <c r="AM246" s="13">
        <f t="shared" si="94"/>
        <v>6160.88</v>
      </c>
      <c r="AN246" s="9">
        <f t="shared" si="95"/>
        <v>1222.1800000000003</v>
      </c>
      <c r="AO246" s="9">
        <f t="shared" si="104"/>
        <v>0.19837750451234243</v>
      </c>
      <c r="AP246" s="1" t="s">
        <v>119</v>
      </c>
      <c r="AQ246" s="1" t="str">
        <f t="shared" si="96"/>
        <v>Refunded</v>
      </c>
      <c r="AR246" s="1" t="str">
        <f t="shared" si="97"/>
        <v>REFUNDED_PAYMENT</v>
      </c>
      <c r="AS246" s="1" t="s">
        <v>120</v>
      </c>
      <c r="AT246" s="4" t="str">
        <f t="shared" si="98"/>
        <v>Returned</v>
      </c>
      <c r="AU246" s="3" t="str">
        <f t="shared" si="99"/>
        <v>RETURNED_ORDER</v>
      </c>
      <c r="AV246" s="3" t="str">
        <f t="shared" si="105"/>
        <v>CLEAN</v>
      </c>
      <c r="AW246" t="str">
        <f t="shared" si="106"/>
        <v>MATCH</v>
      </c>
      <c r="AX246" t="str">
        <f t="shared" si="107"/>
        <v>MATCH</v>
      </c>
    </row>
    <row r="247" spans="1:50" ht="15.6" hidden="1">
      <c r="A247" s="1" t="s">
        <v>1891</v>
      </c>
      <c r="B247" s="1">
        <f t="shared" si="81"/>
        <v>1</v>
      </c>
      <c r="C247" s="16">
        <v>45459</v>
      </c>
      <c r="D247" s="16">
        <v>45459</v>
      </c>
      <c r="E247" s="16" t="str">
        <f t="shared" si="100"/>
        <v>Jun</v>
      </c>
      <c r="F247" s="1">
        <f t="shared" si="101"/>
        <v>2024</v>
      </c>
      <c r="G247" t="s">
        <v>773</v>
      </c>
      <c r="H247" s="17">
        <v>45589</v>
      </c>
      <c r="I247" s="21">
        <f t="shared" si="102"/>
        <v>130</v>
      </c>
      <c r="J247" s="6" t="str">
        <f t="shared" si="103"/>
        <v>OK</v>
      </c>
      <c r="K247" s="1" t="s">
        <v>1893</v>
      </c>
      <c r="L247" s="1" t="s">
        <v>90</v>
      </c>
      <c r="M247" s="1" t="str">
        <f t="shared" si="82"/>
        <v>Neha Gupta</v>
      </c>
      <c r="N247" s="1" t="s">
        <v>25</v>
      </c>
      <c r="O247" s="1" t="str">
        <f t="shared" si="83"/>
        <v>Consumer</v>
      </c>
      <c r="P247" s="1" t="s">
        <v>60</v>
      </c>
      <c r="Q247" s="1" t="str">
        <f t="shared" si="84"/>
        <v>South</v>
      </c>
      <c r="R247" s="1" t="str">
        <f t="shared" si="85"/>
        <v>OK</v>
      </c>
      <c r="S247" s="1" t="s">
        <v>224</v>
      </c>
      <c r="T247" s="1" t="str">
        <f t="shared" si="86"/>
        <v>Kerala</v>
      </c>
      <c r="U247" s="1" t="s">
        <v>225</v>
      </c>
      <c r="V247" s="1" t="str">
        <f t="shared" si="87"/>
        <v>Kochi</v>
      </c>
      <c r="W247" s="1" t="s">
        <v>44</v>
      </c>
      <c r="X247" s="1" t="str">
        <f t="shared" si="88"/>
        <v>Furniture</v>
      </c>
      <c r="Y247" s="1" t="s">
        <v>63</v>
      </c>
      <c r="Z247" s="1" t="str">
        <f t="shared" si="89"/>
        <v>Furnishings</v>
      </c>
      <c r="AA247" s="1" t="s">
        <v>1894</v>
      </c>
      <c r="AB247" s="1" t="s">
        <v>47</v>
      </c>
      <c r="AC247" s="1" t="str">
        <f t="shared" si="90"/>
        <v>Same Day</v>
      </c>
      <c r="AD247" s="1" t="str">
        <f t="shared" si="91"/>
        <v>OK</v>
      </c>
      <c r="AE247" s="1">
        <v>6</v>
      </c>
      <c r="AF247" s="1">
        <v>1156.78</v>
      </c>
      <c r="AG247" s="9">
        <v>0.05</v>
      </c>
      <c r="AH247" s="9">
        <f t="shared" si="92"/>
        <v>0.05</v>
      </c>
      <c r="AI247" s="1" t="str">
        <f t="shared" si="93"/>
        <v>OK</v>
      </c>
      <c r="AJ247" s="1">
        <v>6593.65</v>
      </c>
      <c r="AK247" s="1">
        <v>4359.3900000000003</v>
      </c>
      <c r="AL247" s="1">
        <v>2234.2600000000002</v>
      </c>
      <c r="AM247" s="13">
        <f t="shared" si="94"/>
        <v>6593.6459999999997</v>
      </c>
      <c r="AN247" s="9">
        <f t="shared" si="95"/>
        <v>2234.2559999999994</v>
      </c>
      <c r="AO247" s="9">
        <f t="shared" si="104"/>
        <v>0.33884985636171544</v>
      </c>
      <c r="AP247" s="1" t="s">
        <v>33</v>
      </c>
      <c r="AQ247" s="1" t="str">
        <f t="shared" si="96"/>
        <v>Paid</v>
      </c>
      <c r="AR247" s="1" t="str">
        <f t="shared" si="97"/>
        <v>OK</v>
      </c>
      <c r="AS247" s="1" t="s">
        <v>120</v>
      </c>
      <c r="AT247" s="4" t="str">
        <f t="shared" si="98"/>
        <v>Returned</v>
      </c>
      <c r="AU247" s="3" t="str">
        <f t="shared" si="99"/>
        <v>RETURNED_ORDER</v>
      </c>
      <c r="AV247" s="3" t="str">
        <f t="shared" si="105"/>
        <v>CLEAN</v>
      </c>
      <c r="AW247" t="str">
        <f t="shared" si="106"/>
        <v>MATCH</v>
      </c>
      <c r="AX247" t="str">
        <f t="shared" si="107"/>
        <v>MATCH</v>
      </c>
    </row>
    <row r="248" spans="1:50" ht="15.6" hidden="1">
      <c r="A248" s="1" t="s">
        <v>1895</v>
      </c>
      <c r="B248" s="1">
        <f t="shared" si="81"/>
        <v>1</v>
      </c>
      <c r="C248" s="16">
        <v>45337</v>
      </c>
      <c r="D248" s="16">
        <v>45337</v>
      </c>
      <c r="E248" s="16" t="str">
        <f t="shared" si="100"/>
        <v>Feb</v>
      </c>
      <c r="F248" s="1">
        <f t="shared" si="101"/>
        <v>2024</v>
      </c>
      <c r="G248" t="s">
        <v>1140</v>
      </c>
      <c r="H248" s="17">
        <v>45421</v>
      </c>
      <c r="I248" s="21">
        <f t="shared" si="102"/>
        <v>84</v>
      </c>
      <c r="J248" s="6" t="str">
        <f t="shared" si="103"/>
        <v>OK</v>
      </c>
      <c r="K248" s="1" t="s">
        <v>1897</v>
      </c>
      <c r="L248" s="1" t="s">
        <v>103</v>
      </c>
      <c r="M248" s="1" t="str">
        <f t="shared" si="82"/>
        <v>Aditi Sen</v>
      </c>
      <c r="N248" s="1" t="s">
        <v>40</v>
      </c>
      <c r="O248" s="1" t="str">
        <f t="shared" si="83"/>
        <v>Small Business</v>
      </c>
      <c r="P248" s="1" t="s">
        <v>60</v>
      </c>
      <c r="Q248" s="1" t="str">
        <f t="shared" si="84"/>
        <v>South</v>
      </c>
      <c r="R248" s="1" t="str">
        <f t="shared" si="85"/>
        <v>OK</v>
      </c>
      <c r="S248" s="1" t="s">
        <v>224</v>
      </c>
      <c r="T248" s="1" t="str">
        <f t="shared" si="86"/>
        <v>Kerala</v>
      </c>
      <c r="U248" s="1" t="s">
        <v>225</v>
      </c>
      <c r="V248" s="1" t="str">
        <f t="shared" si="87"/>
        <v>Kochi</v>
      </c>
      <c r="W248" s="1" t="s">
        <v>83</v>
      </c>
      <c r="X248" s="1" t="str">
        <f t="shared" si="88"/>
        <v>Technology</v>
      </c>
      <c r="Y248" s="1" t="s">
        <v>84</v>
      </c>
      <c r="Z248" s="1" t="str">
        <f t="shared" si="89"/>
        <v>Accessories</v>
      </c>
      <c r="AA248" s="1" t="s">
        <v>1898</v>
      </c>
      <c r="AB248" s="1" t="s">
        <v>47</v>
      </c>
      <c r="AC248" s="1" t="str">
        <f t="shared" si="90"/>
        <v>Same Day</v>
      </c>
      <c r="AD248" s="1" t="str">
        <f t="shared" si="91"/>
        <v>OK</v>
      </c>
      <c r="AE248" s="1">
        <v>8</v>
      </c>
      <c r="AF248" s="1">
        <v>379.82</v>
      </c>
      <c r="AG248" s="9">
        <v>0.05</v>
      </c>
      <c r="AH248" s="9">
        <f t="shared" si="92"/>
        <v>0.05</v>
      </c>
      <c r="AI248" s="1" t="str">
        <f t="shared" si="93"/>
        <v>OK</v>
      </c>
      <c r="AJ248" s="1">
        <v>2886.63</v>
      </c>
      <c r="AK248" s="1">
        <v>1588.23</v>
      </c>
      <c r="AL248" s="1">
        <v>1298.4000000000001</v>
      </c>
      <c r="AM248" s="13">
        <f t="shared" si="94"/>
        <v>2886.6319999999996</v>
      </c>
      <c r="AN248" s="9">
        <f t="shared" si="95"/>
        <v>1298.4019999999996</v>
      </c>
      <c r="AO248" s="9">
        <f t="shared" si="104"/>
        <v>0.44979824238073984</v>
      </c>
      <c r="AP248" s="1" t="s">
        <v>186</v>
      </c>
      <c r="AQ248" s="1" t="str">
        <f t="shared" si="96"/>
        <v>Failed</v>
      </c>
      <c r="AR248" s="1" t="str">
        <f t="shared" si="97"/>
        <v>EXCLUDE_FROM_SALES</v>
      </c>
      <c r="AS248" s="1" t="s">
        <v>120</v>
      </c>
      <c r="AT248" s="4" t="str">
        <f t="shared" si="98"/>
        <v>Returned</v>
      </c>
      <c r="AU248" s="3" t="str">
        <f t="shared" si="99"/>
        <v>RETURNED_ORDER</v>
      </c>
      <c r="AV248" s="3" t="str">
        <f t="shared" si="105"/>
        <v>CLEAN</v>
      </c>
      <c r="AW248" t="str">
        <f t="shared" si="106"/>
        <v>MATCH</v>
      </c>
      <c r="AX248" t="str">
        <f t="shared" si="107"/>
        <v>MATCH</v>
      </c>
    </row>
    <row r="249" spans="1:50" ht="15.6" hidden="1">
      <c r="A249" s="1" t="s">
        <v>1907</v>
      </c>
      <c r="B249" s="1">
        <f t="shared" si="81"/>
        <v>1</v>
      </c>
      <c r="C249" s="16">
        <v>45326</v>
      </c>
      <c r="D249" s="16">
        <v>45326</v>
      </c>
      <c r="E249" s="16" t="str">
        <f t="shared" si="100"/>
        <v>Feb</v>
      </c>
      <c r="F249" s="1">
        <f t="shared" si="101"/>
        <v>2024</v>
      </c>
      <c r="G249" t="s">
        <v>1144</v>
      </c>
      <c r="H249" s="17">
        <v>45505</v>
      </c>
      <c r="I249" s="21">
        <f t="shared" si="102"/>
        <v>179</v>
      </c>
      <c r="J249" s="6" t="str">
        <f t="shared" si="103"/>
        <v>OK</v>
      </c>
      <c r="K249" s="1" t="s">
        <v>342</v>
      </c>
      <c r="L249" s="1" t="s">
        <v>80</v>
      </c>
      <c r="M249" s="1" t="str">
        <f t="shared" si="82"/>
        <v>Vikram Iyer</v>
      </c>
      <c r="N249" s="1" t="s">
        <v>104</v>
      </c>
      <c r="O249" s="1" t="str">
        <f t="shared" si="83"/>
        <v>Corporate</v>
      </c>
      <c r="P249" s="1" t="s">
        <v>41</v>
      </c>
      <c r="Q249" s="1" t="str">
        <f t="shared" si="84"/>
        <v>East</v>
      </c>
      <c r="R249" s="1" t="str">
        <f t="shared" si="85"/>
        <v>OK</v>
      </c>
      <c r="S249" s="1" t="s">
        <v>42</v>
      </c>
      <c r="T249" s="1" t="str">
        <f t="shared" si="86"/>
        <v>Odisha</v>
      </c>
      <c r="U249" s="1" t="s">
        <v>43</v>
      </c>
      <c r="V249" s="1" t="str">
        <f t="shared" si="87"/>
        <v>Bhubaneswar</v>
      </c>
      <c r="W249" s="1" t="s">
        <v>83</v>
      </c>
      <c r="X249" s="1" t="str">
        <f t="shared" si="88"/>
        <v>Technology</v>
      </c>
      <c r="Y249" s="1" t="s">
        <v>347</v>
      </c>
      <c r="Z249" s="1" t="str">
        <f t="shared" si="89"/>
        <v>Machines</v>
      </c>
      <c r="AA249" s="1" t="s">
        <v>1910</v>
      </c>
      <c r="AB249" s="1" t="s">
        <v>32</v>
      </c>
      <c r="AC249" s="1" t="str">
        <f t="shared" si="90"/>
        <v>Second Class</v>
      </c>
      <c r="AD249" s="1" t="str">
        <f t="shared" si="91"/>
        <v>OK</v>
      </c>
      <c r="AE249" s="1">
        <v>6</v>
      </c>
      <c r="AF249" s="1">
        <v>3722.84</v>
      </c>
      <c r="AG249" s="9">
        <v>0.2</v>
      </c>
      <c r="AH249" s="9">
        <f t="shared" si="92"/>
        <v>0.2</v>
      </c>
      <c r="AI249" s="1" t="str">
        <f t="shared" si="93"/>
        <v>OK</v>
      </c>
      <c r="AJ249" s="1">
        <v>17869.63</v>
      </c>
      <c r="AK249" s="1">
        <v>12163.8</v>
      </c>
      <c r="AL249" s="1">
        <v>5705.83</v>
      </c>
      <c r="AM249" s="13">
        <f t="shared" si="94"/>
        <v>17869.632000000001</v>
      </c>
      <c r="AN249" s="9">
        <f t="shared" si="95"/>
        <v>5705.8320000000022</v>
      </c>
      <c r="AO249" s="9">
        <f t="shared" si="104"/>
        <v>0.31930327384469931</v>
      </c>
      <c r="AP249" s="1" t="s">
        <v>33</v>
      </c>
      <c r="AQ249" s="1" t="str">
        <f t="shared" si="96"/>
        <v>Paid</v>
      </c>
      <c r="AR249" s="1" t="str">
        <f t="shared" si="97"/>
        <v>OK</v>
      </c>
      <c r="AS249" s="1" t="s">
        <v>34</v>
      </c>
      <c r="AT249" s="4" t="str">
        <f t="shared" si="98"/>
        <v>Completed</v>
      </c>
      <c r="AU249" s="3" t="str">
        <f t="shared" si="99"/>
        <v>OK</v>
      </c>
      <c r="AV249" s="3" t="str">
        <f t="shared" si="105"/>
        <v>CLEAN</v>
      </c>
      <c r="AW249" t="str">
        <f t="shared" si="106"/>
        <v>MATCH</v>
      </c>
      <c r="AX249" t="str">
        <f t="shared" si="107"/>
        <v>MATCH</v>
      </c>
    </row>
    <row r="250" spans="1:50" ht="15.6">
      <c r="A250" s="1" t="s">
        <v>1911</v>
      </c>
      <c r="B250" s="1">
        <f t="shared" si="81"/>
        <v>1</v>
      </c>
      <c r="C250" s="16">
        <v>45568</v>
      </c>
      <c r="D250" s="16">
        <v>45568</v>
      </c>
      <c r="E250" s="16" t="str">
        <f t="shared" si="100"/>
        <v>Oct</v>
      </c>
      <c r="F250" s="1">
        <f t="shared" si="101"/>
        <v>2024</v>
      </c>
      <c r="G250" t="s">
        <v>520</v>
      </c>
      <c r="H250" s="17">
        <v>45479</v>
      </c>
      <c r="I250" s="21">
        <f t="shared" si="102"/>
        <v>-89</v>
      </c>
      <c r="J250" s="6" t="str">
        <f t="shared" si="103"/>
        <v>INVALID_SHIPPING</v>
      </c>
      <c r="K250" s="1" t="s">
        <v>1912</v>
      </c>
      <c r="L250" s="1" t="s">
        <v>24</v>
      </c>
      <c r="M250" s="1" t="str">
        <f t="shared" si="82"/>
        <v>Karan Malhotra</v>
      </c>
      <c r="N250" s="1" t="s">
        <v>25</v>
      </c>
      <c r="O250" s="1" t="str">
        <f t="shared" si="83"/>
        <v>Consumer</v>
      </c>
      <c r="P250" s="1" t="s">
        <v>41</v>
      </c>
      <c r="Q250" s="1" t="str">
        <f t="shared" si="84"/>
        <v>East</v>
      </c>
      <c r="R250" s="1" t="str">
        <f t="shared" si="85"/>
        <v>OK</v>
      </c>
      <c r="S250" s="1" t="s">
        <v>174</v>
      </c>
      <c r="T250" s="1" t="str">
        <f t="shared" si="86"/>
        <v>Bihar</v>
      </c>
      <c r="U250" s="1" t="s">
        <v>175</v>
      </c>
      <c r="V250" s="1" t="str">
        <f t="shared" si="87"/>
        <v>Patna</v>
      </c>
      <c r="W250" s="1" t="s">
        <v>44</v>
      </c>
      <c r="X250" s="1" t="str">
        <f t="shared" si="88"/>
        <v>Furniture</v>
      </c>
      <c r="Y250" s="1" t="s">
        <v>190</v>
      </c>
      <c r="Z250" s="1" t="str">
        <f t="shared" si="89"/>
        <v>Bookcases</v>
      </c>
      <c r="AA250" s="1" t="s">
        <v>1913</v>
      </c>
      <c r="AB250" s="1" t="s">
        <v>65</v>
      </c>
      <c r="AC250" s="1" t="str">
        <f t="shared" si="90"/>
        <v>Standard Class</v>
      </c>
      <c r="AD250" s="1" t="str">
        <f t="shared" si="91"/>
        <v>OK</v>
      </c>
      <c r="AE250" s="1">
        <v>6</v>
      </c>
      <c r="AF250" s="1">
        <v>4217.49</v>
      </c>
      <c r="AG250" s="9">
        <v>0</v>
      </c>
      <c r="AH250" s="9">
        <f t="shared" si="92"/>
        <v>0</v>
      </c>
      <c r="AI250" s="1" t="str">
        <f t="shared" si="93"/>
        <v>OK</v>
      </c>
      <c r="AJ250" s="1">
        <v>25304.94</v>
      </c>
      <c r="AK250" s="1">
        <v>20771.95</v>
      </c>
      <c r="AL250" s="1">
        <v>4532.99</v>
      </c>
      <c r="AM250" s="13">
        <f t="shared" si="94"/>
        <v>25304.94</v>
      </c>
      <c r="AN250" s="9">
        <f t="shared" si="95"/>
        <v>4532.989999999998</v>
      </c>
      <c r="AO250" s="9">
        <f t="shared" si="104"/>
        <v>0.17913458795002077</v>
      </c>
      <c r="AP250" s="1" t="s">
        <v>33</v>
      </c>
      <c r="AQ250" s="1" t="str">
        <f t="shared" si="96"/>
        <v>Paid</v>
      </c>
      <c r="AR250" s="1" t="str">
        <f t="shared" si="97"/>
        <v>OK</v>
      </c>
      <c r="AS250" s="1" t="s">
        <v>76</v>
      </c>
      <c r="AT250" s="4" t="str">
        <f t="shared" si="98"/>
        <v>Cancelled</v>
      </c>
      <c r="AU250" s="3" t="str">
        <f t="shared" si="99"/>
        <v>EXCLUDE_FROM_SALES</v>
      </c>
      <c r="AV250" s="3" t="str">
        <f t="shared" si="105"/>
        <v>INVALID</v>
      </c>
      <c r="AW250" t="str">
        <f t="shared" si="106"/>
        <v>MATCH</v>
      </c>
      <c r="AX250" t="str">
        <f t="shared" si="107"/>
        <v>MATCH</v>
      </c>
    </row>
    <row r="251" spans="1:50" ht="15.6" hidden="1">
      <c r="A251" s="1" t="s">
        <v>1919</v>
      </c>
      <c r="B251" s="1">
        <f t="shared" si="81"/>
        <v>1</v>
      </c>
      <c r="C251" s="16">
        <v>45386</v>
      </c>
      <c r="D251" s="16">
        <v>45386</v>
      </c>
      <c r="E251" s="16" t="str">
        <f t="shared" si="100"/>
        <v>Apr</v>
      </c>
      <c r="F251" s="1">
        <f t="shared" si="101"/>
        <v>2024</v>
      </c>
      <c r="G251" t="s">
        <v>1151</v>
      </c>
      <c r="H251" s="17">
        <v>45871</v>
      </c>
      <c r="I251" s="21">
        <f t="shared" si="102"/>
        <v>485</v>
      </c>
      <c r="J251" s="6" t="str">
        <f t="shared" si="103"/>
        <v>OK</v>
      </c>
      <c r="K251" s="1" t="s">
        <v>1921</v>
      </c>
      <c r="L251" s="1" t="s">
        <v>169</v>
      </c>
      <c r="M251" s="1" t="str">
        <f t="shared" si="82"/>
        <v>Rohan Mehta</v>
      </c>
      <c r="N251" s="1" t="s">
        <v>110</v>
      </c>
      <c r="O251" s="1" t="str">
        <f t="shared" si="83"/>
        <v>Home Office</v>
      </c>
      <c r="P251" s="1" t="s">
        <v>41</v>
      </c>
      <c r="Q251" s="1" t="str">
        <f t="shared" si="84"/>
        <v>East</v>
      </c>
      <c r="R251" s="1" t="str">
        <f t="shared" si="85"/>
        <v>OK</v>
      </c>
      <c r="S251" s="1" t="s">
        <v>42</v>
      </c>
      <c r="T251" s="1" t="str">
        <f t="shared" si="86"/>
        <v>Odisha</v>
      </c>
      <c r="U251" s="1" t="s">
        <v>43</v>
      </c>
      <c r="V251" s="1" t="str">
        <f t="shared" si="87"/>
        <v>Bhubaneswar</v>
      </c>
      <c r="W251" s="1" t="s">
        <v>44</v>
      </c>
      <c r="X251" s="1" t="str">
        <f t="shared" si="88"/>
        <v>Furniture</v>
      </c>
      <c r="Y251" s="1" t="s">
        <v>63</v>
      </c>
      <c r="Z251" s="1" t="str">
        <f t="shared" si="89"/>
        <v>Furnishings</v>
      </c>
      <c r="AA251" s="1" t="s">
        <v>1922</v>
      </c>
      <c r="AB251" s="1" t="s">
        <v>55</v>
      </c>
      <c r="AC251" s="1" t="str">
        <f t="shared" si="90"/>
        <v>First Class</v>
      </c>
      <c r="AD251" s="1" t="str">
        <f t="shared" si="91"/>
        <v>OK</v>
      </c>
      <c r="AE251" s="1">
        <v>1</v>
      </c>
      <c r="AF251" s="1">
        <v>3683.75</v>
      </c>
      <c r="AG251" s="9">
        <v>0.1</v>
      </c>
      <c r="AH251" s="9">
        <f t="shared" si="92"/>
        <v>0.1</v>
      </c>
      <c r="AI251" s="1" t="str">
        <f t="shared" si="93"/>
        <v>OK</v>
      </c>
      <c r="AJ251" s="1">
        <v>3315.38</v>
      </c>
      <c r="AK251" s="1">
        <v>2347.6799999999998</v>
      </c>
      <c r="AL251" s="1">
        <v>967.7</v>
      </c>
      <c r="AM251" s="13">
        <f t="shared" si="94"/>
        <v>3315.375</v>
      </c>
      <c r="AN251" s="9">
        <f t="shared" si="95"/>
        <v>967.69500000000016</v>
      </c>
      <c r="AO251" s="9">
        <f t="shared" si="104"/>
        <v>0.29188100893564084</v>
      </c>
      <c r="AP251" s="1" t="s">
        <v>33</v>
      </c>
      <c r="AQ251" s="1" t="str">
        <f t="shared" si="96"/>
        <v>Paid</v>
      </c>
      <c r="AR251" s="1" t="str">
        <f t="shared" si="97"/>
        <v>OK</v>
      </c>
      <c r="AS251" s="1" t="s">
        <v>34</v>
      </c>
      <c r="AT251" s="4" t="str">
        <f t="shared" si="98"/>
        <v>Completed</v>
      </c>
      <c r="AU251" s="3" t="str">
        <f t="shared" si="99"/>
        <v>OK</v>
      </c>
      <c r="AV251" s="3" t="str">
        <f t="shared" si="105"/>
        <v>CLEAN</v>
      </c>
      <c r="AW251" t="str">
        <f t="shared" si="106"/>
        <v>MATCH</v>
      </c>
      <c r="AX251" t="str">
        <f t="shared" si="107"/>
        <v>MATCH</v>
      </c>
    </row>
    <row r="252" spans="1:50" ht="15.6">
      <c r="A252" s="1" t="s">
        <v>1926</v>
      </c>
      <c r="B252" s="1">
        <f t="shared" si="81"/>
        <v>1</v>
      </c>
      <c r="C252" s="16">
        <v>45540</v>
      </c>
      <c r="D252" s="16">
        <v>45540</v>
      </c>
      <c r="E252" s="16" t="str">
        <f t="shared" si="100"/>
        <v>Sep</v>
      </c>
      <c r="F252" s="1">
        <f t="shared" si="101"/>
        <v>2024</v>
      </c>
      <c r="G252" t="s">
        <v>1155</v>
      </c>
      <c r="H252" s="17">
        <v>45349</v>
      </c>
      <c r="I252" s="21">
        <f t="shared" si="102"/>
        <v>-191</v>
      </c>
      <c r="J252" s="6" t="str">
        <f t="shared" si="103"/>
        <v>INVALID_SHIPPING</v>
      </c>
      <c r="K252" s="1" t="s">
        <v>1928</v>
      </c>
      <c r="L252" s="1" t="s">
        <v>59</v>
      </c>
      <c r="M252" s="1" t="str">
        <f t="shared" si="82"/>
        <v>Arjun Bose</v>
      </c>
      <c r="N252" s="1" t="s">
        <v>25</v>
      </c>
      <c r="O252" s="1" t="str">
        <f t="shared" si="83"/>
        <v>Consumer</v>
      </c>
      <c r="P252" s="1" t="s">
        <v>41</v>
      </c>
      <c r="Q252" s="1" t="str">
        <f t="shared" si="84"/>
        <v>East</v>
      </c>
      <c r="R252" s="1" t="str">
        <f t="shared" si="85"/>
        <v>OK</v>
      </c>
      <c r="S252" s="1" t="s">
        <v>201</v>
      </c>
      <c r="T252" s="1" t="str">
        <f t="shared" si="86"/>
        <v>Assam</v>
      </c>
      <c r="U252" s="1" t="s">
        <v>202</v>
      </c>
      <c r="V252" s="1" t="str">
        <f t="shared" si="87"/>
        <v>Guwahati</v>
      </c>
      <c r="W252" s="1" t="s">
        <v>44</v>
      </c>
      <c r="X252" s="1" t="str">
        <f t="shared" si="88"/>
        <v>Furniture</v>
      </c>
      <c r="Y252" s="1" t="s">
        <v>190</v>
      </c>
      <c r="Z252" s="1" t="str">
        <f t="shared" si="89"/>
        <v>Bookcases</v>
      </c>
      <c r="AA252" s="1" t="s">
        <v>1929</v>
      </c>
      <c r="AB252" s="1" t="s">
        <v>47</v>
      </c>
      <c r="AC252" s="1" t="str">
        <f t="shared" si="90"/>
        <v>Same Day</v>
      </c>
      <c r="AD252" s="1" t="str">
        <f t="shared" si="91"/>
        <v>OK</v>
      </c>
      <c r="AE252" s="1">
        <v>2</v>
      </c>
      <c r="AF252" s="1">
        <v>2111.23</v>
      </c>
      <c r="AG252" s="9">
        <v>0.2</v>
      </c>
      <c r="AH252" s="9">
        <f t="shared" si="92"/>
        <v>0.2</v>
      </c>
      <c r="AI252" s="1" t="str">
        <f t="shared" si="93"/>
        <v>OK</v>
      </c>
      <c r="AJ252" s="1">
        <v>3377.97</v>
      </c>
      <c r="AK252" s="1">
        <v>2496.29</v>
      </c>
      <c r="AL252" s="1">
        <v>881.68</v>
      </c>
      <c r="AM252" s="13">
        <f t="shared" si="94"/>
        <v>3377.9680000000003</v>
      </c>
      <c r="AN252" s="9">
        <f t="shared" si="95"/>
        <v>881.67800000000034</v>
      </c>
      <c r="AO252" s="9">
        <f t="shared" si="104"/>
        <v>0.26100839321154029</v>
      </c>
      <c r="AP252" s="1" t="s">
        <v>33</v>
      </c>
      <c r="AQ252" s="1" t="str">
        <f t="shared" si="96"/>
        <v>Paid</v>
      </c>
      <c r="AR252" s="1" t="str">
        <f t="shared" si="97"/>
        <v>OK</v>
      </c>
      <c r="AS252" s="1" t="s">
        <v>34</v>
      </c>
      <c r="AT252" s="4" t="str">
        <f t="shared" si="98"/>
        <v>Completed</v>
      </c>
      <c r="AU252" s="3" t="str">
        <f t="shared" si="99"/>
        <v>OK</v>
      </c>
      <c r="AV252" s="3" t="str">
        <f t="shared" si="105"/>
        <v>INVALID</v>
      </c>
      <c r="AW252" t="str">
        <f t="shared" si="106"/>
        <v>MATCH</v>
      </c>
      <c r="AX252" t="str">
        <f t="shared" si="107"/>
        <v>MATCH</v>
      </c>
    </row>
    <row r="253" spans="1:50" ht="15.6" hidden="1">
      <c r="A253" s="1" t="s">
        <v>1939</v>
      </c>
      <c r="B253" s="1">
        <f t="shared" si="81"/>
        <v>1</v>
      </c>
      <c r="C253" s="16">
        <v>45306</v>
      </c>
      <c r="D253" s="16">
        <v>45306</v>
      </c>
      <c r="E253" s="16" t="str">
        <f t="shared" si="100"/>
        <v>Jan</v>
      </c>
      <c r="F253" s="1">
        <f t="shared" si="101"/>
        <v>2024</v>
      </c>
      <c r="G253" t="s">
        <v>87</v>
      </c>
      <c r="H253" s="17">
        <v>45757</v>
      </c>
      <c r="I253" s="21">
        <f t="shared" si="102"/>
        <v>451</v>
      </c>
      <c r="J253" s="6" t="str">
        <f t="shared" si="103"/>
        <v>OK</v>
      </c>
      <c r="K253" s="1" t="s">
        <v>1940</v>
      </c>
      <c r="L253" s="1" t="s">
        <v>39</v>
      </c>
      <c r="M253" s="1" t="str">
        <f t="shared" si="82"/>
        <v>Mira Das</v>
      </c>
      <c r="N253" s="1" t="s">
        <v>40</v>
      </c>
      <c r="O253" s="1" t="str">
        <f t="shared" si="83"/>
        <v>Small Business</v>
      </c>
      <c r="P253" s="1" t="s">
        <v>60</v>
      </c>
      <c r="Q253" s="1" t="str">
        <f t="shared" si="84"/>
        <v>South</v>
      </c>
      <c r="R253" s="1" t="str">
        <f t="shared" si="85"/>
        <v>OK</v>
      </c>
      <c r="S253" s="1" t="s">
        <v>97</v>
      </c>
      <c r="T253" s="1" t="str">
        <f t="shared" si="86"/>
        <v>Andhra Pradesh</v>
      </c>
      <c r="U253" s="1" t="s">
        <v>98</v>
      </c>
      <c r="V253" s="1" t="str">
        <f t="shared" si="87"/>
        <v>Vijayawada</v>
      </c>
      <c r="W253" s="1" t="s">
        <v>44</v>
      </c>
      <c r="X253" s="1" t="str">
        <f t="shared" si="88"/>
        <v>Furniture</v>
      </c>
      <c r="Y253" s="1" t="s">
        <v>74</v>
      </c>
      <c r="Z253" s="1" t="str">
        <f t="shared" si="89"/>
        <v>Chairs</v>
      </c>
      <c r="AA253" s="1" t="s">
        <v>1941</v>
      </c>
      <c r="AB253" s="1" t="s">
        <v>55</v>
      </c>
      <c r="AC253" s="1" t="str">
        <f t="shared" si="90"/>
        <v>First Class</v>
      </c>
      <c r="AD253" s="1" t="str">
        <f t="shared" si="91"/>
        <v>OK</v>
      </c>
      <c r="AE253" s="1">
        <v>2</v>
      </c>
      <c r="AF253" s="1">
        <v>201.21</v>
      </c>
      <c r="AG253" s="9">
        <v>0.15</v>
      </c>
      <c r="AH253" s="9">
        <f t="shared" si="92"/>
        <v>0.15</v>
      </c>
      <c r="AI253" s="1" t="str">
        <f t="shared" si="93"/>
        <v>OK</v>
      </c>
      <c r="AJ253" s="1">
        <v>342.06</v>
      </c>
      <c r="AK253" s="1">
        <v>244.57</v>
      </c>
      <c r="AL253" s="1">
        <v>97.49</v>
      </c>
      <c r="AM253" s="13">
        <f t="shared" si="94"/>
        <v>342.05700000000002</v>
      </c>
      <c r="AN253" s="9">
        <f t="shared" si="95"/>
        <v>97.487000000000023</v>
      </c>
      <c r="AO253" s="9">
        <f t="shared" si="104"/>
        <v>0.28500220723446684</v>
      </c>
      <c r="AP253" s="1" t="s">
        <v>33</v>
      </c>
      <c r="AQ253" s="1" t="str">
        <f t="shared" si="96"/>
        <v>Paid</v>
      </c>
      <c r="AR253" s="1" t="str">
        <f t="shared" si="97"/>
        <v>OK</v>
      </c>
      <c r="AS253" s="1" t="s">
        <v>34</v>
      </c>
      <c r="AT253" s="4" t="str">
        <f t="shared" si="98"/>
        <v>Completed</v>
      </c>
      <c r="AU253" s="3" t="str">
        <f t="shared" si="99"/>
        <v>OK</v>
      </c>
      <c r="AV253" s="3" t="str">
        <f t="shared" si="105"/>
        <v>CLEAN</v>
      </c>
      <c r="AW253" t="str">
        <f t="shared" si="106"/>
        <v>MATCH</v>
      </c>
      <c r="AX253" t="str">
        <f t="shared" si="107"/>
        <v>MATCH</v>
      </c>
    </row>
    <row r="254" spans="1:50" ht="15.6" hidden="1">
      <c r="A254" s="1" t="s">
        <v>1942</v>
      </c>
      <c r="B254" s="1">
        <f t="shared" si="81"/>
        <v>1</v>
      </c>
      <c r="C254" s="16">
        <v>45449</v>
      </c>
      <c r="D254" s="16">
        <v>45449</v>
      </c>
      <c r="E254" s="16" t="str">
        <f t="shared" si="100"/>
        <v>Jun</v>
      </c>
      <c r="F254" s="1">
        <f t="shared" si="101"/>
        <v>2024</v>
      </c>
      <c r="G254" t="s">
        <v>1071</v>
      </c>
      <c r="H254" s="17">
        <v>45836</v>
      </c>
      <c r="I254" s="21">
        <f t="shared" si="102"/>
        <v>387</v>
      </c>
      <c r="J254" s="6" t="str">
        <f t="shared" si="103"/>
        <v>OK</v>
      </c>
      <c r="K254" s="1" t="s">
        <v>1798</v>
      </c>
      <c r="L254" s="1" t="s">
        <v>103</v>
      </c>
      <c r="M254" s="1" t="str">
        <f t="shared" si="82"/>
        <v>Aditi Sen</v>
      </c>
      <c r="N254" s="1" t="s">
        <v>104</v>
      </c>
      <c r="O254" s="1" t="str">
        <f t="shared" si="83"/>
        <v>Corporate</v>
      </c>
      <c r="P254" s="1" t="s">
        <v>41</v>
      </c>
      <c r="Q254" s="1" t="str">
        <f t="shared" si="84"/>
        <v>East</v>
      </c>
      <c r="R254" s="1" t="str">
        <f t="shared" si="85"/>
        <v>OK</v>
      </c>
      <c r="S254" s="1" t="s">
        <v>201</v>
      </c>
      <c r="T254" s="1" t="str">
        <f t="shared" si="86"/>
        <v>Assam</v>
      </c>
      <c r="U254" s="1" t="s">
        <v>202</v>
      </c>
      <c r="V254" s="1" t="str">
        <f t="shared" si="87"/>
        <v>Guwahati</v>
      </c>
      <c r="W254" s="1" t="s">
        <v>83</v>
      </c>
      <c r="X254" s="1" t="str">
        <f t="shared" si="88"/>
        <v>Technology</v>
      </c>
      <c r="Y254" s="1" t="s">
        <v>347</v>
      </c>
      <c r="Z254" s="1" t="str">
        <f t="shared" si="89"/>
        <v>Machines</v>
      </c>
      <c r="AA254" s="1" t="s">
        <v>1944</v>
      </c>
      <c r="AB254" s="1" t="s">
        <v>32</v>
      </c>
      <c r="AC254" s="1" t="str">
        <f t="shared" si="90"/>
        <v>Second Class</v>
      </c>
      <c r="AD254" s="1" t="str">
        <f t="shared" si="91"/>
        <v>OK</v>
      </c>
      <c r="AE254" s="1">
        <v>6</v>
      </c>
      <c r="AF254" s="1">
        <v>3270.36</v>
      </c>
      <c r="AG254" s="9">
        <v>0</v>
      </c>
      <c r="AH254" s="9">
        <f t="shared" si="92"/>
        <v>0</v>
      </c>
      <c r="AI254" s="1" t="str">
        <f t="shared" si="93"/>
        <v>OK</v>
      </c>
      <c r="AJ254" s="1">
        <v>19622.16</v>
      </c>
      <c r="AK254" s="1">
        <v>14271.27</v>
      </c>
      <c r="AL254" s="1">
        <v>5350.89</v>
      </c>
      <c r="AM254" s="13">
        <f t="shared" si="94"/>
        <v>19622.16</v>
      </c>
      <c r="AN254" s="9">
        <f t="shared" si="95"/>
        <v>5350.8899999999994</v>
      </c>
      <c r="AO254" s="9">
        <f t="shared" si="104"/>
        <v>0.27269627808559299</v>
      </c>
      <c r="AP254" s="1" t="s">
        <v>33</v>
      </c>
      <c r="AQ254" s="1" t="str">
        <f t="shared" si="96"/>
        <v>Paid</v>
      </c>
      <c r="AR254" s="1" t="str">
        <f t="shared" si="97"/>
        <v>OK</v>
      </c>
      <c r="AS254" s="1" t="s">
        <v>34</v>
      </c>
      <c r="AT254" s="4" t="str">
        <f t="shared" si="98"/>
        <v>Completed</v>
      </c>
      <c r="AU254" s="3" t="str">
        <f t="shared" si="99"/>
        <v>OK</v>
      </c>
      <c r="AV254" s="3" t="str">
        <f t="shared" si="105"/>
        <v>CLEAN</v>
      </c>
      <c r="AW254" t="str">
        <f t="shared" si="106"/>
        <v>MATCH</v>
      </c>
      <c r="AX254" t="str">
        <f t="shared" si="107"/>
        <v>MATCH</v>
      </c>
    </row>
    <row r="255" spans="1:50" ht="15.6" hidden="1">
      <c r="A255" s="1" t="s">
        <v>1949</v>
      </c>
      <c r="B255" s="1">
        <f t="shared" si="81"/>
        <v>1</v>
      </c>
      <c r="C255" s="16">
        <v>45375</v>
      </c>
      <c r="D255" s="16">
        <v>45375</v>
      </c>
      <c r="E255" s="16" t="str">
        <f t="shared" si="100"/>
        <v>Mar</v>
      </c>
      <c r="F255" s="1">
        <f t="shared" si="101"/>
        <v>2024</v>
      </c>
      <c r="G255" t="s">
        <v>1165</v>
      </c>
      <c r="H255" s="17">
        <v>45548</v>
      </c>
      <c r="I255" s="21">
        <f t="shared" si="102"/>
        <v>173</v>
      </c>
      <c r="J255" s="6" t="str">
        <f t="shared" si="103"/>
        <v>OK</v>
      </c>
      <c r="K255" s="1" t="s">
        <v>1951</v>
      </c>
      <c r="L255" s="1" t="s">
        <v>169</v>
      </c>
      <c r="M255" s="1" t="str">
        <f t="shared" si="82"/>
        <v>Rohan Mehta</v>
      </c>
      <c r="N255" s="1" t="s">
        <v>40</v>
      </c>
      <c r="O255" s="1" t="str">
        <f t="shared" si="83"/>
        <v>Small Business</v>
      </c>
      <c r="P255" s="1" t="s">
        <v>26</v>
      </c>
      <c r="Q255" s="1" t="str">
        <f t="shared" si="84"/>
        <v>North</v>
      </c>
      <c r="R255" s="1" t="str">
        <f t="shared" si="85"/>
        <v>OK</v>
      </c>
      <c r="S255" s="1" t="s">
        <v>294</v>
      </c>
      <c r="T255" s="1" t="str">
        <f t="shared" si="86"/>
        <v>Haryana</v>
      </c>
      <c r="U255" s="1" t="s">
        <v>295</v>
      </c>
      <c r="V255" s="1" t="str">
        <f t="shared" si="87"/>
        <v>Gurugram</v>
      </c>
      <c r="W255" s="1" t="s">
        <v>29</v>
      </c>
      <c r="X255" s="1" t="str">
        <f t="shared" si="88"/>
        <v>Office Supplies</v>
      </c>
      <c r="Y255" s="1" t="s">
        <v>30</v>
      </c>
      <c r="Z255" s="1" t="str">
        <f t="shared" si="89"/>
        <v>Paper</v>
      </c>
      <c r="AA255" s="1" t="s">
        <v>1952</v>
      </c>
      <c r="AB255" s="1" t="s">
        <v>32</v>
      </c>
      <c r="AC255" s="1" t="str">
        <f t="shared" si="90"/>
        <v>Second Class</v>
      </c>
      <c r="AD255" s="1" t="str">
        <f t="shared" si="91"/>
        <v>OK</v>
      </c>
      <c r="AE255" s="1">
        <v>8</v>
      </c>
      <c r="AF255" s="1">
        <v>1917.64</v>
      </c>
      <c r="AG255" s="9">
        <v>0.15</v>
      </c>
      <c r="AH255" s="9">
        <f t="shared" si="92"/>
        <v>0.15</v>
      </c>
      <c r="AI255" s="1" t="str">
        <f t="shared" si="93"/>
        <v>OK</v>
      </c>
      <c r="AJ255" s="1">
        <v>13039.95</v>
      </c>
      <c r="AK255" s="1">
        <v>11127.82</v>
      </c>
      <c r="AL255" s="1">
        <v>1912.13</v>
      </c>
      <c r="AM255" s="13">
        <f t="shared" si="94"/>
        <v>13039.952000000001</v>
      </c>
      <c r="AN255" s="9">
        <f t="shared" si="95"/>
        <v>1912.1320000000014</v>
      </c>
      <c r="AO255" s="9">
        <f t="shared" si="104"/>
        <v>0.1466364293365498</v>
      </c>
      <c r="AP255" s="1" t="s">
        <v>33</v>
      </c>
      <c r="AQ255" s="1" t="str">
        <f t="shared" si="96"/>
        <v>Paid</v>
      </c>
      <c r="AR255" s="1" t="str">
        <f t="shared" si="97"/>
        <v>OK</v>
      </c>
      <c r="AS255" s="1" t="s">
        <v>76</v>
      </c>
      <c r="AT255" s="4" t="str">
        <f t="shared" si="98"/>
        <v>Cancelled</v>
      </c>
      <c r="AU255" s="3" t="str">
        <f t="shared" si="99"/>
        <v>EXCLUDE_FROM_SALES</v>
      </c>
      <c r="AV255" s="3" t="str">
        <f t="shared" si="105"/>
        <v>CLEAN</v>
      </c>
      <c r="AW255" t="str">
        <f t="shared" si="106"/>
        <v>MATCH</v>
      </c>
      <c r="AX255" t="str">
        <f t="shared" si="107"/>
        <v>MATCH</v>
      </c>
    </row>
    <row r="256" spans="1:50" ht="15.6" hidden="1">
      <c r="A256" s="1" t="s">
        <v>1953</v>
      </c>
      <c r="B256" s="1">
        <f t="shared" si="81"/>
        <v>1</v>
      </c>
      <c r="C256" s="16">
        <v>45422</v>
      </c>
      <c r="D256" s="16">
        <v>45422</v>
      </c>
      <c r="E256" s="16" t="str">
        <f t="shared" si="100"/>
        <v>May</v>
      </c>
      <c r="F256" s="1">
        <f t="shared" si="101"/>
        <v>2024</v>
      </c>
      <c r="G256" t="s">
        <v>1169</v>
      </c>
      <c r="H256" s="17">
        <v>45717</v>
      </c>
      <c r="I256" s="21">
        <f t="shared" si="102"/>
        <v>295</v>
      </c>
      <c r="J256" s="6" t="str">
        <f t="shared" si="103"/>
        <v>OK</v>
      </c>
      <c r="K256" s="1" t="s">
        <v>1954</v>
      </c>
      <c r="L256" s="1" t="s">
        <v>196</v>
      </c>
      <c r="M256" s="1" t="str">
        <f t="shared" si="82"/>
        <v>Diya Patel</v>
      </c>
      <c r="N256" s="1" t="s">
        <v>110</v>
      </c>
      <c r="O256" s="1" t="str">
        <f t="shared" si="83"/>
        <v>Home Office</v>
      </c>
      <c r="P256" s="1" t="s">
        <v>41</v>
      </c>
      <c r="Q256" s="1" t="str">
        <f t="shared" si="84"/>
        <v>East</v>
      </c>
      <c r="R256" s="1" t="str">
        <f t="shared" si="85"/>
        <v>OK</v>
      </c>
      <c r="S256" s="1" t="s">
        <v>284</v>
      </c>
      <c r="T256" s="1" t="str">
        <f t="shared" si="86"/>
        <v>Jharkhand</v>
      </c>
      <c r="U256" s="1" t="s">
        <v>285</v>
      </c>
      <c r="V256" s="1" t="str">
        <f t="shared" si="87"/>
        <v>Ranchi</v>
      </c>
      <c r="W256" s="1" t="s">
        <v>83</v>
      </c>
      <c r="X256" s="1" t="str">
        <f t="shared" si="88"/>
        <v>Technology</v>
      </c>
      <c r="Y256" s="1" t="s">
        <v>84</v>
      </c>
      <c r="Z256" s="1" t="str">
        <f t="shared" si="89"/>
        <v>Accessories</v>
      </c>
      <c r="AA256" s="1" t="s">
        <v>1955</v>
      </c>
      <c r="AB256" s="1" t="s">
        <v>32</v>
      </c>
      <c r="AC256" s="1" t="str">
        <f t="shared" si="90"/>
        <v>Second Class</v>
      </c>
      <c r="AD256" s="1" t="str">
        <f t="shared" si="91"/>
        <v>OK</v>
      </c>
      <c r="AE256" s="1">
        <v>6</v>
      </c>
      <c r="AF256" s="1">
        <v>2013.33</v>
      </c>
      <c r="AG256" s="9">
        <v>0.2</v>
      </c>
      <c r="AH256" s="9">
        <f t="shared" si="92"/>
        <v>0.2</v>
      </c>
      <c r="AI256" s="1" t="str">
        <f t="shared" si="93"/>
        <v>OK</v>
      </c>
      <c r="AJ256" s="1">
        <v>9663.98</v>
      </c>
      <c r="AK256" s="1">
        <v>5628.93</v>
      </c>
      <c r="AL256" s="1">
        <v>4035.05</v>
      </c>
      <c r="AM256" s="13">
        <f t="shared" si="94"/>
        <v>9663.9840000000004</v>
      </c>
      <c r="AN256" s="9">
        <f t="shared" si="95"/>
        <v>4035.0540000000001</v>
      </c>
      <c r="AO256" s="9">
        <f t="shared" si="104"/>
        <v>0.41753525254180884</v>
      </c>
      <c r="AP256" s="1" t="s">
        <v>33</v>
      </c>
      <c r="AQ256" s="1" t="str">
        <f t="shared" si="96"/>
        <v>Paid</v>
      </c>
      <c r="AR256" s="1" t="str">
        <f t="shared" si="97"/>
        <v>OK</v>
      </c>
      <c r="AS256" s="1" t="s">
        <v>34</v>
      </c>
      <c r="AT256" s="4" t="str">
        <f t="shared" si="98"/>
        <v>Completed</v>
      </c>
      <c r="AU256" s="3" t="str">
        <f t="shared" si="99"/>
        <v>OK</v>
      </c>
      <c r="AV256" s="3" t="str">
        <f t="shared" si="105"/>
        <v>CLEAN</v>
      </c>
      <c r="AW256" t="str">
        <f t="shared" si="106"/>
        <v>MATCH</v>
      </c>
      <c r="AX256" t="str">
        <f t="shared" si="107"/>
        <v>MATCH</v>
      </c>
    </row>
    <row r="257" spans="1:50" ht="15.6" hidden="1">
      <c r="A257" s="1" t="s">
        <v>1965</v>
      </c>
      <c r="B257" s="1">
        <f t="shared" si="81"/>
        <v>1</v>
      </c>
      <c r="C257" s="16">
        <v>45491</v>
      </c>
      <c r="D257" s="16">
        <v>45491</v>
      </c>
      <c r="E257" s="16" t="str">
        <f t="shared" si="100"/>
        <v>Jul</v>
      </c>
      <c r="F257" s="1">
        <f t="shared" si="101"/>
        <v>2024</v>
      </c>
      <c r="G257" t="s">
        <v>1173</v>
      </c>
      <c r="H257" s="17">
        <v>45698</v>
      </c>
      <c r="I257" s="21">
        <f t="shared" si="102"/>
        <v>207</v>
      </c>
      <c r="J257" s="6" t="str">
        <f t="shared" si="103"/>
        <v>OK</v>
      </c>
      <c r="K257" s="1" t="s">
        <v>1967</v>
      </c>
      <c r="L257" s="1" t="s">
        <v>90</v>
      </c>
      <c r="M257" s="1" t="str">
        <f t="shared" si="82"/>
        <v>Neha Gupta</v>
      </c>
      <c r="N257" s="1" t="s">
        <v>40</v>
      </c>
      <c r="O257" s="1" t="str">
        <f t="shared" si="83"/>
        <v>Small Business</v>
      </c>
      <c r="P257" s="1" t="s">
        <v>60</v>
      </c>
      <c r="Q257" s="1" t="str">
        <f t="shared" si="84"/>
        <v>South</v>
      </c>
      <c r="R257" s="1" t="str">
        <f t="shared" si="85"/>
        <v>OK</v>
      </c>
      <c r="S257" s="1" t="s">
        <v>61</v>
      </c>
      <c r="T257" s="1" t="str">
        <f t="shared" si="86"/>
        <v>Telangana</v>
      </c>
      <c r="U257" s="1" t="s">
        <v>62</v>
      </c>
      <c r="V257" s="1" t="str">
        <f t="shared" si="87"/>
        <v>Hyderabad</v>
      </c>
      <c r="W257" s="1" t="s">
        <v>29</v>
      </c>
      <c r="X257" s="1" t="str">
        <f t="shared" si="88"/>
        <v>Office Supplies</v>
      </c>
      <c r="Y257" s="1" t="s">
        <v>53</v>
      </c>
      <c r="Z257" s="1" t="str">
        <f t="shared" si="89"/>
        <v>Art</v>
      </c>
      <c r="AA257" s="1" t="s">
        <v>1968</v>
      </c>
      <c r="AB257" s="1" t="s">
        <v>65</v>
      </c>
      <c r="AC257" s="1" t="str">
        <f t="shared" si="90"/>
        <v>Standard Class</v>
      </c>
      <c r="AD257" s="1" t="str">
        <f t="shared" si="91"/>
        <v>OK</v>
      </c>
      <c r="AE257" s="1">
        <v>4</v>
      </c>
      <c r="AF257" s="1">
        <v>808.77</v>
      </c>
      <c r="AG257" s="9">
        <v>0</v>
      </c>
      <c r="AH257" s="9">
        <f t="shared" si="92"/>
        <v>0</v>
      </c>
      <c r="AI257" s="1" t="str">
        <f t="shared" si="93"/>
        <v>OK</v>
      </c>
      <c r="AJ257" s="1">
        <v>3235.08</v>
      </c>
      <c r="AK257" s="1">
        <v>1848.6</v>
      </c>
      <c r="AL257" s="1">
        <v>1386.48</v>
      </c>
      <c r="AM257" s="13">
        <f t="shared" si="94"/>
        <v>3235.08</v>
      </c>
      <c r="AN257" s="9">
        <f t="shared" si="95"/>
        <v>1386.48</v>
      </c>
      <c r="AO257" s="9">
        <f t="shared" si="104"/>
        <v>0.42857672762342819</v>
      </c>
      <c r="AP257" s="1" t="s">
        <v>33</v>
      </c>
      <c r="AQ257" s="1" t="str">
        <f t="shared" si="96"/>
        <v>Paid</v>
      </c>
      <c r="AR257" s="1" t="str">
        <f t="shared" si="97"/>
        <v>OK</v>
      </c>
      <c r="AS257" s="1" t="s">
        <v>34</v>
      </c>
      <c r="AT257" s="4" t="str">
        <f t="shared" si="98"/>
        <v>Completed</v>
      </c>
      <c r="AU257" s="3" t="str">
        <f t="shared" si="99"/>
        <v>OK</v>
      </c>
      <c r="AV257" s="3" t="str">
        <f t="shared" si="105"/>
        <v>CLEAN</v>
      </c>
      <c r="AW257" t="str">
        <f t="shared" si="106"/>
        <v>MATCH</v>
      </c>
      <c r="AX257" t="str">
        <f t="shared" si="107"/>
        <v>MATCH</v>
      </c>
    </row>
    <row r="258" spans="1:50" ht="15.6" hidden="1">
      <c r="A258" s="1" t="s">
        <v>1969</v>
      </c>
      <c r="B258" s="1">
        <f t="shared" ref="B258:B321" si="108">COUNTIF($A:$A,A258)</f>
        <v>1</v>
      </c>
      <c r="C258" s="16">
        <v>45342</v>
      </c>
      <c r="D258" s="16">
        <v>45342</v>
      </c>
      <c r="E258" s="16" t="str">
        <f t="shared" si="100"/>
        <v>Feb</v>
      </c>
      <c r="F258" s="1">
        <f t="shared" si="101"/>
        <v>2024</v>
      </c>
      <c r="G258" t="s">
        <v>434</v>
      </c>
      <c r="H258" s="17">
        <v>45599</v>
      </c>
      <c r="I258" s="21">
        <f t="shared" si="102"/>
        <v>257</v>
      </c>
      <c r="J258" s="6" t="str">
        <f t="shared" si="103"/>
        <v>OK</v>
      </c>
      <c r="K258" s="1" t="s">
        <v>1970</v>
      </c>
      <c r="L258" s="1" t="s">
        <v>90</v>
      </c>
      <c r="M258" s="1" t="str">
        <f t="shared" ref="M258:M321" si="109">PROPER(TRIM(SUBSTITUTE(L258,CHAR(160)," ")))</f>
        <v>Neha Gupta</v>
      </c>
      <c r="N258" s="1" t="s">
        <v>104</v>
      </c>
      <c r="O258" s="1" t="str">
        <f t="shared" ref="O258:O321" si="110">PROPER(TRIM(SUBSTITUTE(N258,CHAR(160)," ")))</f>
        <v>Corporate</v>
      </c>
      <c r="P258" s="1" t="s">
        <v>26</v>
      </c>
      <c r="Q258" s="1" t="str">
        <f t="shared" ref="Q258:Q321" si="111">IF(TRIM(P258)="","Unknown",PROPER(TRIM(P258)))</f>
        <v>North</v>
      </c>
      <c r="R258" s="1" t="str">
        <f t="shared" ref="R258:R321" si="112">IF(Q258="Unknown","MISSING_REGION","OK")</f>
        <v>OK</v>
      </c>
      <c r="S258" s="1" t="s">
        <v>163</v>
      </c>
      <c r="T258" s="1" t="str">
        <f t="shared" ref="T258:T321" si="113">PROPER(TRIM(SUBSTITUTE(S258,CHAR(160)," ")))</f>
        <v>Uttar Pradesh</v>
      </c>
      <c r="U258" s="1" t="s">
        <v>164</v>
      </c>
      <c r="V258" s="1" t="str">
        <f t="shared" ref="V258:V321" si="114">PROPER(TRIM(SUBSTITUTE(U258,CHAR(160)," ")))</f>
        <v>Noida</v>
      </c>
      <c r="W258" s="1" t="s">
        <v>83</v>
      </c>
      <c r="X258" s="1" t="str">
        <f t="shared" ref="X258:X321" si="115">PROPER(TRIM(SUBSTITUTE(W258,CHAR(160)," ")))</f>
        <v>Technology</v>
      </c>
      <c r="Y258" s="1" t="s">
        <v>84</v>
      </c>
      <c r="Z258" s="1" t="str">
        <f t="shared" ref="Z258:Z321" si="116">PROPER(TRIM(SUBSTITUTE(Y258,CHAR(160)," ")))</f>
        <v>Accessories</v>
      </c>
      <c r="AA258" s="1" t="s">
        <v>1971</v>
      </c>
      <c r="AB258" s="1" t="s">
        <v>47</v>
      </c>
      <c r="AC258" s="1" t="str">
        <f t="shared" ref="AC258:AC321" si="117">IF(TRIM(AB258)="","Unknown",PROPER(TRIM(AB258)))</f>
        <v>Same Day</v>
      </c>
      <c r="AD258" s="1" t="str">
        <f t="shared" ref="AD258:AD321" si="118">IF(AC258="Unknown","MISSING_SHIP_MODE","OK")</f>
        <v>OK</v>
      </c>
      <c r="AE258" s="1">
        <v>5</v>
      </c>
      <c r="AF258" s="1">
        <v>2604.91</v>
      </c>
      <c r="AG258" s="9">
        <v>0.15</v>
      </c>
      <c r="AH258" s="9">
        <f t="shared" ref="AH258:AH321" si="119">IF(RIGHT(AG258,1)="%",VALUE(SUBSTITUTE(AG258,"%",""))/100,AG258)</f>
        <v>0.15</v>
      </c>
      <c r="AI258" s="1" t="str">
        <f t="shared" ref="AI258:AI321" si="120">IF(AG258="","Missing Discount",
IF(AG258&lt;0,"Invalid Negative Discount",
"OK"))</f>
        <v>OK</v>
      </c>
      <c r="AJ258" s="1">
        <v>11070.87</v>
      </c>
      <c r="AK258" s="1">
        <v>6623.61</v>
      </c>
      <c r="AL258" s="1">
        <v>4447.26</v>
      </c>
      <c r="AM258" s="13">
        <f t="shared" ref="AM258:AM321" si="121">IF(AH258&lt;0,"INVALID",AE258*AF258*(1-AH258))</f>
        <v>11070.867499999998</v>
      </c>
      <c r="AN258" s="9">
        <f t="shared" ref="AN258:AN321" si="122">IF(AM258="INVALID","INVALID",
AM258-AK258)</f>
        <v>4447.2574999999988</v>
      </c>
      <c r="AO258" s="9">
        <f t="shared" si="104"/>
        <v>0.40170813172499803</v>
      </c>
      <c r="AP258" s="1" t="s">
        <v>33</v>
      </c>
      <c r="AQ258" s="1" t="str">
        <f t="shared" ref="AQ258:AQ321" si="123">PROPER(TRIM(SUBSTITUTE(AP258,CHAR(160)," ")))</f>
        <v>Paid</v>
      </c>
      <c r="AR258" s="1" t="str">
        <f t="shared" ref="AR258:AR321" si="124">IF(AQ258="Failed","EXCLUDE_FROM_SALES",
IF(AQ258="Refunded","REFUNDED_PAYMENT",
"OK"))</f>
        <v>OK</v>
      </c>
      <c r="AS258" s="1" t="s">
        <v>120</v>
      </c>
      <c r="AT258" s="4" t="str">
        <f t="shared" ref="AT258:AT321" si="125">PROPER(TRIM(SUBSTITUTE(AS258,CHAR(160)," ")))</f>
        <v>Returned</v>
      </c>
      <c r="AU258" s="3" t="str">
        <f t="shared" ref="AU258:AU321" si="126">IF(AT258="Cancelled","EXCLUDE_FROM_SALES",
IF(AT258="Returned","RETURNED_ORDER",
"OK"))</f>
        <v>RETURNED_ORDER</v>
      </c>
      <c r="AV258" s="3" t="str">
        <f t="shared" si="105"/>
        <v>CLEAN</v>
      </c>
      <c r="AW258" t="str">
        <f t="shared" si="106"/>
        <v>MATCH</v>
      </c>
      <c r="AX258" t="str">
        <f t="shared" si="107"/>
        <v>MATCH</v>
      </c>
    </row>
    <row r="259" spans="1:50" ht="15.6" hidden="1">
      <c r="A259" s="1" t="s">
        <v>1972</v>
      </c>
      <c r="B259" s="1">
        <f t="shared" si="108"/>
        <v>1</v>
      </c>
      <c r="C259" s="16">
        <v>45387</v>
      </c>
      <c r="D259" s="16">
        <v>45387</v>
      </c>
      <c r="E259" s="16" t="str">
        <f t="shared" ref="E259:E322" si="127">TEXT(D259,"mmm")</f>
        <v>Apr</v>
      </c>
      <c r="F259" s="1">
        <f t="shared" ref="F259:F322" si="128">YEAR(D259)</f>
        <v>2024</v>
      </c>
      <c r="G259" t="s">
        <v>1180</v>
      </c>
      <c r="H259" s="17">
        <v>45881</v>
      </c>
      <c r="I259" s="21">
        <f t="shared" ref="I259:I322" si="129">H259-D259</f>
        <v>494</v>
      </c>
      <c r="J259" s="6" t="str">
        <f t="shared" ref="J259:J322" si="130">IF(I259&lt;0,"INVALID_SHIPPING","OK")</f>
        <v>OK</v>
      </c>
      <c r="K259" s="1" t="s">
        <v>1974</v>
      </c>
      <c r="L259" s="1" t="s">
        <v>39</v>
      </c>
      <c r="M259" s="1" t="str">
        <f t="shared" si="109"/>
        <v>Mira Das</v>
      </c>
      <c r="N259" s="1" t="s">
        <v>40</v>
      </c>
      <c r="O259" s="1" t="str">
        <f t="shared" si="110"/>
        <v>Small Business</v>
      </c>
      <c r="P259" s="1" t="s">
        <v>71</v>
      </c>
      <c r="Q259" s="1" t="str">
        <f t="shared" si="111"/>
        <v>West</v>
      </c>
      <c r="R259" s="1" t="str">
        <f t="shared" si="112"/>
        <v>OK</v>
      </c>
      <c r="S259" s="1" t="s">
        <v>230</v>
      </c>
      <c r="T259" s="1" t="str">
        <f t="shared" si="113"/>
        <v>Goa</v>
      </c>
      <c r="U259" s="1" t="s">
        <v>231</v>
      </c>
      <c r="V259" s="1" t="str">
        <f t="shared" si="114"/>
        <v>Panaji</v>
      </c>
      <c r="W259" s="1" t="s">
        <v>44</v>
      </c>
      <c r="X259" s="1" t="str">
        <f t="shared" si="115"/>
        <v>Furniture</v>
      </c>
      <c r="Y259" s="1" t="s">
        <v>45</v>
      </c>
      <c r="Z259" s="1" t="str">
        <f t="shared" si="116"/>
        <v>Tables</v>
      </c>
      <c r="AA259" s="1" t="s">
        <v>1975</v>
      </c>
      <c r="AB259" s="1" t="s">
        <v>65</v>
      </c>
      <c r="AC259" s="1" t="str">
        <f t="shared" si="117"/>
        <v>Standard Class</v>
      </c>
      <c r="AD259" s="1" t="str">
        <f t="shared" si="118"/>
        <v>OK</v>
      </c>
      <c r="AE259" s="1">
        <v>7</v>
      </c>
      <c r="AF259" s="1">
        <v>2851.51</v>
      </c>
      <c r="AG259" s="9">
        <v>0</v>
      </c>
      <c r="AH259" s="9">
        <f t="shared" si="119"/>
        <v>0</v>
      </c>
      <c r="AI259" s="1" t="str">
        <f t="shared" si="120"/>
        <v>OK</v>
      </c>
      <c r="AJ259" s="1">
        <v>19960.57</v>
      </c>
      <c r="AK259" s="1">
        <v>16603.599999999999</v>
      </c>
      <c r="AL259" s="1">
        <v>3356.97</v>
      </c>
      <c r="AM259" s="13">
        <f t="shared" si="121"/>
        <v>19960.57</v>
      </c>
      <c r="AN259" s="9">
        <f t="shared" si="122"/>
        <v>3356.9700000000012</v>
      </c>
      <c r="AO259" s="9">
        <f t="shared" ref="AO259:AO322" si="131">IF(OR(AM259="INVALID",AN259="INVALID"),"",AN259/AM259)</f>
        <v>0.1681800670020947</v>
      </c>
      <c r="AP259" s="1" t="s">
        <v>33</v>
      </c>
      <c r="AQ259" s="1" t="str">
        <f t="shared" si="123"/>
        <v>Paid</v>
      </c>
      <c r="AR259" s="1" t="str">
        <f t="shared" si="124"/>
        <v>OK</v>
      </c>
      <c r="AS259" s="1" t="s">
        <v>34</v>
      </c>
      <c r="AT259" s="4" t="str">
        <f t="shared" si="125"/>
        <v>Completed</v>
      </c>
      <c r="AU259" s="3" t="str">
        <f t="shared" si="126"/>
        <v>OK</v>
      </c>
      <c r="AV259" s="3" t="str">
        <f t="shared" ref="AV259:AV322" si="132">IF(OR(AI259&lt;&gt;"OK",J259="INVALID_SHIPPING"),
"INVALID",
IF(OR(R259&lt;&gt;"OK",AD259&lt;&gt;"OK"),
"WARNING",
"CLEAN"))</f>
        <v>CLEAN</v>
      </c>
      <c r="AW259" t="str">
        <f t="shared" ref="AW259:AW322" si="133">IF(AM259="INVALID","INVALID",
IF(ROUND(AJ259,2)=ROUND(AM259,2),"MATCH","MISMATCH"))</f>
        <v>MATCH</v>
      </c>
      <c r="AX259" t="str">
        <f t="shared" ref="AX259:AX322" si="134">IF(AN259="INVALID","INVALID",IF(ROUND(AL259,2)=ROUND(AN259,2),"MATCH","MISMATCH"))</f>
        <v>MATCH</v>
      </c>
    </row>
    <row r="260" spans="1:50" ht="15.6" hidden="1">
      <c r="A260" s="1" t="s">
        <v>1976</v>
      </c>
      <c r="B260" s="1">
        <f t="shared" si="108"/>
        <v>1</v>
      </c>
      <c r="C260" s="16">
        <v>45567</v>
      </c>
      <c r="D260" s="16">
        <v>45567</v>
      </c>
      <c r="E260" s="16" t="str">
        <f t="shared" si="127"/>
        <v>Oct</v>
      </c>
      <c r="F260" s="1">
        <f t="shared" si="128"/>
        <v>2024</v>
      </c>
      <c r="G260" t="s">
        <v>1184</v>
      </c>
      <c r="H260" s="17">
        <v>45661</v>
      </c>
      <c r="I260" s="21">
        <f t="shared" si="129"/>
        <v>94</v>
      </c>
      <c r="J260" s="6" t="str">
        <f t="shared" si="130"/>
        <v>OK</v>
      </c>
      <c r="K260" s="1" t="s">
        <v>1977</v>
      </c>
      <c r="L260" s="1" t="s">
        <v>24</v>
      </c>
      <c r="M260" s="1" t="str">
        <f t="shared" si="109"/>
        <v>Karan Malhotra</v>
      </c>
      <c r="N260" s="1" t="s">
        <v>104</v>
      </c>
      <c r="O260" s="1" t="str">
        <f t="shared" si="110"/>
        <v>Corporate</v>
      </c>
      <c r="P260" s="1" t="s">
        <v>26</v>
      </c>
      <c r="Q260" s="1" t="str">
        <f t="shared" si="111"/>
        <v>North</v>
      </c>
      <c r="R260" s="1" t="str">
        <f t="shared" si="112"/>
        <v>OK</v>
      </c>
      <c r="S260" s="1" t="s">
        <v>27</v>
      </c>
      <c r="T260" s="1" t="str">
        <f t="shared" si="113"/>
        <v>Rajasthan</v>
      </c>
      <c r="U260" s="1" t="s">
        <v>28</v>
      </c>
      <c r="V260" s="1" t="str">
        <f t="shared" si="114"/>
        <v>Jaipur</v>
      </c>
      <c r="W260" s="1" t="s">
        <v>83</v>
      </c>
      <c r="X260" s="1" t="str">
        <f t="shared" si="115"/>
        <v>Technology</v>
      </c>
      <c r="Y260" s="1" t="s">
        <v>207</v>
      </c>
      <c r="Z260" s="1" t="str">
        <f t="shared" si="116"/>
        <v>Phones</v>
      </c>
      <c r="AA260" s="1" t="s">
        <v>1978</v>
      </c>
      <c r="AB260" s="1" t="s">
        <v>32</v>
      </c>
      <c r="AC260" s="1" t="str">
        <f t="shared" si="117"/>
        <v>Second Class</v>
      </c>
      <c r="AD260" s="1" t="str">
        <f t="shared" si="118"/>
        <v>OK</v>
      </c>
      <c r="AE260" s="1">
        <v>3</v>
      </c>
      <c r="AF260" s="1">
        <v>3183.72</v>
      </c>
      <c r="AG260" s="9">
        <v>0.1</v>
      </c>
      <c r="AH260" s="9">
        <f t="shared" si="119"/>
        <v>0.1</v>
      </c>
      <c r="AI260" s="1" t="str">
        <f t="shared" si="120"/>
        <v>OK</v>
      </c>
      <c r="AJ260" s="1">
        <v>8596.0400000000009</v>
      </c>
      <c r="AK260" s="1">
        <v>5378.16</v>
      </c>
      <c r="AL260" s="1">
        <v>3217.88</v>
      </c>
      <c r="AM260" s="13">
        <f t="shared" si="121"/>
        <v>8596.0439999999999</v>
      </c>
      <c r="AN260" s="9">
        <f t="shared" si="122"/>
        <v>3217.884</v>
      </c>
      <c r="AO260" s="9">
        <f t="shared" si="131"/>
        <v>0.37434475672762962</v>
      </c>
      <c r="AP260" s="1" t="s">
        <v>33</v>
      </c>
      <c r="AQ260" s="1" t="str">
        <f t="shared" si="123"/>
        <v>Paid</v>
      </c>
      <c r="AR260" s="1" t="str">
        <f t="shared" si="124"/>
        <v>OK</v>
      </c>
      <c r="AS260" s="1" t="s">
        <v>34</v>
      </c>
      <c r="AT260" s="4" t="str">
        <f t="shared" si="125"/>
        <v>Completed</v>
      </c>
      <c r="AU260" s="3" t="str">
        <f t="shared" si="126"/>
        <v>OK</v>
      </c>
      <c r="AV260" s="3" t="str">
        <f t="shared" si="132"/>
        <v>CLEAN</v>
      </c>
      <c r="AW260" t="str">
        <f t="shared" si="133"/>
        <v>MATCH</v>
      </c>
      <c r="AX260" t="str">
        <f t="shared" si="134"/>
        <v>MATCH</v>
      </c>
    </row>
    <row r="261" spans="1:50" ht="15.6" hidden="1">
      <c r="A261" s="1" t="s">
        <v>1979</v>
      </c>
      <c r="B261" s="1">
        <f t="shared" si="108"/>
        <v>1</v>
      </c>
      <c r="C261" s="16">
        <v>45379</v>
      </c>
      <c r="D261" s="16">
        <v>45379</v>
      </c>
      <c r="E261" s="16" t="str">
        <f t="shared" si="127"/>
        <v>Mar</v>
      </c>
      <c r="F261" s="1">
        <f t="shared" si="128"/>
        <v>2024</v>
      </c>
      <c r="G261" t="s">
        <v>1188</v>
      </c>
      <c r="H261" s="17">
        <v>45472</v>
      </c>
      <c r="I261" s="21">
        <f t="shared" si="129"/>
        <v>93</v>
      </c>
      <c r="J261" s="6" t="str">
        <f t="shared" si="130"/>
        <v>OK</v>
      </c>
      <c r="K261" s="1" t="s">
        <v>1980</v>
      </c>
      <c r="L261" s="1" t="s">
        <v>70</v>
      </c>
      <c r="M261" s="1" t="str">
        <f t="shared" si="109"/>
        <v>Ananya Rao</v>
      </c>
      <c r="N261" s="1" t="s">
        <v>110</v>
      </c>
      <c r="O261" s="1" t="str">
        <f t="shared" si="110"/>
        <v>Home Office</v>
      </c>
      <c r="P261" s="1" t="s">
        <v>71</v>
      </c>
      <c r="Q261" s="1" t="str">
        <f t="shared" si="111"/>
        <v>West</v>
      </c>
      <c r="R261" s="1" t="str">
        <f t="shared" si="112"/>
        <v>OK</v>
      </c>
      <c r="S261" s="1" t="s">
        <v>230</v>
      </c>
      <c r="T261" s="1" t="str">
        <f t="shared" si="113"/>
        <v>Goa</v>
      </c>
      <c r="U261" s="1" t="s">
        <v>231</v>
      </c>
      <c r="V261" s="1" t="str">
        <f t="shared" si="114"/>
        <v>Panaji</v>
      </c>
      <c r="W261" s="1" t="s">
        <v>29</v>
      </c>
      <c r="X261" s="1" t="str">
        <f t="shared" si="115"/>
        <v>Office Supplies</v>
      </c>
      <c r="Y261" s="1" t="s">
        <v>30</v>
      </c>
      <c r="Z261" s="1" t="str">
        <f t="shared" si="116"/>
        <v>Paper</v>
      </c>
      <c r="AA261" s="1" t="s">
        <v>1981</v>
      </c>
      <c r="AB261" s="1" t="s">
        <v>55</v>
      </c>
      <c r="AC261" s="1" t="str">
        <f t="shared" si="117"/>
        <v>First Class</v>
      </c>
      <c r="AD261" s="1" t="str">
        <f t="shared" si="118"/>
        <v>OK</v>
      </c>
      <c r="AE261" s="1">
        <v>3</v>
      </c>
      <c r="AF261" s="1">
        <v>1150.92</v>
      </c>
      <c r="AG261" s="9">
        <v>0</v>
      </c>
      <c r="AH261" s="9">
        <f t="shared" si="119"/>
        <v>0</v>
      </c>
      <c r="AI261" s="1" t="str">
        <f t="shared" si="120"/>
        <v>OK</v>
      </c>
      <c r="AJ261" s="1">
        <v>3452.76</v>
      </c>
      <c r="AK261" s="1">
        <v>2077.96</v>
      </c>
      <c r="AL261" s="1">
        <v>1374.8</v>
      </c>
      <c r="AM261" s="13">
        <f t="shared" si="121"/>
        <v>3452.76</v>
      </c>
      <c r="AN261" s="9">
        <f t="shared" si="122"/>
        <v>1374.8000000000002</v>
      </c>
      <c r="AO261" s="9">
        <f t="shared" si="131"/>
        <v>0.39817421425178701</v>
      </c>
      <c r="AP261" s="1" t="s">
        <v>33</v>
      </c>
      <c r="AQ261" s="1" t="str">
        <f t="shared" si="123"/>
        <v>Paid</v>
      </c>
      <c r="AR261" s="1" t="str">
        <f t="shared" si="124"/>
        <v>OK</v>
      </c>
      <c r="AS261" s="1" t="s">
        <v>34</v>
      </c>
      <c r="AT261" s="4" t="str">
        <f t="shared" si="125"/>
        <v>Completed</v>
      </c>
      <c r="AU261" s="3" t="str">
        <f t="shared" si="126"/>
        <v>OK</v>
      </c>
      <c r="AV261" s="3" t="str">
        <f t="shared" si="132"/>
        <v>CLEAN</v>
      </c>
      <c r="AW261" t="str">
        <f t="shared" si="133"/>
        <v>MATCH</v>
      </c>
      <c r="AX261" t="str">
        <f t="shared" si="134"/>
        <v>MATCH</v>
      </c>
    </row>
    <row r="262" spans="1:50" ht="15.6" hidden="1">
      <c r="A262" s="1" t="s">
        <v>1989</v>
      </c>
      <c r="B262" s="1">
        <f t="shared" si="108"/>
        <v>1</v>
      </c>
      <c r="C262" s="16">
        <v>45558</v>
      </c>
      <c r="D262" s="16">
        <v>45558</v>
      </c>
      <c r="E262" s="16" t="str">
        <f t="shared" si="127"/>
        <v>Sep</v>
      </c>
      <c r="F262" s="1">
        <f t="shared" si="128"/>
        <v>2024</v>
      </c>
      <c r="G262" t="s">
        <v>1192</v>
      </c>
      <c r="H262" s="17">
        <v>45927</v>
      </c>
      <c r="I262" s="21">
        <f t="shared" si="129"/>
        <v>369</v>
      </c>
      <c r="J262" s="6" t="str">
        <f t="shared" si="130"/>
        <v>OK</v>
      </c>
      <c r="K262" s="1" t="s">
        <v>1991</v>
      </c>
      <c r="L262" s="1" t="s">
        <v>153</v>
      </c>
      <c r="M262" s="1" t="str">
        <f t="shared" si="109"/>
        <v>Aarav Sharma</v>
      </c>
      <c r="N262" s="1" t="s">
        <v>110</v>
      </c>
      <c r="O262" s="1" t="str">
        <f t="shared" si="110"/>
        <v>Home Office</v>
      </c>
      <c r="P262" s="1" t="s">
        <v>26</v>
      </c>
      <c r="Q262" s="1" t="str">
        <f t="shared" si="111"/>
        <v>North</v>
      </c>
      <c r="R262" s="1" t="str">
        <f t="shared" si="112"/>
        <v>OK</v>
      </c>
      <c r="S262" s="1" t="s">
        <v>454</v>
      </c>
      <c r="T262" s="1" t="str">
        <f t="shared" si="113"/>
        <v>Delhi</v>
      </c>
      <c r="U262" s="1" t="s">
        <v>455</v>
      </c>
      <c r="V262" s="1" t="str">
        <f t="shared" si="114"/>
        <v>New Delhi</v>
      </c>
      <c r="W262" s="1" t="s">
        <v>29</v>
      </c>
      <c r="X262" s="1" t="str">
        <f t="shared" si="115"/>
        <v>Office Supplies</v>
      </c>
      <c r="Y262" s="1" t="s">
        <v>184</v>
      </c>
      <c r="Z262" s="1" t="str">
        <f t="shared" si="116"/>
        <v>Binders</v>
      </c>
      <c r="AA262" s="1" t="s">
        <v>1992</v>
      </c>
      <c r="AB262" s="1" t="s">
        <v>55</v>
      </c>
      <c r="AC262" s="1" t="str">
        <f t="shared" si="117"/>
        <v>First Class</v>
      </c>
      <c r="AD262" s="1" t="str">
        <f t="shared" si="118"/>
        <v>OK</v>
      </c>
      <c r="AE262" s="1">
        <v>2</v>
      </c>
      <c r="AF262" s="1">
        <v>1275.1400000000001</v>
      </c>
      <c r="AG262" s="9">
        <v>0.2</v>
      </c>
      <c r="AH262" s="9">
        <f t="shared" si="119"/>
        <v>0.2</v>
      </c>
      <c r="AI262" s="1" t="str">
        <f t="shared" si="120"/>
        <v>OK</v>
      </c>
      <c r="AJ262" s="1">
        <v>2040.22</v>
      </c>
      <c r="AK262" s="1">
        <v>1395.71</v>
      </c>
      <c r="AL262" s="1">
        <v>644.51</v>
      </c>
      <c r="AM262" s="13">
        <f t="shared" si="121"/>
        <v>2040.2240000000002</v>
      </c>
      <c r="AN262" s="9">
        <f t="shared" si="122"/>
        <v>644.51400000000012</v>
      </c>
      <c r="AO262" s="9">
        <f t="shared" si="131"/>
        <v>0.31590354784572677</v>
      </c>
      <c r="AP262" s="1" t="s">
        <v>33</v>
      </c>
      <c r="AQ262" s="1" t="str">
        <f t="shared" si="123"/>
        <v>Paid</v>
      </c>
      <c r="AR262" s="1" t="str">
        <f t="shared" si="124"/>
        <v>OK</v>
      </c>
      <c r="AS262" s="1" t="s">
        <v>34</v>
      </c>
      <c r="AT262" s="4" t="str">
        <f t="shared" si="125"/>
        <v>Completed</v>
      </c>
      <c r="AU262" s="3" t="str">
        <f t="shared" si="126"/>
        <v>OK</v>
      </c>
      <c r="AV262" s="3" t="str">
        <f t="shared" si="132"/>
        <v>CLEAN</v>
      </c>
      <c r="AW262" t="str">
        <f t="shared" si="133"/>
        <v>MATCH</v>
      </c>
      <c r="AX262" t="str">
        <f t="shared" si="134"/>
        <v>MATCH</v>
      </c>
    </row>
    <row r="263" spans="1:50" ht="15.6" hidden="1">
      <c r="A263" s="1" t="s">
        <v>2001</v>
      </c>
      <c r="B263" s="1">
        <f t="shared" si="108"/>
        <v>1</v>
      </c>
      <c r="C263" s="16">
        <v>45320</v>
      </c>
      <c r="D263" s="16">
        <v>45320</v>
      </c>
      <c r="E263" s="16" t="str">
        <f t="shared" si="127"/>
        <v>Jan</v>
      </c>
      <c r="F263" s="1">
        <f t="shared" si="128"/>
        <v>2024</v>
      </c>
      <c r="G263" t="s">
        <v>1196</v>
      </c>
      <c r="H263" s="17">
        <v>45832</v>
      </c>
      <c r="I263" s="21">
        <f t="shared" si="129"/>
        <v>512</v>
      </c>
      <c r="J263" s="6" t="str">
        <f t="shared" si="130"/>
        <v>OK</v>
      </c>
      <c r="K263" s="1" t="s">
        <v>2003</v>
      </c>
      <c r="L263" s="1" t="s">
        <v>153</v>
      </c>
      <c r="M263" s="1" t="str">
        <f t="shared" si="109"/>
        <v>Aarav Sharma</v>
      </c>
      <c r="N263" s="1" t="s">
        <v>40</v>
      </c>
      <c r="O263" s="1" t="str">
        <f t="shared" si="110"/>
        <v>Small Business</v>
      </c>
      <c r="P263" s="1" t="s">
        <v>71</v>
      </c>
      <c r="Q263" s="1" t="str">
        <f t="shared" si="111"/>
        <v>West</v>
      </c>
      <c r="R263" s="1" t="str">
        <f t="shared" si="112"/>
        <v>OK</v>
      </c>
      <c r="S263" s="1" t="s">
        <v>81</v>
      </c>
      <c r="T263" s="1" t="str">
        <f t="shared" si="113"/>
        <v>Madhya Pradesh</v>
      </c>
      <c r="U263" s="1" t="s">
        <v>82</v>
      </c>
      <c r="V263" s="1" t="str">
        <f t="shared" si="114"/>
        <v>Indore</v>
      </c>
      <c r="W263" s="1" t="s">
        <v>29</v>
      </c>
      <c r="X263" s="1" t="str">
        <f t="shared" si="115"/>
        <v>Office Supplies</v>
      </c>
      <c r="Y263" s="1" t="s">
        <v>105</v>
      </c>
      <c r="Z263" s="1" t="str">
        <f t="shared" si="116"/>
        <v>Labels</v>
      </c>
      <c r="AA263" s="1" t="s">
        <v>2004</v>
      </c>
      <c r="AB263" s="1" t="s">
        <v>65</v>
      </c>
      <c r="AC263" s="1" t="str">
        <f t="shared" si="117"/>
        <v>Standard Class</v>
      </c>
      <c r="AD263" s="1" t="str">
        <f t="shared" si="118"/>
        <v>OK</v>
      </c>
      <c r="AE263" s="1">
        <v>2</v>
      </c>
      <c r="AF263" s="1">
        <v>1258.9000000000001</v>
      </c>
      <c r="AG263" s="9">
        <v>0</v>
      </c>
      <c r="AH263" s="9">
        <f t="shared" si="119"/>
        <v>0</v>
      </c>
      <c r="AI263" s="1" t="str">
        <f t="shared" si="120"/>
        <v>OK</v>
      </c>
      <c r="AJ263" s="1">
        <v>2517.8000000000002</v>
      </c>
      <c r="AK263" s="1">
        <v>1478.54</v>
      </c>
      <c r="AL263" s="1">
        <v>1039.26</v>
      </c>
      <c r="AM263" s="13">
        <f t="shared" si="121"/>
        <v>2517.8000000000002</v>
      </c>
      <c r="AN263" s="9">
        <f t="shared" si="122"/>
        <v>1039.2600000000002</v>
      </c>
      <c r="AO263" s="9">
        <f t="shared" si="131"/>
        <v>0.41276511239971408</v>
      </c>
      <c r="AP263" s="1" t="s">
        <v>33</v>
      </c>
      <c r="AQ263" s="1" t="str">
        <f t="shared" si="123"/>
        <v>Paid</v>
      </c>
      <c r="AR263" s="1" t="str">
        <f t="shared" si="124"/>
        <v>OK</v>
      </c>
      <c r="AS263" s="1" t="s">
        <v>34</v>
      </c>
      <c r="AT263" s="4" t="str">
        <f t="shared" si="125"/>
        <v>Completed</v>
      </c>
      <c r="AU263" s="3" t="str">
        <f t="shared" si="126"/>
        <v>OK</v>
      </c>
      <c r="AV263" s="3" t="str">
        <f t="shared" si="132"/>
        <v>CLEAN</v>
      </c>
      <c r="AW263" t="str">
        <f t="shared" si="133"/>
        <v>MATCH</v>
      </c>
      <c r="AX263" t="str">
        <f t="shared" si="134"/>
        <v>MATCH</v>
      </c>
    </row>
    <row r="264" spans="1:50" ht="15.6" hidden="1">
      <c r="A264" s="1" t="s">
        <v>2005</v>
      </c>
      <c r="B264" s="1">
        <f t="shared" si="108"/>
        <v>1</v>
      </c>
      <c r="C264" s="16">
        <v>45295</v>
      </c>
      <c r="D264" s="16">
        <v>45295</v>
      </c>
      <c r="E264" s="16" t="str">
        <f t="shared" si="127"/>
        <v>Jan</v>
      </c>
      <c r="F264" s="1">
        <f t="shared" si="128"/>
        <v>2024</v>
      </c>
      <c r="G264" t="s">
        <v>1200</v>
      </c>
      <c r="H264" s="17">
        <v>45809</v>
      </c>
      <c r="I264" s="21">
        <f t="shared" si="129"/>
        <v>514</v>
      </c>
      <c r="J264" s="6" t="str">
        <f t="shared" si="130"/>
        <v>OK</v>
      </c>
      <c r="K264" s="1" t="s">
        <v>2007</v>
      </c>
      <c r="L264" s="1" t="s">
        <v>39</v>
      </c>
      <c r="M264" s="1" t="str">
        <f t="shared" si="109"/>
        <v>Mira Das</v>
      </c>
      <c r="N264" s="1" t="s">
        <v>40</v>
      </c>
      <c r="O264" s="1" t="str">
        <f t="shared" si="110"/>
        <v>Small Business</v>
      </c>
      <c r="P264" s="1" t="s">
        <v>41</v>
      </c>
      <c r="Q264" s="1" t="str">
        <f t="shared" si="111"/>
        <v>East</v>
      </c>
      <c r="R264" s="1" t="str">
        <f t="shared" si="112"/>
        <v>OK</v>
      </c>
      <c r="S264" s="1" t="s">
        <v>174</v>
      </c>
      <c r="T264" s="1" t="str">
        <f t="shared" si="113"/>
        <v>Bihar</v>
      </c>
      <c r="U264" s="1" t="s">
        <v>175</v>
      </c>
      <c r="V264" s="1" t="str">
        <f t="shared" si="114"/>
        <v>Patna</v>
      </c>
      <c r="W264" s="1" t="s">
        <v>83</v>
      </c>
      <c r="X264" s="1" t="str">
        <f t="shared" si="115"/>
        <v>Technology</v>
      </c>
      <c r="Y264" s="1" t="s">
        <v>84</v>
      </c>
      <c r="Z264" s="1" t="str">
        <f t="shared" si="116"/>
        <v>Accessories</v>
      </c>
      <c r="AA264" s="1" t="s">
        <v>2008</v>
      </c>
      <c r="AB264" s="1" t="s">
        <v>47</v>
      </c>
      <c r="AC264" s="1" t="str">
        <f t="shared" si="117"/>
        <v>Same Day</v>
      </c>
      <c r="AD264" s="1" t="str">
        <f t="shared" si="118"/>
        <v>OK</v>
      </c>
      <c r="AE264" s="1">
        <v>9</v>
      </c>
      <c r="AF264" s="1">
        <v>1591.96</v>
      </c>
      <c r="AG264" s="9">
        <v>0.2</v>
      </c>
      <c r="AH264" s="9">
        <f t="shared" si="119"/>
        <v>0.2</v>
      </c>
      <c r="AI264" s="1" t="str">
        <f t="shared" si="120"/>
        <v>OK</v>
      </c>
      <c r="AJ264" s="1">
        <v>11462.11</v>
      </c>
      <c r="AK264" s="1">
        <v>7105.48</v>
      </c>
      <c r="AL264" s="1">
        <v>4356.63</v>
      </c>
      <c r="AM264" s="13">
        <f t="shared" si="121"/>
        <v>11462.112000000001</v>
      </c>
      <c r="AN264" s="9">
        <f t="shared" si="122"/>
        <v>4356.6320000000014</v>
      </c>
      <c r="AO264" s="9">
        <f t="shared" si="131"/>
        <v>0.38008981241851425</v>
      </c>
      <c r="AP264" s="1" t="s">
        <v>33</v>
      </c>
      <c r="AQ264" s="1" t="str">
        <f t="shared" si="123"/>
        <v>Paid</v>
      </c>
      <c r="AR264" s="1" t="str">
        <f t="shared" si="124"/>
        <v>OK</v>
      </c>
      <c r="AS264" s="1" t="s">
        <v>34</v>
      </c>
      <c r="AT264" s="4" t="str">
        <f t="shared" si="125"/>
        <v>Completed</v>
      </c>
      <c r="AU264" s="3" t="str">
        <f t="shared" si="126"/>
        <v>OK</v>
      </c>
      <c r="AV264" s="3" t="str">
        <f t="shared" si="132"/>
        <v>CLEAN</v>
      </c>
      <c r="AW264" t="str">
        <f t="shared" si="133"/>
        <v>MATCH</v>
      </c>
      <c r="AX264" t="str">
        <f t="shared" si="134"/>
        <v>MATCH</v>
      </c>
    </row>
    <row r="265" spans="1:50" ht="15.6" hidden="1">
      <c r="A265" s="1" t="s">
        <v>2009</v>
      </c>
      <c r="B265" s="1">
        <f t="shared" si="108"/>
        <v>1</v>
      </c>
      <c r="C265" s="16">
        <v>45524</v>
      </c>
      <c r="D265" s="16">
        <v>45524</v>
      </c>
      <c r="E265" s="16" t="str">
        <f t="shared" si="127"/>
        <v>Aug</v>
      </c>
      <c r="F265" s="1">
        <f t="shared" si="128"/>
        <v>2024</v>
      </c>
      <c r="G265" t="s">
        <v>837</v>
      </c>
      <c r="H265" s="17">
        <v>45938</v>
      </c>
      <c r="I265" s="21">
        <f t="shared" si="129"/>
        <v>414</v>
      </c>
      <c r="J265" s="6" t="str">
        <f t="shared" si="130"/>
        <v>OK</v>
      </c>
      <c r="K265" s="1" t="s">
        <v>2010</v>
      </c>
      <c r="L265" s="1" t="s">
        <v>103</v>
      </c>
      <c r="M265" s="1" t="str">
        <f t="shared" si="109"/>
        <v>Aditi Sen</v>
      </c>
      <c r="N265" s="1" t="s">
        <v>104</v>
      </c>
      <c r="O265" s="1" t="str">
        <f t="shared" si="110"/>
        <v>Corporate</v>
      </c>
      <c r="P265" s="1" t="s">
        <v>41</v>
      </c>
      <c r="Q265" s="1" t="str">
        <f t="shared" si="111"/>
        <v>East</v>
      </c>
      <c r="R265" s="1" t="str">
        <f t="shared" si="112"/>
        <v>OK</v>
      </c>
      <c r="S265" s="1" t="s">
        <v>42</v>
      </c>
      <c r="T265" s="1" t="str">
        <f t="shared" si="113"/>
        <v>Odisha</v>
      </c>
      <c r="U265" s="1" t="s">
        <v>43</v>
      </c>
      <c r="V265" s="1" t="str">
        <f t="shared" si="114"/>
        <v>Bhubaneswar</v>
      </c>
      <c r="W265" s="1" t="s">
        <v>83</v>
      </c>
      <c r="X265" s="1" t="str">
        <f t="shared" si="115"/>
        <v>Technology</v>
      </c>
      <c r="Y265" s="1" t="s">
        <v>91</v>
      </c>
      <c r="Z265" s="1" t="str">
        <f t="shared" si="116"/>
        <v>Copiers</v>
      </c>
      <c r="AA265" s="1" t="s">
        <v>2011</v>
      </c>
      <c r="AB265" s="1" t="s">
        <v>55</v>
      </c>
      <c r="AC265" s="1" t="str">
        <f t="shared" si="117"/>
        <v>First Class</v>
      </c>
      <c r="AD265" s="1" t="str">
        <f t="shared" si="118"/>
        <v>OK</v>
      </c>
      <c r="AE265" s="1">
        <v>5</v>
      </c>
      <c r="AF265" s="1">
        <v>4288.33</v>
      </c>
      <c r="AG265" s="9">
        <v>0.1</v>
      </c>
      <c r="AH265" s="9">
        <f t="shared" si="119"/>
        <v>0.1</v>
      </c>
      <c r="AI265" s="1" t="str">
        <f t="shared" si="120"/>
        <v>OK</v>
      </c>
      <c r="AJ265" s="1">
        <v>19297.490000000002</v>
      </c>
      <c r="AK265" s="1">
        <v>15451.66</v>
      </c>
      <c r="AL265" s="1">
        <v>3845.83</v>
      </c>
      <c r="AM265" s="13">
        <f t="shared" si="121"/>
        <v>19297.485000000001</v>
      </c>
      <c r="AN265" s="9">
        <f t="shared" si="122"/>
        <v>3845.8250000000007</v>
      </c>
      <c r="AO265" s="9">
        <f t="shared" si="131"/>
        <v>0.1992915138941681</v>
      </c>
      <c r="AP265" s="1" t="s">
        <v>119</v>
      </c>
      <c r="AQ265" s="1" t="str">
        <f t="shared" si="123"/>
        <v>Refunded</v>
      </c>
      <c r="AR265" s="1" t="str">
        <f t="shared" si="124"/>
        <v>REFUNDED_PAYMENT</v>
      </c>
      <c r="AS265" s="1" t="s">
        <v>76</v>
      </c>
      <c r="AT265" s="4" t="str">
        <f t="shared" si="125"/>
        <v>Cancelled</v>
      </c>
      <c r="AU265" s="3" t="str">
        <f t="shared" si="126"/>
        <v>EXCLUDE_FROM_SALES</v>
      </c>
      <c r="AV265" s="3" t="str">
        <f t="shared" si="132"/>
        <v>CLEAN</v>
      </c>
      <c r="AW265" t="str">
        <f t="shared" si="133"/>
        <v>MATCH</v>
      </c>
      <c r="AX265" t="str">
        <f t="shared" si="134"/>
        <v>MATCH</v>
      </c>
    </row>
    <row r="266" spans="1:50" ht="15.6" hidden="1">
      <c r="A266" s="1" t="s">
        <v>2017</v>
      </c>
      <c r="B266" s="1">
        <f t="shared" si="108"/>
        <v>1</v>
      </c>
      <c r="C266" s="16">
        <v>45310</v>
      </c>
      <c r="D266" s="16">
        <v>45310</v>
      </c>
      <c r="E266" s="16" t="str">
        <f t="shared" si="127"/>
        <v>Jan</v>
      </c>
      <c r="F266" s="1">
        <f t="shared" si="128"/>
        <v>2024</v>
      </c>
      <c r="G266" t="s">
        <v>1207</v>
      </c>
      <c r="H266" s="17">
        <v>45433</v>
      </c>
      <c r="I266" s="21">
        <f t="shared" si="129"/>
        <v>123</v>
      </c>
      <c r="J266" s="6" t="str">
        <f t="shared" si="130"/>
        <v>OK</v>
      </c>
      <c r="K266" s="1" t="s">
        <v>2018</v>
      </c>
      <c r="L266" s="1" t="s">
        <v>103</v>
      </c>
      <c r="M266" s="1" t="str">
        <f t="shared" si="109"/>
        <v>Aditi Sen</v>
      </c>
      <c r="N266" s="1" t="s">
        <v>104</v>
      </c>
      <c r="O266" s="1" t="str">
        <f t="shared" si="110"/>
        <v>Corporate</v>
      </c>
      <c r="P266" s="1" t="s">
        <v>71</v>
      </c>
      <c r="Q266" s="1" t="str">
        <f t="shared" si="111"/>
        <v>West</v>
      </c>
      <c r="R266" s="1" t="str">
        <f t="shared" si="112"/>
        <v>OK</v>
      </c>
      <c r="S266" s="1" t="s">
        <v>230</v>
      </c>
      <c r="T266" s="1" t="str">
        <f t="shared" si="113"/>
        <v>Goa</v>
      </c>
      <c r="U266" s="1" t="s">
        <v>231</v>
      </c>
      <c r="V266" s="1" t="str">
        <f t="shared" si="114"/>
        <v>Panaji</v>
      </c>
      <c r="W266" s="1" t="s">
        <v>83</v>
      </c>
      <c r="X266" s="1" t="str">
        <f t="shared" si="115"/>
        <v>Technology</v>
      </c>
      <c r="Y266" s="1" t="s">
        <v>91</v>
      </c>
      <c r="Z266" s="1" t="str">
        <f t="shared" si="116"/>
        <v>Copiers</v>
      </c>
      <c r="AA266" s="1" t="s">
        <v>2019</v>
      </c>
      <c r="AB266" s="1" t="s">
        <v>55</v>
      </c>
      <c r="AC266" s="1" t="str">
        <f t="shared" si="117"/>
        <v>First Class</v>
      </c>
      <c r="AD266" s="1" t="str">
        <f t="shared" si="118"/>
        <v>OK</v>
      </c>
      <c r="AE266" s="1">
        <v>3</v>
      </c>
      <c r="AF266" s="1">
        <v>1041.6600000000001</v>
      </c>
      <c r="AG266" s="9">
        <v>0.1</v>
      </c>
      <c r="AH266" s="9">
        <f t="shared" si="119"/>
        <v>0.1</v>
      </c>
      <c r="AI266" s="1" t="str">
        <f t="shared" si="120"/>
        <v>OK</v>
      </c>
      <c r="AJ266" s="1">
        <v>2812.48</v>
      </c>
      <c r="AK266" s="1">
        <v>2282.12</v>
      </c>
      <c r="AL266" s="1">
        <v>530.36</v>
      </c>
      <c r="AM266" s="13">
        <f t="shared" si="121"/>
        <v>2812.4820000000004</v>
      </c>
      <c r="AN266" s="9">
        <f t="shared" si="122"/>
        <v>530.36200000000053</v>
      </c>
      <c r="AO266" s="9">
        <f t="shared" si="131"/>
        <v>0.18857436243147527</v>
      </c>
      <c r="AP266" s="1" t="s">
        <v>33</v>
      </c>
      <c r="AQ266" s="1" t="str">
        <f t="shared" si="123"/>
        <v>Paid</v>
      </c>
      <c r="AR266" s="1" t="str">
        <f t="shared" si="124"/>
        <v>OK</v>
      </c>
      <c r="AS266" s="1" t="s">
        <v>34</v>
      </c>
      <c r="AT266" s="4" t="str">
        <f t="shared" si="125"/>
        <v>Completed</v>
      </c>
      <c r="AU266" s="3" t="str">
        <f t="shared" si="126"/>
        <v>OK</v>
      </c>
      <c r="AV266" s="3" t="str">
        <f t="shared" si="132"/>
        <v>CLEAN</v>
      </c>
      <c r="AW266" t="str">
        <f t="shared" si="133"/>
        <v>MATCH</v>
      </c>
      <c r="AX266" t="str">
        <f t="shared" si="134"/>
        <v>MATCH</v>
      </c>
    </row>
    <row r="267" spans="1:50" ht="15.6" hidden="1">
      <c r="A267" s="1" t="s">
        <v>2020</v>
      </c>
      <c r="B267" s="1">
        <f t="shared" si="108"/>
        <v>1</v>
      </c>
      <c r="C267" s="16">
        <v>45501</v>
      </c>
      <c r="D267" s="16">
        <v>45501</v>
      </c>
      <c r="E267" s="16" t="str">
        <f t="shared" si="127"/>
        <v>Jul</v>
      </c>
      <c r="F267" s="1">
        <f t="shared" si="128"/>
        <v>2024</v>
      </c>
      <c r="G267" t="s">
        <v>807</v>
      </c>
      <c r="H267" s="17">
        <v>45618</v>
      </c>
      <c r="I267" s="21">
        <f t="shared" si="129"/>
        <v>117</v>
      </c>
      <c r="J267" s="6" t="str">
        <f t="shared" si="130"/>
        <v>OK</v>
      </c>
      <c r="K267" s="1" t="s">
        <v>2021</v>
      </c>
      <c r="L267" s="1" t="s">
        <v>103</v>
      </c>
      <c r="M267" s="1" t="str">
        <f t="shared" si="109"/>
        <v>Aditi Sen</v>
      </c>
      <c r="N267" s="1" t="s">
        <v>25</v>
      </c>
      <c r="O267" s="1" t="str">
        <f t="shared" si="110"/>
        <v>Consumer</v>
      </c>
      <c r="P267" s="1" t="s">
        <v>26</v>
      </c>
      <c r="Q267" s="1" t="str">
        <f t="shared" si="111"/>
        <v>North</v>
      </c>
      <c r="R267" s="1" t="str">
        <f t="shared" si="112"/>
        <v>OK</v>
      </c>
      <c r="S267" s="1" t="s">
        <v>27</v>
      </c>
      <c r="T267" s="1" t="str">
        <f t="shared" si="113"/>
        <v>Rajasthan</v>
      </c>
      <c r="U267" s="1" t="s">
        <v>28</v>
      </c>
      <c r="V267" s="1" t="str">
        <f t="shared" si="114"/>
        <v>Jaipur</v>
      </c>
      <c r="W267" s="1" t="s">
        <v>44</v>
      </c>
      <c r="X267" s="1" t="str">
        <f t="shared" si="115"/>
        <v>Furniture</v>
      </c>
      <c r="Y267" s="1" t="s">
        <v>45</v>
      </c>
      <c r="Z267" s="1" t="str">
        <f t="shared" si="116"/>
        <v>Tables</v>
      </c>
      <c r="AA267" s="1" t="s">
        <v>2022</v>
      </c>
      <c r="AB267" s="1" t="s">
        <v>47</v>
      </c>
      <c r="AC267" s="1" t="str">
        <f t="shared" si="117"/>
        <v>Same Day</v>
      </c>
      <c r="AD267" s="1" t="str">
        <f t="shared" si="118"/>
        <v>OK</v>
      </c>
      <c r="AE267" s="1">
        <v>2</v>
      </c>
      <c r="AF267" s="1">
        <v>4424.78</v>
      </c>
      <c r="AG267" s="9">
        <v>0.2</v>
      </c>
      <c r="AH267" s="9">
        <f t="shared" si="119"/>
        <v>0.2</v>
      </c>
      <c r="AI267" s="1" t="str">
        <f t="shared" si="120"/>
        <v>OK</v>
      </c>
      <c r="AJ267" s="1">
        <v>7079.65</v>
      </c>
      <c r="AK267" s="1">
        <v>4465.91</v>
      </c>
      <c r="AL267" s="1">
        <v>2613.7399999999998</v>
      </c>
      <c r="AM267" s="13">
        <f t="shared" si="121"/>
        <v>7079.6480000000001</v>
      </c>
      <c r="AN267" s="9">
        <f t="shared" si="122"/>
        <v>2613.7380000000003</v>
      </c>
      <c r="AO267" s="9">
        <f t="shared" si="131"/>
        <v>0.36919038912669105</v>
      </c>
      <c r="AP267" s="1" t="s">
        <v>33</v>
      </c>
      <c r="AQ267" s="1" t="str">
        <f t="shared" si="123"/>
        <v>Paid</v>
      </c>
      <c r="AR267" s="1" t="str">
        <f t="shared" si="124"/>
        <v>OK</v>
      </c>
      <c r="AS267" s="1" t="s">
        <v>34</v>
      </c>
      <c r="AT267" s="4" t="str">
        <f t="shared" si="125"/>
        <v>Completed</v>
      </c>
      <c r="AU267" s="3" t="str">
        <f t="shared" si="126"/>
        <v>OK</v>
      </c>
      <c r="AV267" s="3" t="str">
        <f t="shared" si="132"/>
        <v>CLEAN</v>
      </c>
      <c r="AW267" t="str">
        <f t="shared" si="133"/>
        <v>MATCH</v>
      </c>
      <c r="AX267" t="str">
        <f t="shared" si="134"/>
        <v>MATCH</v>
      </c>
    </row>
    <row r="268" spans="1:50" ht="15.6" hidden="1">
      <c r="A268" s="1" t="s">
        <v>2023</v>
      </c>
      <c r="B268" s="1">
        <f t="shared" si="108"/>
        <v>1</v>
      </c>
      <c r="C268" s="16">
        <v>45333</v>
      </c>
      <c r="D268" s="16">
        <v>45333</v>
      </c>
      <c r="E268" s="16" t="str">
        <f t="shared" si="127"/>
        <v>Feb</v>
      </c>
      <c r="F268" s="1">
        <f t="shared" si="128"/>
        <v>2024</v>
      </c>
      <c r="G268" t="s">
        <v>1215</v>
      </c>
      <c r="H268" s="17">
        <v>45787</v>
      </c>
      <c r="I268" s="21">
        <f t="shared" si="129"/>
        <v>454</v>
      </c>
      <c r="J268" s="6" t="str">
        <f t="shared" si="130"/>
        <v>OK</v>
      </c>
      <c r="K268" s="1" t="s">
        <v>2025</v>
      </c>
      <c r="L268" s="1" t="s">
        <v>334</v>
      </c>
      <c r="M268" s="1" t="str">
        <f t="shared" si="109"/>
        <v>Kabir Singh</v>
      </c>
      <c r="N268" s="1" t="s">
        <v>25</v>
      </c>
      <c r="O268" s="1" t="str">
        <f t="shared" si="110"/>
        <v>Consumer</v>
      </c>
      <c r="P268" s="1" t="s">
        <v>60</v>
      </c>
      <c r="Q268" s="1" t="str">
        <f t="shared" si="111"/>
        <v>South</v>
      </c>
      <c r="R268" s="1" t="str">
        <f t="shared" si="112"/>
        <v>OK</v>
      </c>
      <c r="S268" s="1" t="s">
        <v>61</v>
      </c>
      <c r="T268" s="1" t="str">
        <f t="shared" si="113"/>
        <v>Telangana</v>
      </c>
      <c r="U268" s="1" t="s">
        <v>62</v>
      </c>
      <c r="V268" s="1" t="str">
        <f t="shared" si="114"/>
        <v>Hyderabad</v>
      </c>
      <c r="W268" s="1" t="s">
        <v>29</v>
      </c>
      <c r="X268" s="1" t="str">
        <f t="shared" si="115"/>
        <v>Office Supplies</v>
      </c>
      <c r="Y268" s="1" t="s">
        <v>184</v>
      </c>
      <c r="Z268" s="1" t="str">
        <f t="shared" si="116"/>
        <v>Binders</v>
      </c>
      <c r="AA268" s="1" t="s">
        <v>2026</v>
      </c>
      <c r="AB268" s="1" t="s">
        <v>65</v>
      </c>
      <c r="AC268" s="1" t="str">
        <f t="shared" si="117"/>
        <v>Standard Class</v>
      </c>
      <c r="AD268" s="1" t="str">
        <f t="shared" si="118"/>
        <v>OK</v>
      </c>
      <c r="AE268" s="1">
        <v>3</v>
      </c>
      <c r="AF268" s="1">
        <v>3019.14</v>
      </c>
      <c r="AG268" s="9">
        <v>0.25</v>
      </c>
      <c r="AH268" s="9">
        <f t="shared" si="119"/>
        <v>0.25</v>
      </c>
      <c r="AI268" s="1" t="str">
        <f t="shared" si="120"/>
        <v>OK</v>
      </c>
      <c r="AJ268" s="1">
        <v>6793.07</v>
      </c>
      <c r="AK268" s="1">
        <v>4985.22</v>
      </c>
      <c r="AL268" s="1">
        <v>1807.85</v>
      </c>
      <c r="AM268" s="13">
        <f t="shared" si="121"/>
        <v>6793.0650000000005</v>
      </c>
      <c r="AN268" s="9">
        <f t="shared" si="122"/>
        <v>1807.8450000000003</v>
      </c>
      <c r="AO268" s="9">
        <f t="shared" si="131"/>
        <v>0.26613097327936652</v>
      </c>
      <c r="AP268" s="1" t="s">
        <v>33</v>
      </c>
      <c r="AQ268" s="1" t="str">
        <f t="shared" si="123"/>
        <v>Paid</v>
      </c>
      <c r="AR268" s="1" t="str">
        <f t="shared" si="124"/>
        <v>OK</v>
      </c>
      <c r="AS268" s="1" t="s">
        <v>34</v>
      </c>
      <c r="AT268" s="4" t="str">
        <f t="shared" si="125"/>
        <v>Completed</v>
      </c>
      <c r="AU268" s="3" t="str">
        <f t="shared" si="126"/>
        <v>OK</v>
      </c>
      <c r="AV268" s="3" t="str">
        <f t="shared" si="132"/>
        <v>CLEAN</v>
      </c>
      <c r="AW268" t="str">
        <f t="shared" si="133"/>
        <v>MATCH</v>
      </c>
      <c r="AX268" t="str">
        <f t="shared" si="134"/>
        <v>MATCH</v>
      </c>
    </row>
    <row r="269" spans="1:50" ht="15.6" hidden="1">
      <c r="A269" s="1" t="s">
        <v>2027</v>
      </c>
      <c r="B269" s="1">
        <f t="shared" si="108"/>
        <v>1</v>
      </c>
      <c r="C269" s="16">
        <v>45353</v>
      </c>
      <c r="D269" s="16">
        <v>45353</v>
      </c>
      <c r="E269" s="16" t="str">
        <f t="shared" si="127"/>
        <v>Mar</v>
      </c>
      <c r="F269" s="1">
        <f t="shared" si="128"/>
        <v>2024</v>
      </c>
      <c r="G269" t="s">
        <v>1219</v>
      </c>
      <c r="H269" s="17">
        <v>45753</v>
      </c>
      <c r="I269" s="21">
        <f t="shared" si="129"/>
        <v>400</v>
      </c>
      <c r="J269" s="6" t="str">
        <f t="shared" si="130"/>
        <v>OK</v>
      </c>
      <c r="K269" s="1" t="s">
        <v>2028</v>
      </c>
      <c r="L269" s="1" t="s">
        <v>169</v>
      </c>
      <c r="M269" s="1" t="str">
        <f t="shared" si="109"/>
        <v>Rohan Mehta</v>
      </c>
      <c r="N269" s="1" t="s">
        <v>104</v>
      </c>
      <c r="O269" s="1" t="str">
        <f t="shared" si="110"/>
        <v>Corporate</v>
      </c>
      <c r="P269" s="1" t="s">
        <v>41</v>
      </c>
      <c r="Q269" s="1" t="str">
        <f t="shared" si="111"/>
        <v>East</v>
      </c>
      <c r="R269" s="1" t="str">
        <f t="shared" si="112"/>
        <v>OK</v>
      </c>
      <c r="S269" s="1" t="s">
        <v>42</v>
      </c>
      <c r="T269" s="1" t="str">
        <f t="shared" si="113"/>
        <v>Odisha</v>
      </c>
      <c r="U269" s="1" t="s">
        <v>43</v>
      </c>
      <c r="V269" s="1" t="str">
        <f t="shared" si="114"/>
        <v>Bhubaneswar</v>
      </c>
      <c r="W269" s="1" t="s">
        <v>29</v>
      </c>
      <c r="X269" s="1" t="str">
        <f t="shared" si="115"/>
        <v>Office Supplies</v>
      </c>
      <c r="Y269" s="1" t="s">
        <v>148</v>
      </c>
      <c r="Z269" s="1" t="str">
        <f t="shared" si="116"/>
        <v>Storage</v>
      </c>
      <c r="AA269" s="1" t="s">
        <v>2029</v>
      </c>
      <c r="AB269" s="1" t="s">
        <v>65</v>
      </c>
      <c r="AC269" s="1" t="str">
        <f t="shared" si="117"/>
        <v>Standard Class</v>
      </c>
      <c r="AD269" s="1" t="str">
        <f t="shared" si="118"/>
        <v>OK</v>
      </c>
      <c r="AE269" s="1">
        <v>7</v>
      </c>
      <c r="AF269" s="1">
        <v>263.45999999999998</v>
      </c>
      <c r="AG269" s="9">
        <v>0</v>
      </c>
      <c r="AH269" s="9">
        <f t="shared" si="119"/>
        <v>0</v>
      </c>
      <c r="AI269" s="1" t="str">
        <f t="shared" si="120"/>
        <v>OK</v>
      </c>
      <c r="AJ269" s="1">
        <v>1844.22</v>
      </c>
      <c r="AK269" s="1">
        <v>1094.21</v>
      </c>
      <c r="AL269" s="1">
        <v>750.01</v>
      </c>
      <c r="AM269" s="13">
        <f t="shared" si="121"/>
        <v>1844.2199999999998</v>
      </c>
      <c r="AN269" s="9">
        <f t="shared" si="122"/>
        <v>750.00999999999976</v>
      </c>
      <c r="AO269" s="9">
        <f t="shared" si="131"/>
        <v>0.40668141544934977</v>
      </c>
      <c r="AP269" s="1" t="s">
        <v>33</v>
      </c>
      <c r="AQ269" s="1" t="str">
        <f t="shared" si="123"/>
        <v>Paid</v>
      </c>
      <c r="AR269" s="1" t="str">
        <f t="shared" si="124"/>
        <v>OK</v>
      </c>
      <c r="AS269" s="1" t="s">
        <v>34</v>
      </c>
      <c r="AT269" s="4" t="str">
        <f t="shared" si="125"/>
        <v>Completed</v>
      </c>
      <c r="AU269" s="3" t="str">
        <f t="shared" si="126"/>
        <v>OK</v>
      </c>
      <c r="AV269" s="3" t="str">
        <f t="shared" si="132"/>
        <v>CLEAN</v>
      </c>
      <c r="AW269" t="str">
        <f t="shared" si="133"/>
        <v>MATCH</v>
      </c>
      <c r="AX269" t="str">
        <f t="shared" si="134"/>
        <v>MATCH</v>
      </c>
    </row>
    <row r="270" spans="1:50" ht="15.6" hidden="1">
      <c r="A270" s="1" t="s">
        <v>2030</v>
      </c>
      <c r="B270" s="1">
        <f t="shared" si="108"/>
        <v>1</v>
      </c>
      <c r="C270" s="16">
        <v>45609</v>
      </c>
      <c r="D270" s="16">
        <v>45609</v>
      </c>
      <c r="E270" s="16" t="str">
        <f t="shared" si="127"/>
        <v>Nov</v>
      </c>
      <c r="F270" s="1">
        <f t="shared" si="128"/>
        <v>2024</v>
      </c>
      <c r="G270" t="s">
        <v>1223</v>
      </c>
      <c r="H270" s="17">
        <v>45886</v>
      </c>
      <c r="I270" s="21">
        <f t="shared" si="129"/>
        <v>277</v>
      </c>
      <c r="J270" s="6" t="str">
        <f t="shared" si="130"/>
        <v>OK</v>
      </c>
      <c r="K270" s="1" t="s">
        <v>2031</v>
      </c>
      <c r="L270" s="1" t="s">
        <v>136</v>
      </c>
      <c r="M270" s="1" t="str">
        <f t="shared" si="109"/>
        <v>Priya Menon</v>
      </c>
      <c r="N270" s="1" t="s">
        <v>25</v>
      </c>
      <c r="O270" s="1" t="str">
        <f t="shared" si="110"/>
        <v>Consumer</v>
      </c>
      <c r="P270" s="1" t="s">
        <v>71</v>
      </c>
      <c r="Q270" s="1" t="str">
        <f t="shared" si="111"/>
        <v>West</v>
      </c>
      <c r="R270" s="1" t="str">
        <f t="shared" si="112"/>
        <v>OK</v>
      </c>
      <c r="S270" s="1" t="s">
        <v>230</v>
      </c>
      <c r="T270" s="1" t="str">
        <f t="shared" si="113"/>
        <v>Goa</v>
      </c>
      <c r="U270" s="1" t="s">
        <v>231</v>
      </c>
      <c r="V270" s="1" t="str">
        <f t="shared" si="114"/>
        <v>Panaji</v>
      </c>
      <c r="W270" s="1" t="s">
        <v>83</v>
      </c>
      <c r="X270" s="1" t="str">
        <f t="shared" si="115"/>
        <v>Technology</v>
      </c>
      <c r="Y270" s="1" t="s">
        <v>91</v>
      </c>
      <c r="Z270" s="1" t="str">
        <f t="shared" si="116"/>
        <v>Copiers</v>
      </c>
      <c r="AA270" s="1" t="s">
        <v>2032</v>
      </c>
      <c r="AB270" s="1" t="s">
        <v>65</v>
      </c>
      <c r="AC270" s="1" t="str">
        <f t="shared" si="117"/>
        <v>Standard Class</v>
      </c>
      <c r="AD270" s="1" t="str">
        <f t="shared" si="118"/>
        <v>OK</v>
      </c>
      <c r="AE270" s="1">
        <v>6</v>
      </c>
      <c r="AF270" s="1">
        <v>191.45</v>
      </c>
      <c r="AG270" s="9">
        <v>0.2</v>
      </c>
      <c r="AH270" s="9">
        <f t="shared" si="119"/>
        <v>0.2</v>
      </c>
      <c r="AI270" s="1" t="str">
        <f t="shared" si="120"/>
        <v>OK</v>
      </c>
      <c r="AJ270" s="1">
        <v>918.96</v>
      </c>
      <c r="AK270" s="1">
        <v>554.17999999999995</v>
      </c>
      <c r="AL270" s="1">
        <v>364.78</v>
      </c>
      <c r="AM270" s="13">
        <f t="shared" si="121"/>
        <v>918.95999999999992</v>
      </c>
      <c r="AN270" s="9">
        <f t="shared" si="122"/>
        <v>364.78</v>
      </c>
      <c r="AO270" s="9">
        <f t="shared" si="131"/>
        <v>0.39694872464525116</v>
      </c>
      <c r="AP270" s="1" t="s">
        <v>33</v>
      </c>
      <c r="AQ270" s="1" t="str">
        <f t="shared" si="123"/>
        <v>Paid</v>
      </c>
      <c r="AR270" s="1" t="str">
        <f t="shared" si="124"/>
        <v>OK</v>
      </c>
      <c r="AS270" s="1" t="s">
        <v>34</v>
      </c>
      <c r="AT270" s="4" t="str">
        <f t="shared" si="125"/>
        <v>Completed</v>
      </c>
      <c r="AU270" s="3" t="str">
        <f t="shared" si="126"/>
        <v>OK</v>
      </c>
      <c r="AV270" s="3" t="str">
        <f t="shared" si="132"/>
        <v>CLEAN</v>
      </c>
      <c r="AW270" t="str">
        <f t="shared" si="133"/>
        <v>MATCH</v>
      </c>
      <c r="AX270" t="str">
        <f t="shared" si="134"/>
        <v>MATCH</v>
      </c>
    </row>
    <row r="271" spans="1:50" ht="15.6" hidden="1">
      <c r="A271" s="1" t="s">
        <v>2033</v>
      </c>
      <c r="B271" s="1">
        <f t="shared" si="108"/>
        <v>1</v>
      </c>
      <c r="C271" s="16">
        <v>45446</v>
      </c>
      <c r="D271" s="16">
        <v>45446</v>
      </c>
      <c r="E271" s="16" t="str">
        <f t="shared" si="127"/>
        <v>Jun</v>
      </c>
      <c r="F271" s="1">
        <f t="shared" si="128"/>
        <v>2024</v>
      </c>
      <c r="G271" t="s">
        <v>1227</v>
      </c>
      <c r="H271" s="17">
        <v>45700</v>
      </c>
      <c r="I271" s="21">
        <f t="shared" si="129"/>
        <v>254</v>
      </c>
      <c r="J271" s="6" t="str">
        <f t="shared" si="130"/>
        <v>OK</v>
      </c>
      <c r="K271" s="1" t="s">
        <v>2035</v>
      </c>
      <c r="L271" s="1" t="s">
        <v>196</v>
      </c>
      <c r="M271" s="1" t="str">
        <f t="shared" si="109"/>
        <v>Diya Patel</v>
      </c>
      <c r="N271" s="1" t="s">
        <v>104</v>
      </c>
      <c r="O271" s="1" t="str">
        <f t="shared" si="110"/>
        <v>Corporate</v>
      </c>
      <c r="P271" s="1" t="s">
        <v>26</v>
      </c>
      <c r="Q271" s="1" t="str">
        <f t="shared" si="111"/>
        <v>North</v>
      </c>
      <c r="R271" s="1" t="str">
        <f t="shared" si="112"/>
        <v>OK</v>
      </c>
      <c r="S271" s="1" t="s">
        <v>146</v>
      </c>
      <c r="T271" s="1" t="str">
        <f t="shared" si="113"/>
        <v>Punjab</v>
      </c>
      <c r="U271" s="1" t="s">
        <v>147</v>
      </c>
      <c r="V271" s="1" t="str">
        <f t="shared" si="114"/>
        <v>Ludhiana</v>
      </c>
      <c r="W271" s="1" t="s">
        <v>44</v>
      </c>
      <c r="X271" s="1" t="str">
        <f t="shared" si="115"/>
        <v>Furniture</v>
      </c>
      <c r="Y271" s="1" t="s">
        <v>63</v>
      </c>
      <c r="Z271" s="1" t="str">
        <f t="shared" si="116"/>
        <v>Furnishings</v>
      </c>
      <c r="AA271" s="1" t="s">
        <v>2036</v>
      </c>
      <c r="AB271" s="1" t="s">
        <v>65</v>
      </c>
      <c r="AC271" s="1" t="str">
        <f t="shared" si="117"/>
        <v>Standard Class</v>
      </c>
      <c r="AD271" s="1" t="str">
        <f t="shared" si="118"/>
        <v>OK</v>
      </c>
      <c r="AE271" s="1">
        <v>3</v>
      </c>
      <c r="AF271" s="1">
        <v>1633.57</v>
      </c>
      <c r="AG271" s="9">
        <v>0</v>
      </c>
      <c r="AH271" s="9">
        <f t="shared" si="119"/>
        <v>0</v>
      </c>
      <c r="AI271" s="1" t="str">
        <f t="shared" si="120"/>
        <v>OK</v>
      </c>
      <c r="AJ271" s="1">
        <v>4900.71</v>
      </c>
      <c r="AK271" s="1">
        <v>2713.9</v>
      </c>
      <c r="AL271" s="1">
        <v>2186.81</v>
      </c>
      <c r="AM271" s="13">
        <f t="shared" si="121"/>
        <v>4900.71</v>
      </c>
      <c r="AN271" s="9">
        <f t="shared" si="122"/>
        <v>2186.81</v>
      </c>
      <c r="AO271" s="9">
        <f t="shared" si="131"/>
        <v>0.44622309828575857</v>
      </c>
      <c r="AP271" s="1" t="s">
        <v>33</v>
      </c>
      <c r="AQ271" s="1" t="str">
        <f t="shared" si="123"/>
        <v>Paid</v>
      </c>
      <c r="AR271" s="1" t="str">
        <f t="shared" si="124"/>
        <v>OK</v>
      </c>
      <c r="AS271" s="1" t="s">
        <v>34</v>
      </c>
      <c r="AT271" s="4" t="str">
        <f t="shared" si="125"/>
        <v>Completed</v>
      </c>
      <c r="AU271" s="3" t="str">
        <f t="shared" si="126"/>
        <v>OK</v>
      </c>
      <c r="AV271" s="3" t="str">
        <f t="shared" si="132"/>
        <v>CLEAN</v>
      </c>
      <c r="AW271" t="str">
        <f t="shared" si="133"/>
        <v>MATCH</v>
      </c>
      <c r="AX271" t="str">
        <f t="shared" si="134"/>
        <v>MATCH</v>
      </c>
    </row>
    <row r="272" spans="1:50" ht="15.6">
      <c r="A272" s="1" t="s">
        <v>2041</v>
      </c>
      <c r="B272" s="1">
        <f t="shared" si="108"/>
        <v>1</v>
      </c>
      <c r="C272" s="16">
        <v>45478</v>
      </c>
      <c r="D272" s="16">
        <v>45478</v>
      </c>
      <c r="E272" s="16" t="str">
        <f t="shared" si="127"/>
        <v>Jul</v>
      </c>
      <c r="F272" s="1">
        <f t="shared" si="128"/>
        <v>2024</v>
      </c>
      <c r="G272" t="s">
        <v>506</v>
      </c>
      <c r="H272" s="17">
        <v>45304</v>
      </c>
      <c r="I272" s="21">
        <f t="shared" si="129"/>
        <v>-174</v>
      </c>
      <c r="J272" s="6" t="str">
        <f t="shared" si="130"/>
        <v>INVALID_SHIPPING</v>
      </c>
      <c r="K272" s="1" t="s">
        <v>2043</v>
      </c>
      <c r="L272" s="1" t="s">
        <v>158</v>
      </c>
      <c r="M272" s="1" t="str">
        <f t="shared" si="109"/>
        <v>Sneha Kapoor</v>
      </c>
      <c r="N272" s="1" t="s">
        <v>40</v>
      </c>
      <c r="O272" s="1" t="str">
        <f t="shared" si="110"/>
        <v>Small Business</v>
      </c>
      <c r="P272" s="1" t="s">
        <v>26</v>
      </c>
      <c r="Q272" s="1" t="str">
        <f t="shared" si="111"/>
        <v>North</v>
      </c>
      <c r="R272" s="1" t="str">
        <f t="shared" si="112"/>
        <v>OK</v>
      </c>
      <c r="S272" s="1" t="s">
        <v>27</v>
      </c>
      <c r="T272" s="1" t="str">
        <f t="shared" si="113"/>
        <v>Rajasthan</v>
      </c>
      <c r="U272" s="1" t="s">
        <v>28</v>
      </c>
      <c r="V272" s="1" t="str">
        <f t="shared" si="114"/>
        <v>Jaipur</v>
      </c>
      <c r="W272" s="1" t="s">
        <v>29</v>
      </c>
      <c r="X272" s="1" t="str">
        <f t="shared" si="115"/>
        <v>Office Supplies</v>
      </c>
      <c r="Y272" s="1" t="s">
        <v>148</v>
      </c>
      <c r="Z272" s="1" t="str">
        <f t="shared" si="116"/>
        <v>Storage</v>
      </c>
      <c r="AA272" s="1" t="s">
        <v>2044</v>
      </c>
      <c r="AB272" s="1" t="s">
        <v>55</v>
      </c>
      <c r="AC272" s="1" t="str">
        <f t="shared" si="117"/>
        <v>First Class</v>
      </c>
      <c r="AD272" s="1" t="str">
        <f t="shared" si="118"/>
        <v>OK</v>
      </c>
      <c r="AE272" s="1">
        <v>3</v>
      </c>
      <c r="AF272" s="1">
        <v>383.58</v>
      </c>
      <c r="AG272" s="9">
        <v>0.1</v>
      </c>
      <c r="AH272" s="9">
        <f t="shared" si="119"/>
        <v>0.1</v>
      </c>
      <c r="AI272" s="1" t="str">
        <f t="shared" si="120"/>
        <v>OK</v>
      </c>
      <c r="AJ272" s="1">
        <v>1035.67</v>
      </c>
      <c r="AK272" s="1">
        <v>595.41999999999996</v>
      </c>
      <c r="AL272" s="1">
        <v>440.25</v>
      </c>
      <c r="AM272" s="13">
        <f t="shared" si="121"/>
        <v>1035.6659999999999</v>
      </c>
      <c r="AN272" s="9">
        <f t="shared" si="122"/>
        <v>440.24599999999998</v>
      </c>
      <c r="AO272" s="9">
        <f t="shared" si="131"/>
        <v>0.42508492120046426</v>
      </c>
      <c r="AP272" s="1" t="s">
        <v>33</v>
      </c>
      <c r="AQ272" s="1" t="str">
        <f t="shared" si="123"/>
        <v>Paid</v>
      </c>
      <c r="AR272" s="1" t="str">
        <f t="shared" si="124"/>
        <v>OK</v>
      </c>
      <c r="AS272" s="1" t="s">
        <v>34</v>
      </c>
      <c r="AT272" s="4" t="str">
        <f t="shared" si="125"/>
        <v>Completed</v>
      </c>
      <c r="AU272" s="3" t="str">
        <f t="shared" si="126"/>
        <v>OK</v>
      </c>
      <c r="AV272" s="3" t="str">
        <f t="shared" si="132"/>
        <v>INVALID</v>
      </c>
      <c r="AW272" t="str">
        <f t="shared" si="133"/>
        <v>MATCH</v>
      </c>
      <c r="AX272" t="str">
        <f t="shared" si="134"/>
        <v>MATCH</v>
      </c>
    </row>
    <row r="273" spans="1:50" ht="15.6" hidden="1">
      <c r="A273" s="1" t="s">
        <v>2049</v>
      </c>
      <c r="B273" s="1">
        <f t="shared" si="108"/>
        <v>1</v>
      </c>
      <c r="C273" s="16">
        <v>45541</v>
      </c>
      <c r="D273" s="16">
        <v>45541</v>
      </c>
      <c r="E273" s="16" t="str">
        <f t="shared" si="127"/>
        <v>Sep</v>
      </c>
      <c r="F273" s="1">
        <f t="shared" si="128"/>
        <v>2024</v>
      </c>
      <c r="G273" t="s">
        <v>1235</v>
      </c>
      <c r="H273" s="17">
        <v>45651</v>
      </c>
      <c r="I273" s="21">
        <f t="shared" si="129"/>
        <v>110</v>
      </c>
      <c r="J273" s="6" t="str">
        <f t="shared" si="130"/>
        <v>OK</v>
      </c>
      <c r="K273" s="1" t="s">
        <v>2051</v>
      </c>
      <c r="L273" s="1" t="s">
        <v>39</v>
      </c>
      <c r="M273" s="1" t="str">
        <f t="shared" si="109"/>
        <v>Mira Das</v>
      </c>
      <c r="N273" s="1" t="s">
        <v>110</v>
      </c>
      <c r="O273" s="1" t="str">
        <f t="shared" si="110"/>
        <v>Home Office</v>
      </c>
      <c r="P273" s="1"/>
      <c r="Q273" s="1" t="str">
        <f t="shared" si="111"/>
        <v>Unknown</v>
      </c>
      <c r="R273" s="1" t="str">
        <f t="shared" si="112"/>
        <v>MISSING_REGION</v>
      </c>
      <c r="S273" s="1" t="s">
        <v>163</v>
      </c>
      <c r="T273" s="1" t="str">
        <f t="shared" si="113"/>
        <v>Uttar Pradesh</v>
      </c>
      <c r="U273" s="1" t="s">
        <v>164</v>
      </c>
      <c r="V273" s="1" t="str">
        <f t="shared" si="114"/>
        <v>Noida</v>
      </c>
      <c r="W273" s="1" t="s">
        <v>83</v>
      </c>
      <c r="X273" s="1" t="str">
        <f t="shared" si="115"/>
        <v>Technology</v>
      </c>
      <c r="Y273" s="1" t="s">
        <v>347</v>
      </c>
      <c r="Z273" s="1" t="str">
        <f t="shared" si="116"/>
        <v>Machines</v>
      </c>
      <c r="AA273" s="1" t="s">
        <v>2052</v>
      </c>
      <c r="AB273" s="1" t="s">
        <v>47</v>
      </c>
      <c r="AC273" s="1" t="str">
        <f t="shared" si="117"/>
        <v>Same Day</v>
      </c>
      <c r="AD273" s="1" t="str">
        <f t="shared" si="118"/>
        <v>OK</v>
      </c>
      <c r="AE273" s="1">
        <v>7</v>
      </c>
      <c r="AF273" s="1">
        <v>4079.71</v>
      </c>
      <c r="AG273" s="9">
        <v>0.1</v>
      </c>
      <c r="AH273" s="9">
        <f t="shared" si="119"/>
        <v>0.1</v>
      </c>
      <c r="AI273" s="1" t="str">
        <f t="shared" si="120"/>
        <v>OK</v>
      </c>
      <c r="AJ273" s="1">
        <v>25702.17</v>
      </c>
      <c r="AK273" s="1">
        <v>14571.48</v>
      </c>
      <c r="AL273" s="1">
        <v>11130.69</v>
      </c>
      <c r="AM273" s="13">
        <f t="shared" si="121"/>
        <v>25702.173000000003</v>
      </c>
      <c r="AN273" s="9">
        <f t="shared" si="122"/>
        <v>11130.693000000003</v>
      </c>
      <c r="AO273" s="9">
        <f t="shared" si="131"/>
        <v>0.43306427826160854</v>
      </c>
      <c r="AP273" s="1" t="s">
        <v>119</v>
      </c>
      <c r="AQ273" s="1" t="str">
        <f t="shared" si="123"/>
        <v>Refunded</v>
      </c>
      <c r="AR273" s="1" t="str">
        <f t="shared" si="124"/>
        <v>REFUNDED_PAYMENT</v>
      </c>
      <c r="AS273" s="1" t="s">
        <v>120</v>
      </c>
      <c r="AT273" s="4" t="str">
        <f t="shared" si="125"/>
        <v>Returned</v>
      </c>
      <c r="AU273" s="3" t="str">
        <f t="shared" si="126"/>
        <v>RETURNED_ORDER</v>
      </c>
      <c r="AV273" s="3" t="str">
        <f t="shared" si="132"/>
        <v>WARNING</v>
      </c>
      <c r="AW273" t="str">
        <f t="shared" si="133"/>
        <v>MATCH</v>
      </c>
      <c r="AX273" t="str">
        <f t="shared" si="134"/>
        <v>MATCH</v>
      </c>
    </row>
    <row r="274" spans="1:50" ht="15.6">
      <c r="A274" s="1" t="s">
        <v>2053</v>
      </c>
      <c r="B274" s="1">
        <f t="shared" si="108"/>
        <v>1</v>
      </c>
      <c r="C274" s="16">
        <v>45345</v>
      </c>
      <c r="D274" s="16">
        <v>45345</v>
      </c>
      <c r="E274" s="16" t="str">
        <f t="shared" si="127"/>
        <v>Feb</v>
      </c>
      <c r="F274" s="1">
        <f t="shared" si="128"/>
        <v>2024</v>
      </c>
      <c r="G274" t="s">
        <v>1239</v>
      </c>
      <c r="H274" s="17">
        <v>45528</v>
      </c>
      <c r="I274" s="21">
        <f t="shared" si="129"/>
        <v>183</v>
      </c>
      <c r="J274" s="6" t="str">
        <f t="shared" si="130"/>
        <v>OK</v>
      </c>
      <c r="K274" s="1" t="s">
        <v>2055</v>
      </c>
      <c r="L274" s="1" t="s">
        <v>59</v>
      </c>
      <c r="M274" s="1" t="str">
        <f t="shared" si="109"/>
        <v>Arjun Bose</v>
      </c>
      <c r="N274" s="1" t="s">
        <v>104</v>
      </c>
      <c r="O274" s="1" t="str">
        <f t="shared" si="110"/>
        <v>Corporate</v>
      </c>
      <c r="P274" s="1" t="s">
        <v>41</v>
      </c>
      <c r="Q274" s="1" t="str">
        <f t="shared" si="111"/>
        <v>East</v>
      </c>
      <c r="R274" s="1" t="str">
        <f t="shared" si="112"/>
        <v>OK</v>
      </c>
      <c r="S274" s="1" t="s">
        <v>42</v>
      </c>
      <c r="T274" s="1" t="str">
        <f t="shared" si="113"/>
        <v>Odisha</v>
      </c>
      <c r="U274" s="1" t="s">
        <v>43</v>
      </c>
      <c r="V274" s="1" t="str">
        <f t="shared" si="114"/>
        <v>Bhubaneswar</v>
      </c>
      <c r="W274" s="1" t="s">
        <v>44</v>
      </c>
      <c r="X274" s="1" t="str">
        <f t="shared" si="115"/>
        <v>Furniture</v>
      </c>
      <c r="Y274" s="1" t="s">
        <v>74</v>
      </c>
      <c r="Z274" s="1" t="str">
        <f t="shared" si="116"/>
        <v>Chairs</v>
      </c>
      <c r="AA274" s="1" t="s">
        <v>2056</v>
      </c>
      <c r="AB274" s="1" t="s">
        <v>32</v>
      </c>
      <c r="AC274" s="1" t="str">
        <f t="shared" si="117"/>
        <v>Second Class</v>
      </c>
      <c r="AD274" s="1" t="str">
        <f t="shared" si="118"/>
        <v>OK</v>
      </c>
      <c r="AE274" s="1">
        <v>1</v>
      </c>
      <c r="AF274" s="1">
        <v>2202.5500000000002</v>
      </c>
      <c r="AG274" s="9"/>
      <c r="AH274" s="9">
        <f t="shared" si="119"/>
        <v>0</v>
      </c>
      <c r="AI274" s="1" t="str">
        <f t="shared" si="120"/>
        <v>Missing Discount</v>
      </c>
      <c r="AJ274" s="1">
        <v>1651.91</v>
      </c>
      <c r="AK274" s="1">
        <v>1034.57</v>
      </c>
      <c r="AL274" s="1">
        <v>617.34</v>
      </c>
      <c r="AM274" s="13">
        <f t="shared" si="121"/>
        <v>2202.5500000000002</v>
      </c>
      <c r="AN274" s="9">
        <f t="shared" si="122"/>
        <v>1167.9800000000002</v>
      </c>
      <c r="AO274" s="9">
        <f t="shared" si="131"/>
        <v>0.53028535107035035</v>
      </c>
      <c r="AP274" s="1" t="s">
        <v>33</v>
      </c>
      <c r="AQ274" s="1" t="str">
        <f t="shared" si="123"/>
        <v>Paid</v>
      </c>
      <c r="AR274" s="1" t="str">
        <f t="shared" si="124"/>
        <v>OK</v>
      </c>
      <c r="AS274" s="1" t="s">
        <v>34</v>
      </c>
      <c r="AT274" s="4" t="str">
        <f t="shared" si="125"/>
        <v>Completed</v>
      </c>
      <c r="AU274" s="3" t="str">
        <f t="shared" si="126"/>
        <v>OK</v>
      </c>
      <c r="AV274" s="3" t="str">
        <f t="shared" si="132"/>
        <v>INVALID</v>
      </c>
      <c r="AW274" t="str">
        <f t="shared" si="133"/>
        <v>MISMATCH</v>
      </c>
      <c r="AX274" t="str">
        <f t="shared" si="134"/>
        <v>MISMATCH</v>
      </c>
    </row>
    <row r="275" spans="1:50" ht="15.6" hidden="1">
      <c r="A275" s="1" t="s">
        <v>2064</v>
      </c>
      <c r="B275" s="1">
        <f t="shared" si="108"/>
        <v>1</v>
      </c>
      <c r="C275" s="16">
        <v>45495</v>
      </c>
      <c r="D275" s="16">
        <v>45495</v>
      </c>
      <c r="E275" s="16" t="str">
        <f t="shared" si="127"/>
        <v>Jul</v>
      </c>
      <c r="F275" s="1">
        <f t="shared" si="128"/>
        <v>2024</v>
      </c>
      <c r="G275" t="s">
        <v>1243</v>
      </c>
      <c r="H275" s="17">
        <v>45701</v>
      </c>
      <c r="I275" s="21">
        <f t="shared" si="129"/>
        <v>206</v>
      </c>
      <c r="J275" s="6" t="str">
        <f t="shared" si="130"/>
        <v>OK</v>
      </c>
      <c r="K275" s="1" t="s">
        <v>2065</v>
      </c>
      <c r="L275" s="1" t="s">
        <v>136</v>
      </c>
      <c r="M275" s="1" t="str">
        <f t="shared" si="109"/>
        <v>Priya Menon</v>
      </c>
      <c r="N275" s="1" t="s">
        <v>25</v>
      </c>
      <c r="O275" s="1" t="str">
        <f t="shared" si="110"/>
        <v>Consumer</v>
      </c>
      <c r="P275" s="1" t="s">
        <v>60</v>
      </c>
      <c r="Q275" s="1" t="str">
        <f t="shared" si="111"/>
        <v>South</v>
      </c>
      <c r="R275" s="1" t="str">
        <f t="shared" si="112"/>
        <v>OK</v>
      </c>
      <c r="S275" s="1" t="s">
        <v>212</v>
      </c>
      <c r="T275" s="1" t="str">
        <f t="shared" si="113"/>
        <v>Karnataka</v>
      </c>
      <c r="U275" s="1" t="s">
        <v>213</v>
      </c>
      <c r="V275" s="1" t="str">
        <f t="shared" si="114"/>
        <v>Bengaluru</v>
      </c>
      <c r="W275" s="1" t="s">
        <v>83</v>
      </c>
      <c r="X275" s="1" t="str">
        <f t="shared" si="115"/>
        <v>Technology</v>
      </c>
      <c r="Y275" s="1" t="s">
        <v>84</v>
      </c>
      <c r="Z275" s="1" t="str">
        <f t="shared" si="116"/>
        <v>Accessories</v>
      </c>
      <c r="AA275" s="1" t="s">
        <v>2066</v>
      </c>
      <c r="AB275" s="1" t="s">
        <v>32</v>
      </c>
      <c r="AC275" s="1" t="str">
        <f t="shared" si="117"/>
        <v>Second Class</v>
      </c>
      <c r="AD275" s="1" t="str">
        <f t="shared" si="118"/>
        <v>OK</v>
      </c>
      <c r="AE275" s="1">
        <v>3</v>
      </c>
      <c r="AF275" s="1">
        <v>1286.22</v>
      </c>
      <c r="AG275" s="9">
        <v>0.25</v>
      </c>
      <c r="AH275" s="9">
        <f t="shared" si="119"/>
        <v>0.25</v>
      </c>
      <c r="AI275" s="1" t="str">
        <f t="shared" si="120"/>
        <v>OK</v>
      </c>
      <c r="AJ275" s="1">
        <v>2893.99</v>
      </c>
      <c r="AK275" s="1">
        <v>1856.03</v>
      </c>
      <c r="AL275" s="1">
        <v>1037.96</v>
      </c>
      <c r="AM275" s="13">
        <f t="shared" si="121"/>
        <v>2893.9949999999999</v>
      </c>
      <c r="AN275" s="9">
        <f t="shared" si="122"/>
        <v>1037.9649999999999</v>
      </c>
      <c r="AO275" s="9">
        <f t="shared" si="131"/>
        <v>0.35866164247001114</v>
      </c>
      <c r="AP275" s="1" t="s">
        <v>33</v>
      </c>
      <c r="AQ275" s="1" t="str">
        <f t="shared" si="123"/>
        <v>Paid</v>
      </c>
      <c r="AR275" s="1" t="str">
        <f t="shared" si="124"/>
        <v>OK</v>
      </c>
      <c r="AS275" s="1" t="s">
        <v>34</v>
      </c>
      <c r="AT275" s="4" t="str">
        <f t="shared" si="125"/>
        <v>Completed</v>
      </c>
      <c r="AU275" s="3" t="str">
        <f t="shared" si="126"/>
        <v>OK</v>
      </c>
      <c r="AV275" s="3" t="str">
        <f t="shared" si="132"/>
        <v>CLEAN</v>
      </c>
      <c r="AW275" t="str">
        <f t="shared" si="133"/>
        <v>MISMATCH</v>
      </c>
      <c r="AX275" t="str">
        <f t="shared" si="134"/>
        <v>MISMATCH</v>
      </c>
    </row>
    <row r="276" spans="1:50" ht="15.6">
      <c r="A276" s="1" t="s">
        <v>2067</v>
      </c>
      <c r="B276" s="1">
        <f t="shared" si="108"/>
        <v>1</v>
      </c>
      <c r="C276" s="16">
        <v>45651</v>
      </c>
      <c r="D276" s="16">
        <v>45651</v>
      </c>
      <c r="E276" s="16" t="str">
        <f t="shared" si="127"/>
        <v>Dec</v>
      </c>
      <c r="F276" s="1">
        <f t="shared" si="128"/>
        <v>2024</v>
      </c>
      <c r="G276" t="s">
        <v>1248</v>
      </c>
      <c r="H276" s="17">
        <v>45396</v>
      </c>
      <c r="I276" s="21">
        <f t="shared" si="129"/>
        <v>-255</v>
      </c>
      <c r="J276" s="6" t="str">
        <f t="shared" si="130"/>
        <v>INVALID_SHIPPING</v>
      </c>
      <c r="K276" s="1" t="s">
        <v>2069</v>
      </c>
      <c r="L276" s="1" t="s">
        <v>39</v>
      </c>
      <c r="M276" s="1" t="str">
        <f t="shared" si="109"/>
        <v>Mira Das</v>
      </c>
      <c r="N276" s="1" t="s">
        <v>104</v>
      </c>
      <c r="O276" s="1" t="str">
        <f t="shared" si="110"/>
        <v>Corporate</v>
      </c>
      <c r="P276" s="1" t="s">
        <v>41</v>
      </c>
      <c r="Q276" s="1" t="str">
        <f t="shared" si="111"/>
        <v>East</v>
      </c>
      <c r="R276" s="1" t="str">
        <f t="shared" si="112"/>
        <v>OK</v>
      </c>
      <c r="S276" s="1" t="s">
        <v>174</v>
      </c>
      <c r="T276" s="1" t="str">
        <f t="shared" si="113"/>
        <v>Bihar</v>
      </c>
      <c r="U276" s="1" t="s">
        <v>175</v>
      </c>
      <c r="V276" s="1" t="str">
        <f t="shared" si="114"/>
        <v>Patna</v>
      </c>
      <c r="W276" s="1" t="s">
        <v>83</v>
      </c>
      <c r="X276" s="1" t="str">
        <f t="shared" si="115"/>
        <v>Technology</v>
      </c>
      <c r="Y276" s="1" t="s">
        <v>91</v>
      </c>
      <c r="Z276" s="1" t="str">
        <f t="shared" si="116"/>
        <v>Copiers</v>
      </c>
      <c r="AA276" s="1" t="s">
        <v>2070</v>
      </c>
      <c r="AB276" s="1" t="s">
        <v>65</v>
      </c>
      <c r="AC276" s="1" t="str">
        <f t="shared" si="117"/>
        <v>Standard Class</v>
      </c>
      <c r="AD276" s="1" t="str">
        <f t="shared" si="118"/>
        <v>OK</v>
      </c>
      <c r="AE276" s="1">
        <v>1</v>
      </c>
      <c r="AF276" s="1">
        <v>829.66</v>
      </c>
      <c r="AG276" s="9">
        <v>0.15</v>
      </c>
      <c r="AH276" s="9">
        <f t="shared" si="119"/>
        <v>0.15</v>
      </c>
      <c r="AI276" s="1" t="str">
        <f t="shared" si="120"/>
        <v>OK</v>
      </c>
      <c r="AJ276" s="1">
        <v>705.21</v>
      </c>
      <c r="AK276" s="1">
        <v>438.32</v>
      </c>
      <c r="AL276" s="1">
        <v>266.89</v>
      </c>
      <c r="AM276" s="13">
        <f t="shared" si="121"/>
        <v>705.2109999999999</v>
      </c>
      <c r="AN276" s="9">
        <f t="shared" si="122"/>
        <v>266.89099999999991</v>
      </c>
      <c r="AO276" s="9">
        <f t="shared" si="131"/>
        <v>0.37845552607659261</v>
      </c>
      <c r="AP276" s="1" t="s">
        <v>33</v>
      </c>
      <c r="AQ276" s="1" t="str">
        <f t="shared" si="123"/>
        <v>Paid</v>
      </c>
      <c r="AR276" s="1" t="str">
        <f t="shared" si="124"/>
        <v>OK</v>
      </c>
      <c r="AS276" s="1" t="s">
        <v>34</v>
      </c>
      <c r="AT276" s="4" t="str">
        <f t="shared" si="125"/>
        <v>Completed</v>
      </c>
      <c r="AU276" s="3" t="str">
        <f t="shared" si="126"/>
        <v>OK</v>
      </c>
      <c r="AV276" s="3" t="str">
        <f t="shared" si="132"/>
        <v>INVALID</v>
      </c>
      <c r="AW276" t="str">
        <f t="shared" si="133"/>
        <v>MATCH</v>
      </c>
      <c r="AX276" t="str">
        <f t="shared" si="134"/>
        <v>MATCH</v>
      </c>
    </row>
    <row r="277" spans="1:50" ht="15.6">
      <c r="A277" s="1" t="s">
        <v>2071</v>
      </c>
      <c r="B277" s="1">
        <f t="shared" si="108"/>
        <v>1</v>
      </c>
      <c r="C277" s="16">
        <v>45654</v>
      </c>
      <c r="D277" s="16">
        <v>45654</v>
      </c>
      <c r="E277" s="16" t="str">
        <f t="shared" si="127"/>
        <v>Dec</v>
      </c>
      <c r="F277" s="1">
        <f t="shared" si="128"/>
        <v>2024</v>
      </c>
      <c r="G277" t="s">
        <v>1252</v>
      </c>
      <c r="H277" s="17">
        <v>45344</v>
      </c>
      <c r="I277" s="21">
        <f t="shared" si="129"/>
        <v>-310</v>
      </c>
      <c r="J277" s="6" t="str">
        <f t="shared" si="130"/>
        <v>INVALID_SHIPPING</v>
      </c>
      <c r="K277" s="1" t="s">
        <v>2073</v>
      </c>
      <c r="L277" s="1" t="s">
        <v>39</v>
      </c>
      <c r="M277" s="1" t="str">
        <f t="shared" si="109"/>
        <v>Mira Das</v>
      </c>
      <c r="N277" s="1" t="s">
        <v>40</v>
      </c>
      <c r="O277" s="1" t="str">
        <f t="shared" si="110"/>
        <v>Small Business</v>
      </c>
      <c r="P277" s="1" t="s">
        <v>60</v>
      </c>
      <c r="Q277" s="1" t="str">
        <f t="shared" si="111"/>
        <v>South</v>
      </c>
      <c r="R277" s="1" t="str">
        <f t="shared" si="112"/>
        <v>OK</v>
      </c>
      <c r="S277" s="1" t="s">
        <v>97</v>
      </c>
      <c r="T277" s="1" t="str">
        <f t="shared" si="113"/>
        <v>Andhra Pradesh</v>
      </c>
      <c r="U277" s="1" t="s">
        <v>98</v>
      </c>
      <c r="V277" s="1" t="str">
        <f t="shared" si="114"/>
        <v>Vijayawada</v>
      </c>
      <c r="W277" s="1" t="s">
        <v>44</v>
      </c>
      <c r="X277" s="1" t="str">
        <f t="shared" si="115"/>
        <v>Furniture</v>
      </c>
      <c r="Y277" s="1" t="s">
        <v>63</v>
      </c>
      <c r="Z277" s="1" t="str">
        <f t="shared" si="116"/>
        <v>Furnishings</v>
      </c>
      <c r="AA277" s="1" t="s">
        <v>2074</v>
      </c>
      <c r="AB277" s="1" t="s">
        <v>55</v>
      </c>
      <c r="AC277" s="1" t="str">
        <f t="shared" si="117"/>
        <v>First Class</v>
      </c>
      <c r="AD277" s="1" t="str">
        <f t="shared" si="118"/>
        <v>OK</v>
      </c>
      <c r="AE277" s="1">
        <v>6</v>
      </c>
      <c r="AF277" s="1">
        <v>3641.22</v>
      </c>
      <c r="AG277" s="9">
        <v>0.25</v>
      </c>
      <c r="AH277" s="9">
        <f t="shared" si="119"/>
        <v>0.25</v>
      </c>
      <c r="AI277" s="1" t="str">
        <f t="shared" si="120"/>
        <v>OK</v>
      </c>
      <c r="AJ277" s="1">
        <v>16385.490000000002</v>
      </c>
      <c r="AK277" s="1">
        <v>13679.24</v>
      </c>
      <c r="AL277" s="1">
        <v>2706.25</v>
      </c>
      <c r="AM277" s="13">
        <f t="shared" si="121"/>
        <v>16385.489999999998</v>
      </c>
      <c r="AN277" s="9">
        <f t="shared" si="122"/>
        <v>2706.2499999999982</v>
      </c>
      <c r="AO277" s="9">
        <f t="shared" si="131"/>
        <v>0.16516137143289572</v>
      </c>
      <c r="AP277" s="1" t="s">
        <v>33</v>
      </c>
      <c r="AQ277" s="1" t="str">
        <f t="shared" si="123"/>
        <v>Paid</v>
      </c>
      <c r="AR277" s="1" t="str">
        <f t="shared" si="124"/>
        <v>OK</v>
      </c>
      <c r="AS277" s="1" t="s">
        <v>34</v>
      </c>
      <c r="AT277" s="4" t="str">
        <f t="shared" si="125"/>
        <v>Completed</v>
      </c>
      <c r="AU277" s="3" t="str">
        <f t="shared" si="126"/>
        <v>OK</v>
      </c>
      <c r="AV277" s="3" t="str">
        <f t="shared" si="132"/>
        <v>INVALID</v>
      </c>
      <c r="AW277" t="str">
        <f t="shared" si="133"/>
        <v>MATCH</v>
      </c>
      <c r="AX277" t="str">
        <f t="shared" si="134"/>
        <v>MATCH</v>
      </c>
    </row>
    <row r="278" spans="1:50" ht="15.6">
      <c r="A278" s="1" t="s">
        <v>2086</v>
      </c>
      <c r="B278" s="1">
        <f t="shared" si="108"/>
        <v>1</v>
      </c>
      <c r="C278" s="16">
        <v>45579</v>
      </c>
      <c r="D278" s="16">
        <v>45579</v>
      </c>
      <c r="E278" s="16" t="str">
        <f t="shared" si="127"/>
        <v>Oct</v>
      </c>
      <c r="F278" s="1">
        <f t="shared" si="128"/>
        <v>2024</v>
      </c>
      <c r="G278" t="s">
        <v>1256</v>
      </c>
      <c r="H278" s="17">
        <v>45314</v>
      </c>
      <c r="I278" s="21">
        <f t="shared" si="129"/>
        <v>-265</v>
      </c>
      <c r="J278" s="6" t="str">
        <f t="shared" si="130"/>
        <v>INVALID_SHIPPING</v>
      </c>
      <c r="K278" s="1" t="s">
        <v>2088</v>
      </c>
      <c r="L278" s="1" t="s">
        <v>103</v>
      </c>
      <c r="M278" s="1" t="str">
        <f t="shared" si="109"/>
        <v>Aditi Sen</v>
      </c>
      <c r="N278" s="1" t="s">
        <v>40</v>
      </c>
      <c r="O278" s="1" t="str">
        <f t="shared" si="110"/>
        <v>Small Business</v>
      </c>
      <c r="P278" s="1" t="s">
        <v>26</v>
      </c>
      <c r="Q278" s="1" t="str">
        <f t="shared" si="111"/>
        <v>North</v>
      </c>
      <c r="R278" s="1" t="str">
        <f t="shared" si="112"/>
        <v>OK</v>
      </c>
      <c r="S278" s="1" t="s">
        <v>27</v>
      </c>
      <c r="T278" s="1" t="str">
        <f t="shared" si="113"/>
        <v>Rajasthan</v>
      </c>
      <c r="U278" s="1" t="s">
        <v>28</v>
      </c>
      <c r="V278" s="1" t="str">
        <f t="shared" si="114"/>
        <v>Jaipur</v>
      </c>
      <c r="W278" s="1" t="s">
        <v>44</v>
      </c>
      <c r="X278" s="1" t="str">
        <f t="shared" si="115"/>
        <v>Furniture</v>
      </c>
      <c r="Y278" s="1" t="s">
        <v>45</v>
      </c>
      <c r="Z278" s="1" t="str">
        <f t="shared" si="116"/>
        <v>Tables</v>
      </c>
      <c r="AA278" s="1" t="s">
        <v>2089</v>
      </c>
      <c r="AB278" s="1" t="s">
        <v>47</v>
      </c>
      <c r="AC278" s="1" t="str">
        <f t="shared" si="117"/>
        <v>Same Day</v>
      </c>
      <c r="AD278" s="1" t="str">
        <f t="shared" si="118"/>
        <v>OK</v>
      </c>
      <c r="AE278" s="1">
        <v>7</v>
      </c>
      <c r="AF278" s="1">
        <v>1547.6</v>
      </c>
      <c r="AG278" s="9">
        <v>0.2</v>
      </c>
      <c r="AH278" s="9">
        <f t="shared" si="119"/>
        <v>0.2</v>
      </c>
      <c r="AI278" s="1" t="str">
        <f t="shared" si="120"/>
        <v>OK</v>
      </c>
      <c r="AJ278" s="1">
        <v>8666.56</v>
      </c>
      <c r="AK278" s="1">
        <v>5967.44</v>
      </c>
      <c r="AL278" s="1">
        <v>2699.12</v>
      </c>
      <c r="AM278" s="13">
        <f t="shared" si="121"/>
        <v>8666.56</v>
      </c>
      <c r="AN278" s="9">
        <f t="shared" si="122"/>
        <v>2699.12</v>
      </c>
      <c r="AO278" s="9">
        <f t="shared" si="131"/>
        <v>0.31144075619392242</v>
      </c>
      <c r="AP278" s="1" t="s">
        <v>33</v>
      </c>
      <c r="AQ278" s="1" t="str">
        <f t="shared" si="123"/>
        <v>Paid</v>
      </c>
      <c r="AR278" s="1" t="str">
        <f t="shared" si="124"/>
        <v>OK</v>
      </c>
      <c r="AS278" s="1" t="s">
        <v>34</v>
      </c>
      <c r="AT278" s="4" t="str">
        <f t="shared" si="125"/>
        <v>Completed</v>
      </c>
      <c r="AU278" s="3" t="str">
        <f t="shared" si="126"/>
        <v>OK</v>
      </c>
      <c r="AV278" s="3" t="str">
        <f t="shared" si="132"/>
        <v>INVALID</v>
      </c>
      <c r="AW278" t="str">
        <f t="shared" si="133"/>
        <v>MATCH</v>
      </c>
      <c r="AX278" t="str">
        <f t="shared" si="134"/>
        <v>MATCH</v>
      </c>
    </row>
    <row r="279" spans="1:50" ht="15.6" hidden="1">
      <c r="A279" s="1" t="s">
        <v>2090</v>
      </c>
      <c r="B279" s="1">
        <f t="shared" si="108"/>
        <v>1</v>
      </c>
      <c r="C279" s="16">
        <v>45475</v>
      </c>
      <c r="D279" s="16">
        <v>45475</v>
      </c>
      <c r="E279" s="16" t="str">
        <f t="shared" si="127"/>
        <v>Jul</v>
      </c>
      <c r="F279" s="1">
        <f t="shared" si="128"/>
        <v>2024</v>
      </c>
      <c r="G279" t="s">
        <v>1260</v>
      </c>
      <c r="H279" s="17">
        <v>45812</v>
      </c>
      <c r="I279" s="21">
        <f t="shared" si="129"/>
        <v>337</v>
      </c>
      <c r="J279" s="6" t="str">
        <f t="shared" si="130"/>
        <v>OK</v>
      </c>
      <c r="K279" s="1" t="s">
        <v>2092</v>
      </c>
      <c r="L279" s="1" t="s">
        <v>59</v>
      </c>
      <c r="M279" s="1" t="str">
        <f t="shared" si="109"/>
        <v>Arjun Bose</v>
      </c>
      <c r="N279" s="1" t="s">
        <v>110</v>
      </c>
      <c r="O279" s="1" t="str">
        <f t="shared" si="110"/>
        <v>Home Office</v>
      </c>
      <c r="P279" s="1" t="s">
        <v>41</v>
      </c>
      <c r="Q279" s="1" t="str">
        <f t="shared" si="111"/>
        <v>East</v>
      </c>
      <c r="R279" s="1" t="str">
        <f t="shared" si="112"/>
        <v>OK</v>
      </c>
      <c r="S279" s="1" t="s">
        <v>116</v>
      </c>
      <c r="T279" s="1" t="str">
        <f t="shared" si="113"/>
        <v>West Bengal</v>
      </c>
      <c r="U279" s="1" t="s">
        <v>117</v>
      </c>
      <c r="V279" s="1" t="str">
        <f t="shared" si="114"/>
        <v>Kolkata</v>
      </c>
      <c r="W279" s="1" t="s">
        <v>83</v>
      </c>
      <c r="X279" s="1" t="str">
        <f t="shared" si="115"/>
        <v>Technology</v>
      </c>
      <c r="Y279" s="1" t="s">
        <v>84</v>
      </c>
      <c r="Z279" s="1" t="str">
        <f t="shared" si="116"/>
        <v>Accessories</v>
      </c>
      <c r="AA279" s="1" t="s">
        <v>2093</v>
      </c>
      <c r="AB279" s="1" t="s">
        <v>32</v>
      </c>
      <c r="AC279" s="1" t="str">
        <f t="shared" si="117"/>
        <v>Second Class</v>
      </c>
      <c r="AD279" s="1" t="str">
        <f t="shared" si="118"/>
        <v>OK</v>
      </c>
      <c r="AE279" s="1">
        <v>1</v>
      </c>
      <c r="AF279" s="1">
        <v>452.19</v>
      </c>
      <c r="AG279" s="9">
        <v>0.2</v>
      </c>
      <c r="AH279" s="9">
        <f t="shared" si="119"/>
        <v>0.2</v>
      </c>
      <c r="AI279" s="1" t="str">
        <f t="shared" si="120"/>
        <v>OK</v>
      </c>
      <c r="AJ279" s="1">
        <v>361.75</v>
      </c>
      <c r="AK279" s="1">
        <v>262.52999999999997</v>
      </c>
      <c r="AL279" s="1">
        <v>99.22</v>
      </c>
      <c r="AM279" s="13">
        <f t="shared" si="121"/>
        <v>361.75200000000001</v>
      </c>
      <c r="AN279" s="9">
        <f t="shared" si="122"/>
        <v>99.222000000000037</v>
      </c>
      <c r="AO279" s="9">
        <f t="shared" si="131"/>
        <v>0.27428182843495003</v>
      </c>
      <c r="AP279" s="1" t="s">
        <v>33</v>
      </c>
      <c r="AQ279" s="1" t="str">
        <f t="shared" si="123"/>
        <v>Paid</v>
      </c>
      <c r="AR279" s="1" t="str">
        <f t="shared" si="124"/>
        <v>OK</v>
      </c>
      <c r="AS279" s="1" t="s">
        <v>34</v>
      </c>
      <c r="AT279" s="4" t="str">
        <f t="shared" si="125"/>
        <v>Completed</v>
      </c>
      <c r="AU279" s="3" t="str">
        <f t="shared" si="126"/>
        <v>OK</v>
      </c>
      <c r="AV279" s="3" t="str">
        <f t="shared" si="132"/>
        <v>CLEAN</v>
      </c>
      <c r="AW279" t="str">
        <f t="shared" si="133"/>
        <v>MATCH</v>
      </c>
      <c r="AX279" t="str">
        <f t="shared" si="134"/>
        <v>MATCH</v>
      </c>
    </row>
    <row r="280" spans="1:50" ht="15.6" hidden="1">
      <c r="A280" s="1" t="s">
        <v>2094</v>
      </c>
      <c r="B280" s="1">
        <f t="shared" si="108"/>
        <v>1</v>
      </c>
      <c r="C280" s="16">
        <v>45551</v>
      </c>
      <c r="D280" s="16">
        <v>45551</v>
      </c>
      <c r="E280" s="16" t="str">
        <f t="shared" si="127"/>
        <v>Sep</v>
      </c>
      <c r="F280" s="1">
        <f t="shared" si="128"/>
        <v>2024</v>
      </c>
      <c r="G280" t="s">
        <v>1263</v>
      </c>
      <c r="H280" s="17">
        <v>45730</v>
      </c>
      <c r="I280" s="21">
        <f t="shared" si="129"/>
        <v>179</v>
      </c>
      <c r="J280" s="6" t="str">
        <f t="shared" si="130"/>
        <v>OK</v>
      </c>
      <c r="K280" s="1" t="s">
        <v>2095</v>
      </c>
      <c r="L280" s="1" t="s">
        <v>103</v>
      </c>
      <c r="M280" s="1" t="str">
        <f t="shared" si="109"/>
        <v>Aditi Sen</v>
      </c>
      <c r="N280" s="1" t="s">
        <v>25</v>
      </c>
      <c r="O280" s="1" t="str">
        <f t="shared" si="110"/>
        <v>Consumer</v>
      </c>
      <c r="P280" s="1" t="s">
        <v>71</v>
      </c>
      <c r="Q280" s="1" t="str">
        <f t="shared" si="111"/>
        <v>West</v>
      </c>
      <c r="R280" s="1" t="str">
        <f t="shared" si="112"/>
        <v>OK</v>
      </c>
      <c r="S280" s="1" t="s">
        <v>27</v>
      </c>
      <c r="T280" s="1" t="str">
        <f t="shared" si="113"/>
        <v>Rajasthan</v>
      </c>
      <c r="U280" s="1" t="s">
        <v>129</v>
      </c>
      <c r="V280" s="1" t="str">
        <f t="shared" si="114"/>
        <v>Udaipur</v>
      </c>
      <c r="W280" s="1" t="s">
        <v>29</v>
      </c>
      <c r="X280" s="1" t="str">
        <f t="shared" si="115"/>
        <v>Office Supplies</v>
      </c>
      <c r="Y280" s="1" t="s">
        <v>184</v>
      </c>
      <c r="Z280" s="1" t="str">
        <f t="shared" si="116"/>
        <v>Binders</v>
      </c>
      <c r="AA280" s="1" t="s">
        <v>2096</v>
      </c>
      <c r="AB280" s="1" t="s">
        <v>55</v>
      </c>
      <c r="AC280" s="1" t="str">
        <f t="shared" si="117"/>
        <v>First Class</v>
      </c>
      <c r="AD280" s="1" t="str">
        <f t="shared" si="118"/>
        <v>OK</v>
      </c>
      <c r="AE280" s="1">
        <v>7</v>
      </c>
      <c r="AF280" s="1">
        <v>406.42</v>
      </c>
      <c r="AG280" s="9">
        <v>0.15</v>
      </c>
      <c r="AH280" s="9">
        <f t="shared" si="119"/>
        <v>0.15</v>
      </c>
      <c r="AI280" s="1" t="str">
        <f t="shared" si="120"/>
        <v>OK</v>
      </c>
      <c r="AJ280" s="1">
        <v>2418.1999999999998</v>
      </c>
      <c r="AK280" s="1">
        <v>1613.82</v>
      </c>
      <c r="AL280" s="1">
        <v>804.38</v>
      </c>
      <c r="AM280" s="13">
        <f t="shared" si="121"/>
        <v>2418.1990000000001</v>
      </c>
      <c r="AN280" s="9">
        <f t="shared" si="122"/>
        <v>804.37900000000013</v>
      </c>
      <c r="AO280" s="9">
        <f t="shared" si="131"/>
        <v>0.33263556886757462</v>
      </c>
      <c r="AP280" s="1" t="s">
        <v>33</v>
      </c>
      <c r="AQ280" s="1" t="str">
        <f t="shared" si="123"/>
        <v>Paid</v>
      </c>
      <c r="AR280" s="1" t="str">
        <f t="shared" si="124"/>
        <v>OK</v>
      </c>
      <c r="AS280" s="1" t="s">
        <v>34</v>
      </c>
      <c r="AT280" s="4" t="str">
        <f t="shared" si="125"/>
        <v>Completed</v>
      </c>
      <c r="AU280" s="3" t="str">
        <f t="shared" si="126"/>
        <v>OK</v>
      </c>
      <c r="AV280" s="3" t="str">
        <f t="shared" si="132"/>
        <v>CLEAN</v>
      </c>
      <c r="AW280" t="str">
        <f t="shared" si="133"/>
        <v>MATCH</v>
      </c>
      <c r="AX280" t="str">
        <f t="shared" si="134"/>
        <v>MATCH</v>
      </c>
    </row>
    <row r="281" spans="1:50" ht="15.6">
      <c r="A281" s="1" t="s">
        <v>2110</v>
      </c>
      <c r="B281" s="1">
        <f t="shared" si="108"/>
        <v>1</v>
      </c>
      <c r="C281" s="16">
        <v>45610</v>
      </c>
      <c r="D281" s="16">
        <v>45610</v>
      </c>
      <c r="E281" s="16" t="str">
        <f t="shared" si="127"/>
        <v>Nov</v>
      </c>
      <c r="F281" s="1">
        <f t="shared" si="128"/>
        <v>2024</v>
      </c>
      <c r="G281" t="s">
        <v>1267</v>
      </c>
      <c r="H281" s="17">
        <v>45392</v>
      </c>
      <c r="I281" s="21">
        <f t="shared" si="129"/>
        <v>-218</v>
      </c>
      <c r="J281" s="6" t="str">
        <f t="shared" si="130"/>
        <v>INVALID_SHIPPING</v>
      </c>
      <c r="K281" s="1" t="s">
        <v>2112</v>
      </c>
      <c r="L281" s="1" t="s">
        <v>52</v>
      </c>
      <c r="M281" s="1" t="str">
        <f t="shared" si="109"/>
        <v>Isha Nair</v>
      </c>
      <c r="N281" s="1" t="s">
        <v>25</v>
      </c>
      <c r="O281" s="1" t="str">
        <f t="shared" si="110"/>
        <v>Consumer</v>
      </c>
      <c r="P281" s="1" t="s">
        <v>71</v>
      </c>
      <c r="Q281" s="1" t="str">
        <f t="shared" si="111"/>
        <v>West</v>
      </c>
      <c r="R281" s="1" t="str">
        <f t="shared" si="112"/>
        <v>OK</v>
      </c>
      <c r="S281" s="1" t="s">
        <v>81</v>
      </c>
      <c r="T281" s="1" t="str">
        <f t="shared" si="113"/>
        <v>Madhya Pradesh</v>
      </c>
      <c r="U281" s="1" t="s">
        <v>82</v>
      </c>
      <c r="V281" s="1" t="str">
        <f t="shared" si="114"/>
        <v>Indore</v>
      </c>
      <c r="W281" s="1" t="s">
        <v>83</v>
      </c>
      <c r="X281" s="1" t="str">
        <f t="shared" si="115"/>
        <v>Technology</v>
      </c>
      <c r="Y281" s="1" t="s">
        <v>207</v>
      </c>
      <c r="Z281" s="1" t="str">
        <f t="shared" si="116"/>
        <v>Phones</v>
      </c>
      <c r="AA281" s="1" t="s">
        <v>2113</v>
      </c>
      <c r="AB281" s="1" t="s">
        <v>65</v>
      </c>
      <c r="AC281" s="1" t="str">
        <f t="shared" si="117"/>
        <v>Standard Class</v>
      </c>
      <c r="AD281" s="1" t="str">
        <f t="shared" si="118"/>
        <v>OK</v>
      </c>
      <c r="AE281" s="1">
        <v>3</v>
      </c>
      <c r="AF281" s="1">
        <v>671.68</v>
      </c>
      <c r="AG281" s="9">
        <v>-0.13</v>
      </c>
      <c r="AH281" s="9">
        <f t="shared" si="119"/>
        <v>-0.13</v>
      </c>
      <c r="AI281" s="1" t="str">
        <f t="shared" si="120"/>
        <v>Invalid Negative Discount</v>
      </c>
      <c r="AJ281" s="1">
        <v>1712.78</v>
      </c>
      <c r="AK281" s="1">
        <v>1569.38</v>
      </c>
      <c r="AL281" s="1">
        <v>360.66</v>
      </c>
      <c r="AM281" s="13" t="str">
        <f t="shared" si="121"/>
        <v>INVALID</v>
      </c>
      <c r="AN281" s="9" t="str">
        <f t="shared" si="122"/>
        <v>INVALID</v>
      </c>
      <c r="AO281" s="9" t="str">
        <f t="shared" si="131"/>
        <v/>
      </c>
      <c r="AP281" s="1" t="s">
        <v>186</v>
      </c>
      <c r="AQ281" s="1" t="str">
        <f t="shared" si="123"/>
        <v>Failed</v>
      </c>
      <c r="AR281" s="1" t="str">
        <f t="shared" si="124"/>
        <v>EXCLUDE_FROM_SALES</v>
      </c>
      <c r="AS281" s="1" t="s">
        <v>76</v>
      </c>
      <c r="AT281" s="4" t="str">
        <f t="shared" si="125"/>
        <v>Cancelled</v>
      </c>
      <c r="AU281" s="3" t="str">
        <f t="shared" si="126"/>
        <v>EXCLUDE_FROM_SALES</v>
      </c>
      <c r="AV281" s="3" t="str">
        <f t="shared" si="132"/>
        <v>INVALID</v>
      </c>
      <c r="AW281" t="str">
        <f t="shared" si="133"/>
        <v>INVALID</v>
      </c>
      <c r="AX281" t="str">
        <f t="shared" si="134"/>
        <v>INVALID</v>
      </c>
    </row>
    <row r="282" spans="1:50" ht="15.6" hidden="1">
      <c r="A282" s="1" t="s">
        <v>2114</v>
      </c>
      <c r="B282" s="1">
        <f t="shared" si="108"/>
        <v>1</v>
      </c>
      <c r="C282" s="16">
        <v>45540</v>
      </c>
      <c r="D282" s="16">
        <v>45540</v>
      </c>
      <c r="E282" s="16" t="str">
        <f t="shared" si="127"/>
        <v>Sep</v>
      </c>
      <c r="F282" s="1">
        <f t="shared" si="128"/>
        <v>2024</v>
      </c>
      <c r="G282" t="s">
        <v>1271</v>
      </c>
      <c r="H282" s="17">
        <v>45652</v>
      </c>
      <c r="I282" s="21">
        <f t="shared" si="129"/>
        <v>112</v>
      </c>
      <c r="J282" s="6" t="str">
        <f t="shared" si="130"/>
        <v>OK</v>
      </c>
      <c r="K282" s="1" t="s">
        <v>2116</v>
      </c>
      <c r="L282" s="1" t="s">
        <v>39</v>
      </c>
      <c r="M282" s="1" t="str">
        <f t="shared" si="109"/>
        <v>Mira Das</v>
      </c>
      <c r="N282" s="1" t="s">
        <v>40</v>
      </c>
      <c r="O282" s="1" t="str">
        <f t="shared" si="110"/>
        <v>Small Business</v>
      </c>
      <c r="P282" s="1" t="s">
        <v>41</v>
      </c>
      <c r="Q282" s="1" t="str">
        <f t="shared" si="111"/>
        <v>East</v>
      </c>
      <c r="R282" s="1" t="str">
        <f t="shared" si="112"/>
        <v>OK</v>
      </c>
      <c r="S282" s="1" t="s">
        <v>201</v>
      </c>
      <c r="T282" s="1" t="str">
        <f t="shared" si="113"/>
        <v>Assam</v>
      </c>
      <c r="U282" s="1" t="s">
        <v>202</v>
      </c>
      <c r="V282" s="1" t="str">
        <f t="shared" si="114"/>
        <v>Guwahati</v>
      </c>
      <c r="W282" s="1" t="s">
        <v>83</v>
      </c>
      <c r="X282" s="1" t="str">
        <f t="shared" si="115"/>
        <v>Technology</v>
      </c>
      <c r="Y282" s="1" t="s">
        <v>207</v>
      </c>
      <c r="Z282" s="1" t="str">
        <f t="shared" si="116"/>
        <v>Phones</v>
      </c>
      <c r="AA282" s="1" t="s">
        <v>2117</v>
      </c>
      <c r="AB282" s="1" t="s">
        <v>32</v>
      </c>
      <c r="AC282" s="1" t="str">
        <f t="shared" si="117"/>
        <v>Second Class</v>
      </c>
      <c r="AD282" s="1" t="str">
        <f t="shared" si="118"/>
        <v>OK</v>
      </c>
      <c r="AE282" s="1">
        <v>4</v>
      </c>
      <c r="AF282" s="1">
        <v>995.98</v>
      </c>
      <c r="AG282" s="9">
        <v>0.05</v>
      </c>
      <c r="AH282" s="9">
        <f t="shared" si="119"/>
        <v>0.05</v>
      </c>
      <c r="AI282" s="1" t="str">
        <f t="shared" si="120"/>
        <v>OK</v>
      </c>
      <c r="AJ282" s="1">
        <v>3784.72</v>
      </c>
      <c r="AK282" s="1">
        <v>2419.2399999999998</v>
      </c>
      <c r="AL282" s="1">
        <v>1365.48</v>
      </c>
      <c r="AM282" s="13">
        <f t="shared" si="121"/>
        <v>3784.7239999999997</v>
      </c>
      <c r="AN282" s="9">
        <f t="shared" si="122"/>
        <v>1365.4839999999999</v>
      </c>
      <c r="AO282" s="9">
        <f t="shared" si="131"/>
        <v>0.36078826355633858</v>
      </c>
      <c r="AP282" s="1" t="s">
        <v>119</v>
      </c>
      <c r="AQ282" s="1" t="str">
        <f t="shared" si="123"/>
        <v>Refunded</v>
      </c>
      <c r="AR282" s="1" t="str">
        <f t="shared" si="124"/>
        <v>REFUNDED_PAYMENT</v>
      </c>
      <c r="AS282" s="1" t="s">
        <v>120</v>
      </c>
      <c r="AT282" s="4" t="str">
        <f t="shared" si="125"/>
        <v>Returned</v>
      </c>
      <c r="AU282" s="3" t="str">
        <f t="shared" si="126"/>
        <v>RETURNED_ORDER</v>
      </c>
      <c r="AV282" s="3" t="str">
        <f t="shared" si="132"/>
        <v>CLEAN</v>
      </c>
      <c r="AW282" t="str">
        <f t="shared" si="133"/>
        <v>MATCH</v>
      </c>
      <c r="AX282" t="str">
        <f t="shared" si="134"/>
        <v>MATCH</v>
      </c>
    </row>
    <row r="283" spans="1:50" ht="15.6" hidden="1">
      <c r="A283" s="1" t="s">
        <v>2123</v>
      </c>
      <c r="B283" s="1">
        <f t="shared" si="108"/>
        <v>1</v>
      </c>
      <c r="C283" s="16">
        <v>45533</v>
      </c>
      <c r="D283" s="16">
        <v>45533</v>
      </c>
      <c r="E283" s="16" t="str">
        <f t="shared" si="127"/>
        <v>Aug</v>
      </c>
      <c r="F283" s="1">
        <f t="shared" si="128"/>
        <v>2024</v>
      </c>
      <c r="G283" t="s">
        <v>1275</v>
      </c>
      <c r="H283" s="17">
        <v>45865</v>
      </c>
      <c r="I283" s="21">
        <f t="shared" si="129"/>
        <v>332</v>
      </c>
      <c r="J283" s="6" t="str">
        <f t="shared" si="130"/>
        <v>OK</v>
      </c>
      <c r="K283" s="1" t="s">
        <v>2125</v>
      </c>
      <c r="L283" s="1" t="s">
        <v>158</v>
      </c>
      <c r="M283" s="1" t="str">
        <f t="shared" si="109"/>
        <v>Sneha Kapoor</v>
      </c>
      <c r="N283" s="1" t="s">
        <v>40</v>
      </c>
      <c r="O283" s="1" t="str">
        <f t="shared" si="110"/>
        <v>Small Business</v>
      </c>
      <c r="P283" s="1" t="s">
        <v>635</v>
      </c>
      <c r="Q283" s="1" t="str">
        <f t="shared" si="111"/>
        <v>North</v>
      </c>
      <c r="R283" s="1" t="str">
        <f t="shared" si="112"/>
        <v>OK</v>
      </c>
      <c r="S283" s="1" t="s">
        <v>163</v>
      </c>
      <c r="T283" s="1" t="str">
        <f t="shared" si="113"/>
        <v>Uttar Pradesh</v>
      </c>
      <c r="U283" s="1" t="s">
        <v>164</v>
      </c>
      <c r="V283" s="1" t="str">
        <f t="shared" si="114"/>
        <v>Noida</v>
      </c>
      <c r="W283" s="1" t="s">
        <v>83</v>
      </c>
      <c r="X283" s="1" t="str">
        <f t="shared" si="115"/>
        <v>Technology</v>
      </c>
      <c r="Y283" s="1" t="s">
        <v>84</v>
      </c>
      <c r="Z283" s="1" t="str">
        <f t="shared" si="116"/>
        <v>Accessories</v>
      </c>
      <c r="AA283" s="1" t="s">
        <v>2126</v>
      </c>
      <c r="AB283" s="1" t="s">
        <v>32</v>
      </c>
      <c r="AC283" s="1" t="str">
        <f t="shared" si="117"/>
        <v>Second Class</v>
      </c>
      <c r="AD283" s="1" t="str">
        <f t="shared" si="118"/>
        <v>OK</v>
      </c>
      <c r="AE283" s="1">
        <v>1</v>
      </c>
      <c r="AF283" s="1">
        <v>3106.88</v>
      </c>
      <c r="AG283" s="9">
        <v>0.2</v>
      </c>
      <c r="AH283" s="9">
        <f t="shared" si="119"/>
        <v>0.2</v>
      </c>
      <c r="AI283" s="1" t="str">
        <f t="shared" si="120"/>
        <v>OK</v>
      </c>
      <c r="AJ283" s="1">
        <v>2485.5</v>
      </c>
      <c r="AK283" s="1">
        <v>2028.43</v>
      </c>
      <c r="AL283" s="1">
        <v>457.07</v>
      </c>
      <c r="AM283" s="13">
        <f t="shared" si="121"/>
        <v>2485.5040000000004</v>
      </c>
      <c r="AN283" s="9">
        <f t="shared" si="122"/>
        <v>457.0740000000003</v>
      </c>
      <c r="AO283" s="9">
        <f t="shared" si="131"/>
        <v>0.18389590199814615</v>
      </c>
      <c r="AP283" s="1" t="s">
        <v>33</v>
      </c>
      <c r="AQ283" s="1" t="str">
        <f t="shared" si="123"/>
        <v>Paid</v>
      </c>
      <c r="AR283" s="1" t="str">
        <f t="shared" si="124"/>
        <v>OK</v>
      </c>
      <c r="AS283" s="1" t="s">
        <v>76</v>
      </c>
      <c r="AT283" s="4" t="str">
        <f t="shared" si="125"/>
        <v>Cancelled</v>
      </c>
      <c r="AU283" s="3" t="str">
        <f t="shared" si="126"/>
        <v>EXCLUDE_FROM_SALES</v>
      </c>
      <c r="AV283" s="3" t="str">
        <f t="shared" si="132"/>
        <v>CLEAN</v>
      </c>
      <c r="AW283" t="str">
        <f t="shared" si="133"/>
        <v>MATCH</v>
      </c>
      <c r="AX283" t="str">
        <f t="shared" si="134"/>
        <v>MATCH</v>
      </c>
    </row>
    <row r="284" spans="1:50" ht="15.6">
      <c r="A284" s="1" t="s">
        <v>2132</v>
      </c>
      <c r="B284" s="1">
        <f t="shared" si="108"/>
        <v>1</v>
      </c>
      <c r="C284" s="16">
        <v>45648</v>
      </c>
      <c r="D284" s="16">
        <v>45648</v>
      </c>
      <c r="E284" s="16" t="str">
        <f t="shared" si="127"/>
        <v>Dec</v>
      </c>
      <c r="F284" s="1">
        <f t="shared" si="128"/>
        <v>2024</v>
      </c>
      <c r="G284" t="s">
        <v>1279</v>
      </c>
      <c r="H284" s="17">
        <v>45567</v>
      </c>
      <c r="I284" s="21">
        <f t="shared" si="129"/>
        <v>-81</v>
      </c>
      <c r="J284" s="6" t="str">
        <f t="shared" si="130"/>
        <v>INVALID_SHIPPING</v>
      </c>
      <c r="K284" s="1" t="s">
        <v>2133</v>
      </c>
      <c r="L284" s="1" t="s">
        <v>141</v>
      </c>
      <c r="M284" s="1" t="str">
        <f t="shared" si="109"/>
        <v>Rahul Verma</v>
      </c>
      <c r="N284" s="1" t="s">
        <v>110</v>
      </c>
      <c r="O284" s="1" t="str">
        <f t="shared" si="110"/>
        <v>Home Office</v>
      </c>
      <c r="P284" s="1" t="s">
        <v>26</v>
      </c>
      <c r="Q284" s="1" t="str">
        <f t="shared" si="111"/>
        <v>North</v>
      </c>
      <c r="R284" s="1" t="str">
        <f t="shared" si="112"/>
        <v>OK</v>
      </c>
      <c r="S284" s="1" t="s">
        <v>163</v>
      </c>
      <c r="T284" s="1" t="str">
        <f t="shared" si="113"/>
        <v>Uttar Pradesh</v>
      </c>
      <c r="U284" s="1" t="s">
        <v>164</v>
      </c>
      <c r="V284" s="1" t="str">
        <f t="shared" si="114"/>
        <v>Noida</v>
      </c>
      <c r="W284" s="1" t="s">
        <v>44</v>
      </c>
      <c r="X284" s="1" t="str">
        <f t="shared" si="115"/>
        <v>Furniture</v>
      </c>
      <c r="Y284" s="1" t="s">
        <v>74</v>
      </c>
      <c r="Z284" s="1" t="str">
        <f t="shared" si="116"/>
        <v>Chairs</v>
      </c>
      <c r="AA284" s="1" t="s">
        <v>2134</v>
      </c>
      <c r="AB284" s="1" t="s">
        <v>65</v>
      </c>
      <c r="AC284" s="1" t="str">
        <f t="shared" si="117"/>
        <v>Standard Class</v>
      </c>
      <c r="AD284" s="1" t="str">
        <f t="shared" si="118"/>
        <v>OK</v>
      </c>
      <c r="AE284" s="1">
        <v>9</v>
      </c>
      <c r="AF284" s="1">
        <v>1110.8699999999999</v>
      </c>
      <c r="AG284" s="9"/>
      <c r="AH284" s="9">
        <f t="shared" si="119"/>
        <v>0</v>
      </c>
      <c r="AI284" s="1" t="str">
        <f t="shared" si="120"/>
        <v>Missing Discount</v>
      </c>
      <c r="AJ284" s="1">
        <v>7498.37</v>
      </c>
      <c r="AK284" s="1">
        <v>6059.07</v>
      </c>
      <c r="AL284" s="1">
        <v>1439.3</v>
      </c>
      <c r="AM284" s="13">
        <f t="shared" si="121"/>
        <v>9997.8299999999981</v>
      </c>
      <c r="AN284" s="9">
        <f t="shared" si="122"/>
        <v>3938.7599999999984</v>
      </c>
      <c r="AO284" s="9">
        <f t="shared" si="131"/>
        <v>0.3939614896432525</v>
      </c>
      <c r="AP284" s="1" t="s">
        <v>33</v>
      </c>
      <c r="AQ284" s="1" t="str">
        <f t="shared" si="123"/>
        <v>Paid</v>
      </c>
      <c r="AR284" s="1" t="str">
        <f t="shared" si="124"/>
        <v>OK</v>
      </c>
      <c r="AS284" s="1" t="s">
        <v>76</v>
      </c>
      <c r="AT284" s="4" t="str">
        <f t="shared" si="125"/>
        <v>Cancelled</v>
      </c>
      <c r="AU284" s="3" t="str">
        <f t="shared" si="126"/>
        <v>EXCLUDE_FROM_SALES</v>
      </c>
      <c r="AV284" s="3" t="str">
        <f t="shared" si="132"/>
        <v>INVALID</v>
      </c>
      <c r="AW284" t="str">
        <f t="shared" si="133"/>
        <v>MISMATCH</v>
      </c>
      <c r="AX284" t="str">
        <f t="shared" si="134"/>
        <v>MISMATCH</v>
      </c>
    </row>
    <row r="285" spans="1:50" ht="15.6" hidden="1">
      <c r="A285" s="1" t="s">
        <v>2135</v>
      </c>
      <c r="B285" s="1">
        <f t="shared" si="108"/>
        <v>1</v>
      </c>
      <c r="C285" s="16">
        <v>45429</v>
      </c>
      <c r="D285" s="16">
        <v>45429</v>
      </c>
      <c r="E285" s="16" t="str">
        <f t="shared" si="127"/>
        <v>May</v>
      </c>
      <c r="F285" s="1">
        <f t="shared" si="128"/>
        <v>2024</v>
      </c>
      <c r="G285" t="s">
        <v>1284</v>
      </c>
      <c r="H285" s="17">
        <v>45736</v>
      </c>
      <c r="I285" s="21">
        <f t="shared" si="129"/>
        <v>307</v>
      </c>
      <c r="J285" s="6" t="str">
        <f t="shared" si="130"/>
        <v>OK</v>
      </c>
      <c r="K285" s="1" t="s">
        <v>2137</v>
      </c>
      <c r="L285" s="1" t="s">
        <v>158</v>
      </c>
      <c r="M285" s="1" t="str">
        <f t="shared" si="109"/>
        <v>Sneha Kapoor</v>
      </c>
      <c r="N285" s="1" t="s">
        <v>25</v>
      </c>
      <c r="O285" s="1" t="str">
        <f t="shared" si="110"/>
        <v>Consumer</v>
      </c>
      <c r="P285" s="1" t="s">
        <v>60</v>
      </c>
      <c r="Q285" s="1" t="str">
        <f t="shared" si="111"/>
        <v>South</v>
      </c>
      <c r="R285" s="1" t="str">
        <f t="shared" si="112"/>
        <v>OK</v>
      </c>
      <c r="S285" s="1" t="s">
        <v>224</v>
      </c>
      <c r="T285" s="1" t="str">
        <f t="shared" si="113"/>
        <v>Kerala</v>
      </c>
      <c r="U285" s="1" t="s">
        <v>225</v>
      </c>
      <c r="V285" s="1" t="str">
        <f t="shared" si="114"/>
        <v>Kochi</v>
      </c>
      <c r="W285" s="1" t="s">
        <v>83</v>
      </c>
      <c r="X285" s="1" t="str">
        <f t="shared" si="115"/>
        <v>Technology</v>
      </c>
      <c r="Y285" s="1" t="s">
        <v>207</v>
      </c>
      <c r="Z285" s="1" t="str">
        <f t="shared" si="116"/>
        <v>Phones</v>
      </c>
      <c r="AA285" s="1" t="s">
        <v>2138</v>
      </c>
      <c r="AB285" s="1" t="s">
        <v>47</v>
      </c>
      <c r="AC285" s="1" t="str">
        <f t="shared" si="117"/>
        <v>Same Day</v>
      </c>
      <c r="AD285" s="1" t="str">
        <f t="shared" si="118"/>
        <v>OK</v>
      </c>
      <c r="AE285" s="1">
        <v>9</v>
      </c>
      <c r="AF285" s="1">
        <v>3795.99</v>
      </c>
      <c r="AG285" s="11">
        <v>0.85</v>
      </c>
      <c r="AH285" s="9">
        <f t="shared" si="119"/>
        <v>0.85</v>
      </c>
      <c r="AI285" s="1" t="str">
        <f t="shared" si="120"/>
        <v>OK</v>
      </c>
      <c r="AJ285" s="1">
        <v>34163.910000000003</v>
      </c>
      <c r="AK285" s="1">
        <v>28577.15</v>
      </c>
      <c r="AL285" s="1">
        <v>5586.76</v>
      </c>
      <c r="AM285" s="13">
        <f t="shared" si="121"/>
        <v>5124.5865000000003</v>
      </c>
      <c r="AN285" s="9">
        <f t="shared" si="122"/>
        <v>-23452.5635</v>
      </c>
      <c r="AO285" s="9">
        <f t="shared" si="131"/>
        <v>-4.5764791949555343</v>
      </c>
      <c r="AP285" s="1" t="s">
        <v>33</v>
      </c>
      <c r="AQ285" s="1" t="str">
        <f t="shared" si="123"/>
        <v>Paid</v>
      </c>
      <c r="AR285" s="1" t="str">
        <f t="shared" si="124"/>
        <v>OK</v>
      </c>
      <c r="AS285" s="1" t="s">
        <v>34</v>
      </c>
      <c r="AT285" s="4" t="str">
        <f t="shared" si="125"/>
        <v>Completed</v>
      </c>
      <c r="AU285" s="3" t="str">
        <f t="shared" si="126"/>
        <v>OK</v>
      </c>
      <c r="AV285" s="3" t="str">
        <f t="shared" si="132"/>
        <v>CLEAN</v>
      </c>
      <c r="AW285" t="str">
        <f t="shared" si="133"/>
        <v>MISMATCH</v>
      </c>
      <c r="AX285" t="str">
        <f t="shared" si="134"/>
        <v>MISMATCH</v>
      </c>
    </row>
    <row r="286" spans="1:50" ht="15.6" hidden="1">
      <c r="A286" s="1" t="s">
        <v>2139</v>
      </c>
      <c r="B286" s="1">
        <f t="shared" si="108"/>
        <v>1</v>
      </c>
      <c r="C286" s="16">
        <v>45604</v>
      </c>
      <c r="D286" s="16">
        <v>45604</v>
      </c>
      <c r="E286" s="16" t="str">
        <f t="shared" si="127"/>
        <v>Nov</v>
      </c>
      <c r="F286" s="1">
        <f t="shared" si="128"/>
        <v>2024</v>
      </c>
      <c r="G286" t="s">
        <v>1289</v>
      </c>
      <c r="H286" s="17">
        <v>45640</v>
      </c>
      <c r="I286" s="21">
        <f t="shared" si="129"/>
        <v>36</v>
      </c>
      <c r="J286" s="6" t="str">
        <f t="shared" si="130"/>
        <v>OK</v>
      </c>
      <c r="K286" s="1" t="s">
        <v>1090</v>
      </c>
      <c r="L286" s="1" t="s">
        <v>90</v>
      </c>
      <c r="M286" s="1" t="str">
        <f t="shared" si="109"/>
        <v>Neha Gupta</v>
      </c>
      <c r="N286" s="1" t="s">
        <v>25</v>
      </c>
      <c r="O286" s="1" t="str">
        <f t="shared" si="110"/>
        <v>Consumer</v>
      </c>
      <c r="P286" s="1" t="s">
        <v>41</v>
      </c>
      <c r="Q286" s="1" t="str">
        <f t="shared" si="111"/>
        <v>East</v>
      </c>
      <c r="R286" s="1" t="str">
        <f t="shared" si="112"/>
        <v>OK</v>
      </c>
      <c r="S286" s="1" t="s">
        <v>284</v>
      </c>
      <c r="T286" s="1" t="str">
        <f t="shared" si="113"/>
        <v>Jharkhand</v>
      </c>
      <c r="U286" s="1" t="s">
        <v>285</v>
      </c>
      <c r="V286" s="1" t="str">
        <f t="shared" si="114"/>
        <v>Ranchi</v>
      </c>
      <c r="W286" s="1" t="s">
        <v>29</v>
      </c>
      <c r="X286" s="1" t="str">
        <f t="shared" si="115"/>
        <v>Office Supplies</v>
      </c>
      <c r="Y286" s="1" t="s">
        <v>53</v>
      </c>
      <c r="Z286" s="1" t="str">
        <f t="shared" si="116"/>
        <v>Art</v>
      </c>
      <c r="AA286" s="1" t="s">
        <v>2141</v>
      </c>
      <c r="AB286" s="1" t="s">
        <v>32</v>
      </c>
      <c r="AC286" s="1" t="str">
        <f t="shared" si="117"/>
        <v>Second Class</v>
      </c>
      <c r="AD286" s="1" t="str">
        <f t="shared" si="118"/>
        <v>OK</v>
      </c>
      <c r="AE286" s="1">
        <v>6</v>
      </c>
      <c r="AF286" s="1">
        <v>3497.54</v>
      </c>
      <c r="AG286" s="9">
        <v>0.15</v>
      </c>
      <c r="AH286" s="9">
        <f t="shared" si="119"/>
        <v>0.15</v>
      </c>
      <c r="AI286" s="1" t="str">
        <f t="shared" si="120"/>
        <v>OK</v>
      </c>
      <c r="AJ286" s="1">
        <v>17837.45</v>
      </c>
      <c r="AK286" s="1">
        <v>13627.02</v>
      </c>
      <c r="AL286" s="1">
        <v>4210.43</v>
      </c>
      <c r="AM286" s="13">
        <f t="shared" si="121"/>
        <v>17837.453999999998</v>
      </c>
      <c r="AN286" s="9">
        <f t="shared" si="122"/>
        <v>4210.4339999999975</v>
      </c>
      <c r="AO286" s="9">
        <f t="shared" si="131"/>
        <v>0.23604456106796395</v>
      </c>
      <c r="AP286" s="1" t="s">
        <v>33</v>
      </c>
      <c r="AQ286" s="1" t="str">
        <f t="shared" si="123"/>
        <v>Paid</v>
      </c>
      <c r="AR286" s="1" t="str">
        <f t="shared" si="124"/>
        <v>OK</v>
      </c>
      <c r="AS286" s="1" t="s">
        <v>34</v>
      </c>
      <c r="AT286" s="4" t="str">
        <f t="shared" si="125"/>
        <v>Completed</v>
      </c>
      <c r="AU286" s="3" t="str">
        <f t="shared" si="126"/>
        <v>OK</v>
      </c>
      <c r="AV286" s="3" t="str">
        <f t="shared" si="132"/>
        <v>CLEAN</v>
      </c>
      <c r="AW286" t="str">
        <f t="shared" si="133"/>
        <v>MATCH</v>
      </c>
      <c r="AX286" t="str">
        <f t="shared" si="134"/>
        <v>MATCH</v>
      </c>
    </row>
    <row r="287" spans="1:50" ht="15.6" hidden="1">
      <c r="A287" s="1" t="s">
        <v>2142</v>
      </c>
      <c r="B287" s="1">
        <f t="shared" si="108"/>
        <v>2</v>
      </c>
      <c r="C287" s="16">
        <v>45295</v>
      </c>
      <c r="D287" s="16">
        <v>45295</v>
      </c>
      <c r="E287" s="16" t="str">
        <f t="shared" si="127"/>
        <v>Jan</v>
      </c>
      <c r="F287" s="1">
        <f t="shared" si="128"/>
        <v>2024</v>
      </c>
      <c r="G287" t="s">
        <v>1293</v>
      </c>
      <c r="H287" s="17">
        <v>45889</v>
      </c>
      <c r="I287" s="21">
        <f t="shared" si="129"/>
        <v>594</v>
      </c>
      <c r="J287" s="6" t="str">
        <f t="shared" si="130"/>
        <v>OK</v>
      </c>
      <c r="K287" s="1" t="s">
        <v>2144</v>
      </c>
      <c r="L287" s="1" t="s">
        <v>136</v>
      </c>
      <c r="M287" s="1" t="str">
        <f t="shared" si="109"/>
        <v>Priya Menon</v>
      </c>
      <c r="N287" s="1" t="s">
        <v>40</v>
      </c>
      <c r="O287" s="1" t="str">
        <f t="shared" si="110"/>
        <v>Small Business</v>
      </c>
      <c r="P287" s="1" t="s">
        <v>41</v>
      </c>
      <c r="Q287" s="1" t="str">
        <f t="shared" si="111"/>
        <v>East</v>
      </c>
      <c r="R287" s="1" t="str">
        <f t="shared" si="112"/>
        <v>OK</v>
      </c>
      <c r="S287" s="1" t="s">
        <v>42</v>
      </c>
      <c r="T287" s="1" t="str">
        <f t="shared" si="113"/>
        <v>Odisha</v>
      </c>
      <c r="U287" s="1" t="s">
        <v>43</v>
      </c>
      <c r="V287" s="1" t="str">
        <f t="shared" si="114"/>
        <v>Bhubaneswar</v>
      </c>
      <c r="W287" s="1" t="s">
        <v>83</v>
      </c>
      <c r="X287" s="1" t="str">
        <f t="shared" si="115"/>
        <v>Technology</v>
      </c>
      <c r="Y287" s="1" t="s">
        <v>91</v>
      </c>
      <c r="Z287" s="1" t="str">
        <f t="shared" si="116"/>
        <v>Copiers</v>
      </c>
      <c r="AA287" s="1" t="s">
        <v>2145</v>
      </c>
      <c r="AB287" s="1" t="s">
        <v>32</v>
      </c>
      <c r="AC287" s="1" t="str">
        <f t="shared" si="117"/>
        <v>Second Class</v>
      </c>
      <c r="AD287" s="1" t="str">
        <f t="shared" si="118"/>
        <v>OK</v>
      </c>
      <c r="AE287" s="1">
        <v>6</v>
      </c>
      <c r="AF287" s="1">
        <v>826.93</v>
      </c>
      <c r="AG287" s="9">
        <v>0.1</v>
      </c>
      <c r="AH287" s="9">
        <f t="shared" si="119"/>
        <v>0.1</v>
      </c>
      <c r="AI287" s="1" t="str">
        <f t="shared" si="120"/>
        <v>OK</v>
      </c>
      <c r="AJ287" s="1">
        <v>4465.42</v>
      </c>
      <c r="AK287" s="1">
        <v>3377.1</v>
      </c>
      <c r="AL287" s="1">
        <v>1088.32</v>
      </c>
      <c r="AM287" s="13">
        <f t="shared" si="121"/>
        <v>4465.4220000000005</v>
      </c>
      <c r="AN287" s="9">
        <f t="shared" si="122"/>
        <v>1088.3220000000006</v>
      </c>
      <c r="AO287" s="9">
        <f t="shared" si="131"/>
        <v>0.24372209390288319</v>
      </c>
      <c r="AP287" s="1" t="s">
        <v>33</v>
      </c>
      <c r="AQ287" s="1" t="str">
        <f t="shared" si="123"/>
        <v>Paid</v>
      </c>
      <c r="AR287" s="1" t="str">
        <f t="shared" si="124"/>
        <v>OK</v>
      </c>
      <c r="AS287" s="1" t="s">
        <v>34</v>
      </c>
      <c r="AT287" s="4" t="str">
        <f t="shared" si="125"/>
        <v>Completed</v>
      </c>
      <c r="AU287" s="3" t="str">
        <f t="shared" si="126"/>
        <v>OK</v>
      </c>
      <c r="AV287" s="3" t="str">
        <f t="shared" si="132"/>
        <v>CLEAN</v>
      </c>
      <c r="AW287" t="str">
        <f t="shared" si="133"/>
        <v>MATCH</v>
      </c>
      <c r="AX287" t="str">
        <f t="shared" si="134"/>
        <v>MATCH</v>
      </c>
    </row>
    <row r="288" spans="1:50" ht="15.6" hidden="1">
      <c r="A288" s="1" t="s">
        <v>2142</v>
      </c>
      <c r="B288" s="1">
        <f t="shared" si="108"/>
        <v>2</v>
      </c>
      <c r="C288" s="16">
        <v>45295</v>
      </c>
      <c r="D288" s="16">
        <v>45295</v>
      </c>
      <c r="E288" s="16" t="str">
        <f t="shared" si="127"/>
        <v>Jan</v>
      </c>
      <c r="F288" s="1">
        <f t="shared" si="128"/>
        <v>2024</v>
      </c>
      <c r="G288" t="s">
        <v>1298</v>
      </c>
      <c r="H288" s="17">
        <v>45353</v>
      </c>
      <c r="I288" s="21">
        <f t="shared" si="129"/>
        <v>58</v>
      </c>
      <c r="J288" s="6" t="str">
        <f t="shared" si="130"/>
        <v>OK</v>
      </c>
      <c r="K288" s="1" t="s">
        <v>2144</v>
      </c>
      <c r="L288" s="1" t="s">
        <v>136</v>
      </c>
      <c r="M288" s="1" t="str">
        <f t="shared" si="109"/>
        <v>Priya Menon</v>
      </c>
      <c r="N288" s="1" t="s">
        <v>40</v>
      </c>
      <c r="O288" s="1" t="str">
        <f t="shared" si="110"/>
        <v>Small Business</v>
      </c>
      <c r="P288" s="1" t="s">
        <v>41</v>
      </c>
      <c r="Q288" s="1" t="str">
        <f t="shared" si="111"/>
        <v>East</v>
      </c>
      <c r="R288" s="1" t="str">
        <f t="shared" si="112"/>
        <v>OK</v>
      </c>
      <c r="S288" s="1" t="s">
        <v>42</v>
      </c>
      <c r="T288" s="1" t="str">
        <f t="shared" si="113"/>
        <v>Odisha</v>
      </c>
      <c r="U288" s="1" t="s">
        <v>43</v>
      </c>
      <c r="V288" s="1" t="str">
        <f t="shared" si="114"/>
        <v>Bhubaneswar</v>
      </c>
      <c r="W288" s="1" t="s">
        <v>83</v>
      </c>
      <c r="X288" s="1" t="str">
        <f t="shared" si="115"/>
        <v>Technology</v>
      </c>
      <c r="Y288" s="1" t="s">
        <v>91</v>
      </c>
      <c r="Z288" s="1" t="str">
        <f t="shared" si="116"/>
        <v>Copiers</v>
      </c>
      <c r="AA288" s="1" t="s">
        <v>2145</v>
      </c>
      <c r="AB288" s="1" t="s">
        <v>32</v>
      </c>
      <c r="AC288" s="1" t="str">
        <f t="shared" si="117"/>
        <v>Second Class</v>
      </c>
      <c r="AD288" s="1" t="str">
        <f t="shared" si="118"/>
        <v>OK</v>
      </c>
      <c r="AE288" s="1">
        <v>6</v>
      </c>
      <c r="AF288" s="1">
        <v>826.93</v>
      </c>
      <c r="AG288" s="9">
        <v>0.1</v>
      </c>
      <c r="AH288" s="9">
        <f t="shared" si="119"/>
        <v>0.1</v>
      </c>
      <c r="AI288" s="1" t="str">
        <f t="shared" si="120"/>
        <v>OK</v>
      </c>
      <c r="AJ288" s="1">
        <v>4465.42</v>
      </c>
      <c r="AK288" s="1">
        <v>3377.1</v>
      </c>
      <c r="AL288" s="1">
        <v>1088.32</v>
      </c>
      <c r="AM288" s="13">
        <f t="shared" si="121"/>
        <v>4465.4220000000005</v>
      </c>
      <c r="AN288" s="9">
        <f t="shared" si="122"/>
        <v>1088.3220000000006</v>
      </c>
      <c r="AO288" s="9">
        <f t="shared" si="131"/>
        <v>0.24372209390288319</v>
      </c>
      <c r="AP288" s="1" t="s">
        <v>33</v>
      </c>
      <c r="AQ288" s="1" t="str">
        <f t="shared" si="123"/>
        <v>Paid</v>
      </c>
      <c r="AR288" s="1" t="str">
        <f t="shared" si="124"/>
        <v>OK</v>
      </c>
      <c r="AS288" s="1" t="s">
        <v>34</v>
      </c>
      <c r="AT288" s="4" t="str">
        <f t="shared" si="125"/>
        <v>Completed</v>
      </c>
      <c r="AU288" s="3" t="str">
        <f t="shared" si="126"/>
        <v>OK</v>
      </c>
      <c r="AV288" s="3" t="str">
        <f t="shared" si="132"/>
        <v>CLEAN</v>
      </c>
      <c r="AW288" t="str">
        <f t="shared" si="133"/>
        <v>MATCH</v>
      </c>
      <c r="AX288" t="str">
        <f t="shared" si="134"/>
        <v>MATCH</v>
      </c>
    </row>
    <row r="289" spans="1:50" ht="15.6">
      <c r="A289" s="1" t="s">
        <v>2146</v>
      </c>
      <c r="B289" s="1">
        <f t="shared" si="108"/>
        <v>1</v>
      </c>
      <c r="C289" s="16">
        <v>45563</v>
      </c>
      <c r="D289" s="16">
        <v>45563</v>
      </c>
      <c r="E289" s="16" t="str">
        <f t="shared" si="127"/>
        <v>Sep</v>
      </c>
      <c r="F289" s="1">
        <f t="shared" si="128"/>
        <v>2024</v>
      </c>
      <c r="G289" t="s">
        <v>1302</v>
      </c>
      <c r="H289" s="17">
        <v>45482</v>
      </c>
      <c r="I289" s="21">
        <f t="shared" si="129"/>
        <v>-81</v>
      </c>
      <c r="J289" s="6" t="str">
        <f t="shared" si="130"/>
        <v>INVALID_SHIPPING</v>
      </c>
      <c r="K289" s="1" t="s">
        <v>2148</v>
      </c>
      <c r="L289" s="1" t="s">
        <v>153</v>
      </c>
      <c r="M289" s="1" t="str">
        <f t="shared" si="109"/>
        <v>Aarav Sharma</v>
      </c>
      <c r="N289" s="1" t="s">
        <v>25</v>
      </c>
      <c r="O289" s="1" t="str">
        <f t="shared" si="110"/>
        <v>Consumer</v>
      </c>
      <c r="P289" s="1" t="s">
        <v>60</v>
      </c>
      <c r="Q289" s="1" t="str">
        <f t="shared" si="111"/>
        <v>South</v>
      </c>
      <c r="R289" s="1" t="str">
        <f t="shared" si="112"/>
        <v>OK</v>
      </c>
      <c r="S289" s="1" t="s">
        <v>309</v>
      </c>
      <c r="T289" s="1" t="str">
        <f t="shared" si="113"/>
        <v>Tamil Nadu</v>
      </c>
      <c r="U289" s="1" t="s">
        <v>310</v>
      </c>
      <c r="V289" s="1" t="str">
        <f t="shared" si="114"/>
        <v>Chennai</v>
      </c>
      <c r="W289" s="1" t="s">
        <v>83</v>
      </c>
      <c r="X289" s="1" t="str">
        <f t="shared" si="115"/>
        <v>Technology</v>
      </c>
      <c r="Y289" s="1" t="s">
        <v>207</v>
      </c>
      <c r="Z289" s="1" t="str">
        <f t="shared" si="116"/>
        <v>Phones</v>
      </c>
      <c r="AA289" s="1" t="s">
        <v>2149</v>
      </c>
      <c r="AB289" s="1" t="s">
        <v>65</v>
      </c>
      <c r="AC289" s="1" t="str">
        <f t="shared" si="117"/>
        <v>Standard Class</v>
      </c>
      <c r="AD289" s="1" t="str">
        <f t="shared" si="118"/>
        <v>OK</v>
      </c>
      <c r="AE289" s="1">
        <v>7</v>
      </c>
      <c r="AF289" s="1">
        <v>1681.6</v>
      </c>
      <c r="AG289" s="9">
        <v>0.1</v>
      </c>
      <c r="AH289" s="9">
        <f t="shared" si="119"/>
        <v>0.1</v>
      </c>
      <c r="AI289" s="1" t="str">
        <f t="shared" si="120"/>
        <v>OK</v>
      </c>
      <c r="AJ289" s="1">
        <v>10594.08</v>
      </c>
      <c r="AK289" s="1">
        <v>7160.31</v>
      </c>
      <c r="AL289" s="1">
        <v>3433.77</v>
      </c>
      <c r="AM289" s="13">
        <f t="shared" si="121"/>
        <v>10594.08</v>
      </c>
      <c r="AN289" s="9">
        <f t="shared" si="122"/>
        <v>3433.7699999999995</v>
      </c>
      <c r="AO289" s="9">
        <f t="shared" si="131"/>
        <v>0.32412158488514337</v>
      </c>
      <c r="AP289" s="1" t="s">
        <v>33</v>
      </c>
      <c r="AQ289" s="1" t="str">
        <f t="shared" si="123"/>
        <v>Paid</v>
      </c>
      <c r="AR289" s="1" t="str">
        <f t="shared" si="124"/>
        <v>OK</v>
      </c>
      <c r="AS289" s="1" t="s">
        <v>34</v>
      </c>
      <c r="AT289" s="4" t="str">
        <f t="shared" si="125"/>
        <v>Completed</v>
      </c>
      <c r="AU289" s="3" t="str">
        <f t="shared" si="126"/>
        <v>OK</v>
      </c>
      <c r="AV289" s="3" t="str">
        <f t="shared" si="132"/>
        <v>INVALID</v>
      </c>
      <c r="AW289" t="str">
        <f t="shared" si="133"/>
        <v>MATCH</v>
      </c>
      <c r="AX289" t="str">
        <f t="shared" si="134"/>
        <v>MATCH</v>
      </c>
    </row>
    <row r="290" spans="1:50" ht="15.6">
      <c r="A290" s="1" t="s">
        <v>2154</v>
      </c>
      <c r="B290" s="1">
        <f t="shared" si="108"/>
        <v>1</v>
      </c>
      <c r="C290" s="16">
        <v>45546</v>
      </c>
      <c r="D290" s="16">
        <v>45546</v>
      </c>
      <c r="E290" s="16" t="str">
        <f t="shared" si="127"/>
        <v>Sep</v>
      </c>
      <c r="F290" s="1">
        <f t="shared" si="128"/>
        <v>2024</v>
      </c>
      <c r="G290" t="s">
        <v>1306</v>
      </c>
      <c r="H290" s="17">
        <v>45467</v>
      </c>
      <c r="I290" s="21">
        <f t="shared" si="129"/>
        <v>-79</v>
      </c>
      <c r="J290" s="6" t="str">
        <f t="shared" si="130"/>
        <v>INVALID_SHIPPING</v>
      </c>
      <c r="K290" s="1" t="s">
        <v>2155</v>
      </c>
      <c r="L290" s="1" t="s">
        <v>90</v>
      </c>
      <c r="M290" s="1" t="str">
        <f t="shared" si="109"/>
        <v>Neha Gupta</v>
      </c>
      <c r="N290" s="1" t="s">
        <v>104</v>
      </c>
      <c r="O290" s="1" t="str">
        <f t="shared" si="110"/>
        <v>Corporate</v>
      </c>
      <c r="P290" s="1" t="s">
        <v>71</v>
      </c>
      <c r="Q290" s="1" t="str">
        <f t="shared" si="111"/>
        <v>West</v>
      </c>
      <c r="R290" s="1" t="str">
        <f t="shared" si="112"/>
        <v>OK</v>
      </c>
      <c r="S290" s="1" t="s">
        <v>81</v>
      </c>
      <c r="T290" s="1" t="str">
        <f t="shared" si="113"/>
        <v>Madhya Pradesh</v>
      </c>
      <c r="U290" s="1" t="s">
        <v>82</v>
      </c>
      <c r="V290" s="1" t="str">
        <f t="shared" si="114"/>
        <v>Indore</v>
      </c>
      <c r="W290" s="1" t="s">
        <v>29</v>
      </c>
      <c r="X290" s="1" t="str">
        <f t="shared" si="115"/>
        <v>Office Supplies</v>
      </c>
      <c r="Y290" s="1" t="s">
        <v>53</v>
      </c>
      <c r="Z290" s="1" t="str">
        <f t="shared" si="116"/>
        <v>Art</v>
      </c>
      <c r="AA290" s="1" t="s">
        <v>2156</v>
      </c>
      <c r="AB290" s="1" t="s">
        <v>55</v>
      </c>
      <c r="AC290" s="1" t="str">
        <f t="shared" si="117"/>
        <v>First Class</v>
      </c>
      <c r="AD290" s="1" t="str">
        <f t="shared" si="118"/>
        <v>OK</v>
      </c>
      <c r="AE290" s="1">
        <v>9</v>
      </c>
      <c r="AF290" s="1">
        <v>2438.29</v>
      </c>
      <c r="AG290" s="9">
        <v>0.2</v>
      </c>
      <c r="AH290" s="9">
        <f t="shared" si="119"/>
        <v>0.2</v>
      </c>
      <c r="AI290" s="1" t="str">
        <f t="shared" si="120"/>
        <v>OK</v>
      </c>
      <c r="AJ290" s="1">
        <v>17555.689999999999</v>
      </c>
      <c r="AK290" s="1">
        <v>13293.2</v>
      </c>
      <c r="AL290" s="1">
        <v>4262.49</v>
      </c>
      <c r="AM290" s="13">
        <f t="shared" si="121"/>
        <v>17555.688000000002</v>
      </c>
      <c r="AN290" s="9">
        <f t="shared" si="122"/>
        <v>4262.4880000000012</v>
      </c>
      <c r="AO290" s="9">
        <f t="shared" si="131"/>
        <v>0.24279811762432785</v>
      </c>
      <c r="AP290" s="1" t="s">
        <v>33</v>
      </c>
      <c r="AQ290" s="1" t="str">
        <f t="shared" si="123"/>
        <v>Paid</v>
      </c>
      <c r="AR290" s="1" t="str">
        <f t="shared" si="124"/>
        <v>OK</v>
      </c>
      <c r="AS290" s="1" t="s">
        <v>76</v>
      </c>
      <c r="AT290" s="4" t="str">
        <f t="shared" si="125"/>
        <v>Cancelled</v>
      </c>
      <c r="AU290" s="3" t="str">
        <f t="shared" si="126"/>
        <v>EXCLUDE_FROM_SALES</v>
      </c>
      <c r="AV290" s="3" t="str">
        <f t="shared" si="132"/>
        <v>INVALID</v>
      </c>
      <c r="AW290" t="str">
        <f t="shared" si="133"/>
        <v>MATCH</v>
      </c>
      <c r="AX290" t="str">
        <f t="shared" si="134"/>
        <v>MATCH</v>
      </c>
    </row>
    <row r="291" spans="1:50" ht="15.6" hidden="1">
      <c r="A291" s="1" t="s">
        <v>2157</v>
      </c>
      <c r="B291" s="1">
        <f t="shared" si="108"/>
        <v>1</v>
      </c>
      <c r="C291" s="16">
        <v>45641</v>
      </c>
      <c r="D291" s="16">
        <v>45641</v>
      </c>
      <c r="E291" s="16" t="str">
        <f t="shared" si="127"/>
        <v>Dec</v>
      </c>
      <c r="F291" s="1">
        <f t="shared" si="128"/>
        <v>2024</v>
      </c>
      <c r="G291" t="s">
        <v>580</v>
      </c>
      <c r="H291" s="17">
        <v>45835</v>
      </c>
      <c r="I291" s="21">
        <f t="shared" si="129"/>
        <v>194</v>
      </c>
      <c r="J291" s="6" t="str">
        <f t="shared" si="130"/>
        <v>OK</v>
      </c>
      <c r="K291" s="1" t="s">
        <v>2159</v>
      </c>
      <c r="L291" s="1" t="s">
        <v>153</v>
      </c>
      <c r="M291" s="1" t="str">
        <f t="shared" si="109"/>
        <v>Aarav Sharma</v>
      </c>
      <c r="N291" s="1" t="s">
        <v>40</v>
      </c>
      <c r="O291" s="1" t="str">
        <f t="shared" si="110"/>
        <v>Small Business</v>
      </c>
      <c r="P291" s="1" t="s">
        <v>26</v>
      </c>
      <c r="Q291" s="1" t="str">
        <f t="shared" si="111"/>
        <v>North</v>
      </c>
      <c r="R291" s="1" t="str">
        <f t="shared" si="112"/>
        <v>OK</v>
      </c>
      <c r="S291" s="1" t="s">
        <v>146</v>
      </c>
      <c r="T291" s="1" t="str">
        <f t="shared" si="113"/>
        <v>Punjab</v>
      </c>
      <c r="U291" s="1" t="s">
        <v>147</v>
      </c>
      <c r="V291" s="1" t="str">
        <f t="shared" si="114"/>
        <v>Ludhiana</v>
      </c>
      <c r="W291" s="1" t="s">
        <v>44</v>
      </c>
      <c r="X291" s="1" t="str">
        <f t="shared" si="115"/>
        <v>Furniture</v>
      </c>
      <c r="Y291" s="1" t="s">
        <v>63</v>
      </c>
      <c r="Z291" s="1" t="str">
        <f t="shared" si="116"/>
        <v>Furnishings</v>
      </c>
      <c r="AA291" s="1" t="s">
        <v>2160</v>
      </c>
      <c r="AB291" s="1" t="s">
        <v>55</v>
      </c>
      <c r="AC291" s="1" t="str">
        <f t="shared" si="117"/>
        <v>First Class</v>
      </c>
      <c r="AD291" s="1" t="str">
        <f t="shared" si="118"/>
        <v>OK</v>
      </c>
      <c r="AE291" s="1">
        <v>2</v>
      </c>
      <c r="AF291" s="1">
        <v>669.8</v>
      </c>
      <c r="AG291" s="9">
        <v>0.1</v>
      </c>
      <c r="AH291" s="9">
        <f t="shared" si="119"/>
        <v>0.1</v>
      </c>
      <c r="AI291" s="1" t="str">
        <f t="shared" si="120"/>
        <v>OK</v>
      </c>
      <c r="AJ291" s="1">
        <v>1205.6400000000001</v>
      </c>
      <c r="AK291" s="1">
        <v>842.07</v>
      </c>
      <c r="AL291" s="1">
        <v>363.57</v>
      </c>
      <c r="AM291" s="13">
        <f t="shared" si="121"/>
        <v>1205.6399999999999</v>
      </c>
      <c r="AN291" s="9">
        <f t="shared" si="122"/>
        <v>363.56999999999982</v>
      </c>
      <c r="AO291" s="9">
        <f t="shared" si="131"/>
        <v>0.30155767890912699</v>
      </c>
      <c r="AP291" s="1" t="s">
        <v>119</v>
      </c>
      <c r="AQ291" s="1" t="str">
        <f t="shared" si="123"/>
        <v>Refunded</v>
      </c>
      <c r="AR291" s="1" t="str">
        <f t="shared" si="124"/>
        <v>REFUNDED_PAYMENT</v>
      </c>
      <c r="AS291" s="1" t="s">
        <v>120</v>
      </c>
      <c r="AT291" s="4" t="str">
        <f t="shared" si="125"/>
        <v>Returned</v>
      </c>
      <c r="AU291" s="3" t="str">
        <f t="shared" si="126"/>
        <v>RETURNED_ORDER</v>
      </c>
      <c r="AV291" s="3" t="str">
        <f t="shared" si="132"/>
        <v>CLEAN</v>
      </c>
      <c r="AW291" t="str">
        <f t="shared" si="133"/>
        <v>MATCH</v>
      </c>
      <c r="AX291" t="str">
        <f t="shared" si="134"/>
        <v>MATCH</v>
      </c>
    </row>
    <row r="292" spans="1:50" ht="15.6" hidden="1">
      <c r="A292" s="1" t="s">
        <v>2164</v>
      </c>
      <c r="B292" s="1">
        <f t="shared" si="108"/>
        <v>1</v>
      </c>
      <c r="C292" s="16">
        <v>45382</v>
      </c>
      <c r="D292" s="16">
        <v>45382</v>
      </c>
      <c r="E292" s="16" t="str">
        <f t="shared" si="127"/>
        <v>Mar</v>
      </c>
      <c r="F292" s="1">
        <f t="shared" si="128"/>
        <v>2024</v>
      </c>
      <c r="G292" t="s">
        <v>1314</v>
      </c>
      <c r="H292" s="17">
        <v>45895</v>
      </c>
      <c r="I292" s="21">
        <f t="shared" si="129"/>
        <v>513</v>
      </c>
      <c r="J292" s="6" t="str">
        <f t="shared" si="130"/>
        <v>OK</v>
      </c>
      <c r="K292" s="1" t="s">
        <v>2165</v>
      </c>
      <c r="L292" s="1" t="s">
        <v>52</v>
      </c>
      <c r="M292" s="1" t="str">
        <f t="shared" si="109"/>
        <v>Isha Nair</v>
      </c>
      <c r="N292" s="1" t="s">
        <v>40</v>
      </c>
      <c r="O292" s="1" t="str">
        <f t="shared" si="110"/>
        <v>Small Business</v>
      </c>
      <c r="P292" s="1" t="s">
        <v>26</v>
      </c>
      <c r="Q292" s="1" t="str">
        <f t="shared" si="111"/>
        <v>North</v>
      </c>
      <c r="R292" s="1" t="str">
        <f t="shared" si="112"/>
        <v>OK</v>
      </c>
      <c r="S292" s="1" t="s">
        <v>294</v>
      </c>
      <c r="T292" s="1" t="str">
        <f t="shared" si="113"/>
        <v>Haryana</v>
      </c>
      <c r="U292" s="1" t="s">
        <v>295</v>
      </c>
      <c r="V292" s="1" t="str">
        <f t="shared" si="114"/>
        <v>Gurugram</v>
      </c>
      <c r="W292" s="1" t="s">
        <v>83</v>
      </c>
      <c r="X292" s="1" t="str">
        <f t="shared" si="115"/>
        <v>Technology</v>
      </c>
      <c r="Y292" s="1" t="s">
        <v>347</v>
      </c>
      <c r="Z292" s="1" t="str">
        <f t="shared" si="116"/>
        <v>Machines</v>
      </c>
      <c r="AA292" s="1" t="s">
        <v>2166</v>
      </c>
      <c r="AB292" s="1" t="s">
        <v>32</v>
      </c>
      <c r="AC292" s="1" t="str">
        <f t="shared" si="117"/>
        <v>Second Class</v>
      </c>
      <c r="AD292" s="1" t="str">
        <f t="shared" si="118"/>
        <v>OK</v>
      </c>
      <c r="AE292" s="1">
        <v>4</v>
      </c>
      <c r="AF292" s="1">
        <v>1831</v>
      </c>
      <c r="AG292" s="9">
        <v>0</v>
      </c>
      <c r="AH292" s="9">
        <f t="shared" si="119"/>
        <v>0</v>
      </c>
      <c r="AI292" s="1" t="str">
        <f t="shared" si="120"/>
        <v>OK</v>
      </c>
      <c r="AJ292" s="1">
        <v>7324</v>
      </c>
      <c r="AK292" s="1">
        <v>4179.63</v>
      </c>
      <c r="AL292" s="1">
        <v>3144.37</v>
      </c>
      <c r="AM292" s="13">
        <f t="shared" si="121"/>
        <v>7324</v>
      </c>
      <c r="AN292" s="9">
        <f t="shared" si="122"/>
        <v>3144.37</v>
      </c>
      <c r="AO292" s="9">
        <f t="shared" si="131"/>
        <v>0.42932413981430911</v>
      </c>
      <c r="AP292" s="1" t="s">
        <v>33</v>
      </c>
      <c r="AQ292" s="1" t="str">
        <f t="shared" si="123"/>
        <v>Paid</v>
      </c>
      <c r="AR292" s="1" t="str">
        <f t="shared" si="124"/>
        <v>OK</v>
      </c>
      <c r="AS292" s="1" t="s">
        <v>34</v>
      </c>
      <c r="AT292" s="4" t="str">
        <f t="shared" si="125"/>
        <v>Completed</v>
      </c>
      <c r="AU292" s="3" t="str">
        <f t="shared" si="126"/>
        <v>OK</v>
      </c>
      <c r="AV292" s="3" t="str">
        <f t="shared" si="132"/>
        <v>CLEAN</v>
      </c>
      <c r="AW292" t="str">
        <f t="shared" si="133"/>
        <v>MATCH</v>
      </c>
      <c r="AX292" t="str">
        <f t="shared" si="134"/>
        <v>MATCH</v>
      </c>
    </row>
    <row r="293" spans="1:50" ht="15.6">
      <c r="A293" s="1" t="s">
        <v>2171</v>
      </c>
      <c r="B293" s="1">
        <f t="shared" si="108"/>
        <v>1</v>
      </c>
      <c r="C293" s="16">
        <v>45583</v>
      </c>
      <c r="D293" s="16">
        <v>45583</v>
      </c>
      <c r="E293" s="16" t="str">
        <f t="shared" si="127"/>
        <v>Oct</v>
      </c>
      <c r="F293" s="1">
        <f t="shared" si="128"/>
        <v>2024</v>
      </c>
      <c r="G293" t="s">
        <v>1318</v>
      </c>
      <c r="H293" s="17">
        <v>45392</v>
      </c>
      <c r="I293" s="21">
        <f t="shared" si="129"/>
        <v>-191</v>
      </c>
      <c r="J293" s="6" t="str">
        <f t="shared" si="130"/>
        <v>INVALID_SHIPPING</v>
      </c>
      <c r="K293" s="1" t="s">
        <v>2173</v>
      </c>
      <c r="L293" s="1" t="s">
        <v>2174</v>
      </c>
      <c r="M293" s="1" t="str">
        <f t="shared" si="109"/>
        <v>Aarav Sharma</v>
      </c>
      <c r="N293" s="1" t="s">
        <v>25</v>
      </c>
      <c r="O293" s="1" t="str">
        <f t="shared" si="110"/>
        <v>Consumer</v>
      </c>
      <c r="P293" s="1" t="s">
        <v>60</v>
      </c>
      <c r="Q293" s="1" t="str">
        <f t="shared" si="111"/>
        <v>South</v>
      </c>
      <c r="R293" s="1" t="str">
        <f t="shared" si="112"/>
        <v>OK</v>
      </c>
      <c r="S293" s="1" t="s">
        <v>212</v>
      </c>
      <c r="T293" s="1" t="str">
        <f t="shared" si="113"/>
        <v>Karnataka</v>
      </c>
      <c r="U293" s="1" t="s">
        <v>213</v>
      </c>
      <c r="V293" s="1" t="str">
        <f t="shared" si="114"/>
        <v>Bengaluru</v>
      </c>
      <c r="W293" s="1" t="s">
        <v>29</v>
      </c>
      <c r="X293" s="1" t="str">
        <f t="shared" si="115"/>
        <v>Office Supplies</v>
      </c>
      <c r="Y293" s="1" t="s">
        <v>148</v>
      </c>
      <c r="Z293" s="1" t="str">
        <f t="shared" si="116"/>
        <v>Storage</v>
      </c>
      <c r="AA293" s="1" t="s">
        <v>2175</v>
      </c>
      <c r="AB293" s="1" t="s">
        <v>32</v>
      </c>
      <c r="AC293" s="1" t="str">
        <f t="shared" si="117"/>
        <v>Second Class</v>
      </c>
      <c r="AD293" s="1" t="str">
        <f t="shared" si="118"/>
        <v>OK</v>
      </c>
      <c r="AE293" s="1">
        <v>2</v>
      </c>
      <c r="AF293" s="1">
        <v>4238.51</v>
      </c>
      <c r="AG293" s="9">
        <v>0</v>
      </c>
      <c r="AH293" s="9">
        <f t="shared" si="119"/>
        <v>0</v>
      </c>
      <c r="AI293" s="1" t="str">
        <f t="shared" si="120"/>
        <v>OK</v>
      </c>
      <c r="AJ293" s="1">
        <v>8477.02</v>
      </c>
      <c r="AK293" s="1">
        <v>6884.96</v>
      </c>
      <c r="AL293" s="1">
        <v>1592.06</v>
      </c>
      <c r="AM293" s="13">
        <f t="shared" si="121"/>
        <v>8477.02</v>
      </c>
      <c r="AN293" s="9">
        <f t="shared" si="122"/>
        <v>1592.0600000000004</v>
      </c>
      <c r="AO293" s="9">
        <f t="shared" si="131"/>
        <v>0.18780892341884298</v>
      </c>
      <c r="AP293" s="1" t="s">
        <v>33</v>
      </c>
      <c r="AQ293" s="1" t="str">
        <f t="shared" si="123"/>
        <v>Paid</v>
      </c>
      <c r="AR293" s="1" t="str">
        <f t="shared" si="124"/>
        <v>OK</v>
      </c>
      <c r="AS293" s="1" t="s">
        <v>34</v>
      </c>
      <c r="AT293" s="4" t="str">
        <f t="shared" si="125"/>
        <v>Completed</v>
      </c>
      <c r="AU293" s="3" t="str">
        <f t="shared" si="126"/>
        <v>OK</v>
      </c>
      <c r="AV293" s="3" t="str">
        <f t="shared" si="132"/>
        <v>INVALID</v>
      </c>
      <c r="AW293" t="str">
        <f t="shared" si="133"/>
        <v>MATCH</v>
      </c>
      <c r="AX293" t="str">
        <f t="shared" si="134"/>
        <v>MATCH</v>
      </c>
    </row>
    <row r="294" spans="1:50" ht="15.6" hidden="1">
      <c r="A294" s="1" t="s">
        <v>2176</v>
      </c>
      <c r="B294" s="1">
        <f t="shared" si="108"/>
        <v>1</v>
      </c>
      <c r="C294" s="16">
        <v>45588</v>
      </c>
      <c r="D294" s="16">
        <v>45588</v>
      </c>
      <c r="E294" s="16" t="str">
        <f t="shared" si="127"/>
        <v>Oct</v>
      </c>
      <c r="F294" s="1">
        <f t="shared" si="128"/>
        <v>2024</v>
      </c>
      <c r="G294" t="s">
        <v>1322</v>
      </c>
      <c r="H294" s="17">
        <v>45719</v>
      </c>
      <c r="I294" s="21">
        <f t="shared" si="129"/>
        <v>131</v>
      </c>
      <c r="J294" s="6" t="str">
        <f t="shared" si="130"/>
        <v>OK</v>
      </c>
      <c r="K294" s="1" t="s">
        <v>2178</v>
      </c>
      <c r="L294" s="1" t="s">
        <v>158</v>
      </c>
      <c r="M294" s="1" t="str">
        <f t="shared" si="109"/>
        <v>Sneha Kapoor</v>
      </c>
      <c r="N294" s="1" t="s">
        <v>25</v>
      </c>
      <c r="O294" s="1" t="str">
        <f t="shared" si="110"/>
        <v>Consumer</v>
      </c>
      <c r="P294" s="1" t="s">
        <v>71</v>
      </c>
      <c r="Q294" s="1" t="str">
        <f t="shared" si="111"/>
        <v>West</v>
      </c>
      <c r="R294" s="1" t="str">
        <f t="shared" si="112"/>
        <v>OK</v>
      </c>
      <c r="S294" s="1" t="s">
        <v>81</v>
      </c>
      <c r="T294" s="1" t="str">
        <f t="shared" si="113"/>
        <v>Madhya Pradesh</v>
      </c>
      <c r="U294" s="1" t="s">
        <v>82</v>
      </c>
      <c r="V294" s="1" t="str">
        <f t="shared" si="114"/>
        <v>Indore</v>
      </c>
      <c r="W294" s="1" t="s">
        <v>44</v>
      </c>
      <c r="X294" s="1" t="str">
        <f t="shared" si="115"/>
        <v>Furniture</v>
      </c>
      <c r="Y294" s="1" t="s">
        <v>190</v>
      </c>
      <c r="Z294" s="1" t="str">
        <f t="shared" si="116"/>
        <v>Bookcases</v>
      </c>
      <c r="AA294" s="1" t="s">
        <v>2179</v>
      </c>
      <c r="AB294" s="1" t="s">
        <v>65</v>
      </c>
      <c r="AC294" s="1" t="str">
        <f t="shared" si="117"/>
        <v>Standard Class</v>
      </c>
      <c r="AD294" s="1" t="str">
        <f t="shared" si="118"/>
        <v>OK</v>
      </c>
      <c r="AE294" s="1">
        <v>9</v>
      </c>
      <c r="AF294" s="1">
        <v>544.27</v>
      </c>
      <c r="AG294" s="9">
        <v>0.25</v>
      </c>
      <c r="AH294" s="9">
        <f t="shared" si="119"/>
        <v>0.25</v>
      </c>
      <c r="AI294" s="1" t="str">
        <f t="shared" si="120"/>
        <v>OK</v>
      </c>
      <c r="AJ294" s="1">
        <v>3673.82</v>
      </c>
      <c r="AK294" s="1">
        <v>2088.15</v>
      </c>
      <c r="AL294" s="1">
        <v>1585.67</v>
      </c>
      <c r="AM294" s="13">
        <f t="shared" si="121"/>
        <v>3673.8225000000002</v>
      </c>
      <c r="AN294" s="9">
        <f t="shared" si="122"/>
        <v>1585.6725000000001</v>
      </c>
      <c r="AO294" s="9">
        <f t="shared" si="131"/>
        <v>0.43161380278987349</v>
      </c>
      <c r="AP294" s="1" t="s">
        <v>33</v>
      </c>
      <c r="AQ294" s="1" t="str">
        <f t="shared" si="123"/>
        <v>Paid</v>
      </c>
      <c r="AR294" s="1" t="str">
        <f t="shared" si="124"/>
        <v>OK</v>
      </c>
      <c r="AS294" s="1" t="s">
        <v>34</v>
      </c>
      <c r="AT294" s="4" t="str">
        <f t="shared" si="125"/>
        <v>Completed</v>
      </c>
      <c r="AU294" s="3" t="str">
        <f t="shared" si="126"/>
        <v>OK</v>
      </c>
      <c r="AV294" s="3" t="str">
        <f t="shared" si="132"/>
        <v>CLEAN</v>
      </c>
      <c r="AW294" t="str">
        <f t="shared" si="133"/>
        <v>MATCH</v>
      </c>
      <c r="AX294" t="str">
        <f t="shared" si="134"/>
        <v>MATCH</v>
      </c>
    </row>
    <row r="295" spans="1:50" ht="15.6">
      <c r="A295" s="1" t="s">
        <v>2186</v>
      </c>
      <c r="B295" s="1">
        <f t="shared" si="108"/>
        <v>1</v>
      </c>
      <c r="C295" s="16">
        <v>45614</v>
      </c>
      <c r="D295" s="16">
        <v>45614</v>
      </c>
      <c r="E295" s="16" t="str">
        <f t="shared" si="127"/>
        <v>Nov</v>
      </c>
      <c r="F295" s="1">
        <f t="shared" si="128"/>
        <v>2024</v>
      </c>
      <c r="G295" t="s">
        <v>1327</v>
      </c>
      <c r="H295" s="17">
        <v>45599</v>
      </c>
      <c r="I295" s="21">
        <f t="shared" si="129"/>
        <v>-15</v>
      </c>
      <c r="J295" s="6" t="str">
        <f t="shared" si="130"/>
        <v>INVALID_SHIPPING</v>
      </c>
      <c r="K295" s="1" t="s">
        <v>2187</v>
      </c>
      <c r="L295" s="1" t="s">
        <v>24</v>
      </c>
      <c r="M295" s="1" t="str">
        <f t="shared" si="109"/>
        <v>Karan Malhotra</v>
      </c>
      <c r="N295" s="1" t="s">
        <v>110</v>
      </c>
      <c r="O295" s="1" t="str">
        <f t="shared" si="110"/>
        <v>Home Office</v>
      </c>
      <c r="P295" s="1" t="s">
        <v>60</v>
      </c>
      <c r="Q295" s="1" t="str">
        <f t="shared" si="111"/>
        <v>South</v>
      </c>
      <c r="R295" s="1" t="str">
        <f t="shared" si="112"/>
        <v>OK</v>
      </c>
      <c r="S295" s="1" t="s">
        <v>224</v>
      </c>
      <c r="T295" s="1" t="str">
        <f t="shared" si="113"/>
        <v>Kerala</v>
      </c>
      <c r="U295" s="1" t="s">
        <v>225</v>
      </c>
      <c r="V295" s="1" t="str">
        <f t="shared" si="114"/>
        <v>Kochi</v>
      </c>
      <c r="W295" s="1" t="s">
        <v>83</v>
      </c>
      <c r="X295" s="1" t="str">
        <f t="shared" si="115"/>
        <v>Technology</v>
      </c>
      <c r="Y295" s="1" t="s">
        <v>84</v>
      </c>
      <c r="Z295" s="1" t="str">
        <f t="shared" si="116"/>
        <v>Accessories</v>
      </c>
      <c r="AA295" s="1" t="s">
        <v>2188</v>
      </c>
      <c r="AB295" s="1" t="s">
        <v>65</v>
      </c>
      <c r="AC295" s="1" t="str">
        <f t="shared" si="117"/>
        <v>Standard Class</v>
      </c>
      <c r="AD295" s="1" t="str">
        <f t="shared" si="118"/>
        <v>OK</v>
      </c>
      <c r="AE295" s="1">
        <v>6</v>
      </c>
      <c r="AF295" s="1">
        <v>3872.94</v>
      </c>
      <c r="AG295" s="9">
        <v>0.1</v>
      </c>
      <c r="AH295" s="9">
        <f t="shared" si="119"/>
        <v>0.1</v>
      </c>
      <c r="AI295" s="1" t="str">
        <f t="shared" si="120"/>
        <v>OK</v>
      </c>
      <c r="AJ295" s="1">
        <v>20913.88</v>
      </c>
      <c r="AK295" s="1">
        <v>11684.68</v>
      </c>
      <c r="AL295" s="1">
        <v>9229.2000000000007</v>
      </c>
      <c r="AM295" s="13">
        <f t="shared" si="121"/>
        <v>20913.876</v>
      </c>
      <c r="AN295" s="9">
        <f t="shared" si="122"/>
        <v>9229.1959999999999</v>
      </c>
      <c r="AO295" s="9">
        <f t="shared" si="131"/>
        <v>0.44129533903710627</v>
      </c>
      <c r="AP295" s="1" t="s">
        <v>33</v>
      </c>
      <c r="AQ295" s="1" t="str">
        <f t="shared" si="123"/>
        <v>Paid</v>
      </c>
      <c r="AR295" s="1" t="str">
        <f t="shared" si="124"/>
        <v>OK</v>
      </c>
      <c r="AS295" s="1" t="s">
        <v>34</v>
      </c>
      <c r="AT295" s="4" t="str">
        <f t="shared" si="125"/>
        <v>Completed</v>
      </c>
      <c r="AU295" s="3" t="str">
        <f t="shared" si="126"/>
        <v>OK</v>
      </c>
      <c r="AV295" s="3" t="str">
        <f t="shared" si="132"/>
        <v>INVALID</v>
      </c>
      <c r="AW295" t="str">
        <f t="shared" si="133"/>
        <v>MATCH</v>
      </c>
      <c r="AX295" t="str">
        <f t="shared" si="134"/>
        <v>MATCH</v>
      </c>
    </row>
    <row r="296" spans="1:50" ht="15.6" hidden="1">
      <c r="A296" s="1" t="s">
        <v>2193</v>
      </c>
      <c r="B296" s="1">
        <f t="shared" si="108"/>
        <v>1</v>
      </c>
      <c r="C296" s="16">
        <v>45563</v>
      </c>
      <c r="D296" s="16">
        <v>45563</v>
      </c>
      <c r="E296" s="16" t="str">
        <f t="shared" si="127"/>
        <v>Sep</v>
      </c>
      <c r="F296" s="1">
        <f t="shared" si="128"/>
        <v>2024</v>
      </c>
      <c r="G296" t="s">
        <v>1332</v>
      </c>
      <c r="H296" s="17">
        <v>45860</v>
      </c>
      <c r="I296" s="21">
        <f t="shared" si="129"/>
        <v>297</v>
      </c>
      <c r="J296" s="6" t="str">
        <f t="shared" si="130"/>
        <v>OK</v>
      </c>
      <c r="K296" s="1" t="s">
        <v>2195</v>
      </c>
      <c r="L296" s="1" t="s">
        <v>334</v>
      </c>
      <c r="M296" s="1" t="str">
        <f t="shared" si="109"/>
        <v>Kabir Singh</v>
      </c>
      <c r="N296" s="1" t="s">
        <v>110</v>
      </c>
      <c r="O296" s="1" t="str">
        <f t="shared" si="110"/>
        <v>Home Office</v>
      </c>
      <c r="P296" s="1" t="s">
        <v>26</v>
      </c>
      <c r="Q296" s="1" t="str">
        <f t="shared" si="111"/>
        <v>North</v>
      </c>
      <c r="R296" s="1" t="str">
        <f t="shared" si="112"/>
        <v>OK</v>
      </c>
      <c r="S296" s="1" t="s">
        <v>454</v>
      </c>
      <c r="T296" s="1" t="str">
        <f t="shared" si="113"/>
        <v>Delhi</v>
      </c>
      <c r="U296" s="1" t="s">
        <v>455</v>
      </c>
      <c r="V296" s="1" t="str">
        <f t="shared" si="114"/>
        <v>New Delhi</v>
      </c>
      <c r="W296" s="1" t="s">
        <v>83</v>
      </c>
      <c r="X296" s="1" t="str">
        <f t="shared" si="115"/>
        <v>Technology</v>
      </c>
      <c r="Y296" s="1" t="s">
        <v>91</v>
      </c>
      <c r="Z296" s="1" t="str">
        <f t="shared" si="116"/>
        <v>Copiers</v>
      </c>
      <c r="AA296" s="1" t="s">
        <v>2196</v>
      </c>
      <c r="AB296" s="1" t="s">
        <v>65</v>
      </c>
      <c r="AC296" s="1" t="str">
        <f t="shared" si="117"/>
        <v>Standard Class</v>
      </c>
      <c r="AD296" s="1" t="str">
        <f t="shared" si="118"/>
        <v>OK</v>
      </c>
      <c r="AE296" s="1">
        <v>1</v>
      </c>
      <c r="AF296" s="1">
        <v>2233.1799999999998</v>
      </c>
      <c r="AG296" s="9">
        <v>0</v>
      </c>
      <c r="AH296" s="9">
        <f t="shared" si="119"/>
        <v>0</v>
      </c>
      <c r="AI296" s="1" t="str">
        <f t="shared" si="120"/>
        <v>OK</v>
      </c>
      <c r="AJ296" s="1">
        <v>2233.1799999999998</v>
      </c>
      <c r="AK296" s="1">
        <v>1585.82</v>
      </c>
      <c r="AL296" s="1">
        <v>647.36</v>
      </c>
      <c r="AM296" s="13">
        <f t="shared" si="121"/>
        <v>2233.1799999999998</v>
      </c>
      <c r="AN296" s="9">
        <f t="shared" si="122"/>
        <v>647.3599999999999</v>
      </c>
      <c r="AO296" s="9">
        <f t="shared" si="131"/>
        <v>0.28988258895386843</v>
      </c>
      <c r="AP296" s="1" t="s">
        <v>186</v>
      </c>
      <c r="AQ296" s="1" t="str">
        <f t="shared" si="123"/>
        <v>Failed</v>
      </c>
      <c r="AR296" s="1" t="str">
        <f t="shared" si="124"/>
        <v>EXCLUDE_FROM_SALES</v>
      </c>
      <c r="AS296" s="1" t="s">
        <v>120</v>
      </c>
      <c r="AT296" s="4" t="str">
        <f t="shared" si="125"/>
        <v>Returned</v>
      </c>
      <c r="AU296" s="3" t="str">
        <f t="shared" si="126"/>
        <v>RETURNED_ORDER</v>
      </c>
      <c r="AV296" s="3" t="str">
        <f t="shared" si="132"/>
        <v>CLEAN</v>
      </c>
      <c r="AW296" t="str">
        <f t="shared" si="133"/>
        <v>MATCH</v>
      </c>
      <c r="AX296" t="str">
        <f t="shared" si="134"/>
        <v>MATCH</v>
      </c>
    </row>
    <row r="297" spans="1:50" ht="15.6" hidden="1">
      <c r="A297" s="1" t="s">
        <v>2208</v>
      </c>
      <c r="B297" s="1">
        <f t="shared" si="108"/>
        <v>1</v>
      </c>
      <c r="C297" s="16">
        <v>45489</v>
      </c>
      <c r="D297" s="16">
        <v>45489</v>
      </c>
      <c r="E297" s="16" t="str">
        <f t="shared" si="127"/>
        <v>Jul</v>
      </c>
      <c r="F297" s="1">
        <f t="shared" si="128"/>
        <v>2024</v>
      </c>
      <c r="G297" t="s">
        <v>1337</v>
      </c>
      <c r="H297" s="17">
        <v>45836</v>
      </c>
      <c r="I297" s="21">
        <f t="shared" si="129"/>
        <v>347</v>
      </c>
      <c r="J297" s="6" t="str">
        <f t="shared" si="130"/>
        <v>OK</v>
      </c>
      <c r="K297" s="1" t="s">
        <v>2210</v>
      </c>
      <c r="L297" s="1" t="s">
        <v>153</v>
      </c>
      <c r="M297" s="1" t="str">
        <f t="shared" si="109"/>
        <v>Aarav Sharma</v>
      </c>
      <c r="N297" s="1" t="s">
        <v>110</v>
      </c>
      <c r="O297" s="1" t="str">
        <f t="shared" si="110"/>
        <v>Home Office</v>
      </c>
      <c r="P297" s="1" t="s">
        <v>60</v>
      </c>
      <c r="Q297" s="1" t="str">
        <f t="shared" si="111"/>
        <v>South</v>
      </c>
      <c r="R297" s="1" t="str">
        <f t="shared" si="112"/>
        <v>OK</v>
      </c>
      <c r="S297" s="1" t="s">
        <v>212</v>
      </c>
      <c r="T297" s="1" t="str">
        <f t="shared" si="113"/>
        <v>Karnataka</v>
      </c>
      <c r="U297" s="1" t="s">
        <v>213</v>
      </c>
      <c r="V297" s="1" t="str">
        <f t="shared" si="114"/>
        <v>Bengaluru</v>
      </c>
      <c r="W297" s="1" t="s">
        <v>83</v>
      </c>
      <c r="X297" s="1" t="str">
        <f t="shared" si="115"/>
        <v>Technology</v>
      </c>
      <c r="Y297" s="1" t="s">
        <v>347</v>
      </c>
      <c r="Z297" s="1" t="str">
        <f t="shared" si="116"/>
        <v>Machines</v>
      </c>
      <c r="AA297" s="1" t="s">
        <v>2211</v>
      </c>
      <c r="AB297" s="1" t="s">
        <v>47</v>
      </c>
      <c r="AC297" s="1" t="str">
        <f t="shared" si="117"/>
        <v>Same Day</v>
      </c>
      <c r="AD297" s="1" t="str">
        <f t="shared" si="118"/>
        <v>OK</v>
      </c>
      <c r="AE297" s="1">
        <v>1</v>
      </c>
      <c r="AF297" s="1">
        <v>1695.91</v>
      </c>
      <c r="AG297" s="9">
        <v>0.05</v>
      </c>
      <c r="AH297" s="9">
        <f t="shared" si="119"/>
        <v>0.05</v>
      </c>
      <c r="AI297" s="1" t="str">
        <f t="shared" si="120"/>
        <v>OK</v>
      </c>
      <c r="AJ297" s="1">
        <v>1611.11</v>
      </c>
      <c r="AK297" s="1">
        <v>895.15</v>
      </c>
      <c r="AL297" s="1">
        <v>715.96</v>
      </c>
      <c r="AM297" s="13">
        <f t="shared" si="121"/>
        <v>1611.1144999999999</v>
      </c>
      <c r="AN297" s="9">
        <f t="shared" si="122"/>
        <v>715.96449999999993</v>
      </c>
      <c r="AO297" s="9">
        <f t="shared" si="131"/>
        <v>0.44439082386757739</v>
      </c>
      <c r="AP297" s="1" t="s">
        <v>33</v>
      </c>
      <c r="AQ297" s="1" t="str">
        <f t="shared" si="123"/>
        <v>Paid</v>
      </c>
      <c r="AR297" s="1" t="str">
        <f t="shared" si="124"/>
        <v>OK</v>
      </c>
      <c r="AS297" s="1" t="s">
        <v>34</v>
      </c>
      <c r="AT297" s="4" t="str">
        <f t="shared" si="125"/>
        <v>Completed</v>
      </c>
      <c r="AU297" s="3" t="str">
        <f t="shared" si="126"/>
        <v>OK</v>
      </c>
      <c r="AV297" s="3" t="str">
        <f t="shared" si="132"/>
        <v>CLEAN</v>
      </c>
      <c r="AW297" t="str">
        <f t="shared" si="133"/>
        <v>MATCH</v>
      </c>
      <c r="AX297" t="str">
        <f t="shared" si="134"/>
        <v>MATCH</v>
      </c>
    </row>
    <row r="298" spans="1:50" ht="15.6" hidden="1">
      <c r="A298" s="1" t="s">
        <v>2220</v>
      </c>
      <c r="B298" s="1">
        <f t="shared" si="108"/>
        <v>1</v>
      </c>
      <c r="C298" s="16">
        <v>45384</v>
      </c>
      <c r="D298" s="16">
        <v>45384</v>
      </c>
      <c r="E298" s="16" t="str">
        <f t="shared" si="127"/>
        <v>Apr</v>
      </c>
      <c r="F298" s="1">
        <f t="shared" si="128"/>
        <v>2024</v>
      </c>
      <c r="G298" t="s">
        <v>1341</v>
      </c>
      <c r="H298" s="17">
        <v>45803</v>
      </c>
      <c r="I298" s="21">
        <f t="shared" si="129"/>
        <v>419</v>
      </c>
      <c r="J298" s="6" t="str">
        <f t="shared" si="130"/>
        <v>OK</v>
      </c>
      <c r="K298" s="1" t="s">
        <v>2222</v>
      </c>
      <c r="L298" s="1" t="s">
        <v>334</v>
      </c>
      <c r="M298" s="1" t="str">
        <f t="shared" si="109"/>
        <v>Kabir Singh</v>
      </c>
      <c r="N298" s="1" t="s">
        <v>110</v>
      </c>
      <c r="O298" s="1" t="str">
        <f t="shared" si="110"/>
        <v>Home Office</v>
      </c>
      <c r="P298" s="1" t="s">
        <v>71</v>
      </c>
      <c r="Q298" s="1" t="str">
        <f t="shared" si="111"/>
        <v>West</v>
      </c>
      <c r="R298" s="1" t="str">
        <f t="shared" si="112"/>
        <v>OK</v>
      </c>
      <c r="S298" s="1" t="s">
        <v>230</v>
      </c>
      <c r="T298" s="1" t="str">
        <f t="shared" si="113"/>
        <v>Goa</v>
      </c>
      <c r="U298" s="1" t="s">
        <v>231</v>
      </c>
      <c r="V298" s="1" t="str">
        <f t="shared" si="114"/>
        <v>Panaji</v>
      </c>
      <c r="W298" s="1" t="s">
        <v>29</v>
      </c>
      <c r="X298" s="1" t="str">
        <f t="shared" si="115"/>
        <v>Office Supplies</v>
      </c>
      <c r="Y298" s="1" t="s">
        <v>30</v>
      </c>
      <c r="Z298" s="1" t="str">
        <f t="shared" si="116"/>
        <v>Paper</v>
      </c>
      <c r="AA298" s="1" t="s">
        <v>2223</v>
      </c>
      <c r="AB298" s="1" t="s">
        <v>32</v>
      </c>
      <c r="AC298" s="1" t="str">
        <f t="shared" si="117"/>
        <v>Second Class</v>
      </c>
      <c r="AD298" s="1" t="str">
        <f t="shared" si="118"/>
        <v>OK</v>
      </c>
      <c r="AE298" s="1">
        <v>2</v>
      </c>
      <c r="AF298" s="1">
        <v>2902.63</v>
      </c>
      <c r="AG298" s="9">
        <v>0</v>
      </c>
      <c r="AH298" s="9">
        <f t="shared" si="119"/>
        <v>0</v>
      </c>
      <c r="AI298" s="1" t="str">
        <f t="shared" si="120"/>
        <v>OK</v>
      </c>
      <c r="AJ298" s="1">
        <v>5805.26</v>
      </c>
      <c r="AK298" s="1">
        <v>4654.3599999999997</v>
      </c>
      <c r="AL298" s="1">
        <v>1150.9000000000001</v>
      </c>
      <c r="AM298" s="13">
        <f t="shared" si="121"/>
        <v>5805.26</v>
      </c>
      <c r="AN298" s="9">
        <f t="shared" si="122"/>
        <v>1150.9000000000005</v>
      </c>
      <c r="AO298" s="9">
        <f t="shared" si="131"/>
        <v>0.19825124111581574</v>
      </c>
      <c r="AP298" s="1" t="s">
        <v>33</v>
      </c>
      <c r="AQ298" s="1" t="str">
        <f t="shared" si="123"/>
        <v>Paid</v>
      </c>
      <c r="AR298" s="1" t="str">
        <f t="shared" si="124"/>
        <v>OK</v>
      </c>
      <c r="AS298" s="1" t="s">
        <v>120</v>
      </c>
      <c r="AT298" s="4" t="str">
        <f t="shared" si="125"/>
        <v>Returned</v>
      </c>
      <c r="AU298" s="3" t="str">
        <f t="shared" si="126"/>
        <v>RETURNED_ORDER</v>
      </c>
      <c r="AV298" s="3" t="str">
        <f t="shared" si="132"/>
        <v>CLEAN</v>
      </c>
      <c r="AW298" t="str">
        <f t="shared" si="133"/>
        <v>MATCH</v>
      </c>
      <c r="AX298" t="str">
        <f t="shared" si="134"/>
        <v>MATCH</v>
      </c>
    </row>
    <row r="299" spans="1:50" ht="15.6">
      <c r="A299" s="1" t="s">
        <v>2224</v>
      </c>
      <c r="B299" s="1">
        <f t="shared" si="108"/>
        <v>1</v>
      </c>
      <c r="C299" s="16">
        <v>45626</v>
      </c>
      <c r="D299" s="16">
        <v>45626</v>
      </c>
      <c r="E299" s="16" t="str">
        <f t="shared" si="127"/>
        <v>Nov</v>
      </c>
      <c r="F299" s="1">
        <f t="shared" si="128"/>
        <v>2024</v>
      </c>
      <c r="G299" t="s">
        <v>1345</v>
      </c>
      <c r="H299" s="17">
        <v>45454</v>
      </c>
      <c r="I299" s="21">
        <f t="shared" si="129"/>
        <v>-172</v>
      </c>
      <c r="J299" s="6" t="str">
        <f t="shared" si="130"/>
        <v>INVALID_SHIPPING</v>
      </c>
      <c r="K299" s="1" t="s">
        <v>2226</v>
      </c>
      <c r="L299" s="1" t="s">
        <v>70</v>
      </c>
      <c r="M299" s="1" t="str">
        <f t="shared" si="109"/>
        <v>Ananya Rao</v>
      </c>
      <c r="N299" s="1" t="s">
        <v>104</v>
      </c>
      <c r="O299" s="1" t="str">
        <f t="shared" si="110"/>
        <v>Corporate</v>
      </c>
      <c r="P299" s="1" t="s">
        <v>71</v>
      </c>
      <c r="Q299" s="1" t="str">
        <f t="shared" si="111"/>
        <v>West</v>
      </c>
      <c r="R299" s="1" t="str">
        <f t="shared" si="112"/>
        <v>OK</v>
      </c>
      <c r="S299" s="1" t="s">
        <v>218</v>
      </c>
      <c r="T299" s="1" t="str">
        <f t="shared" si="113"/>
        <v>Gujarat</v>
      </c>
      <c r="U299" s="1" t="s">
        <v>219</v>
      </c>
      <c r="V299" s="1" t="str">
        <f t="shared" si="114"/>
        <v>Ahmedabad</v>
      </c>
      <c r="W299" s="1" t="s">
        <v>44</v>
      </c>
      <c r="X299" s="1" t="str">
        <f t="shared" si="115"/>
        <v>Furniture</v>
      </c>
      <c r="Y299" s="1" t="s">
        <v>74</v>
      </c>
      <c r="Z299" s="1" t="str">
        <f t="shared" si="116"/>
        <v>Chairs</v>
      </c>
      <c r="AA299" s="1" t="s">
        <v>2227</v>
      </c>
      <c r="AB299" s="1" t="s">
        <v>55</v>
      </c>
      <c r="AC299" s="1" t="str">
        <f t="shared" si="117"/>
        <v>First Class</v>
      </c>
      <c r="AD299" s="1" t="str">
        <f t="shared" si="118"/>
        <v>OK</v>
      </c>
      <c r="AE299" s="1">
        <v>9</v>
      </c>
      <c r="AF299" s="1">
        <v>4207.3599999999997</v>
      </c>
      <c r="AG299" s="9">
        <v>0.1</v>
      </c>
      <c r="AH299" s="9">
        <f t="shared" si="119"/>
        <v>0.1</v>
      </c>
      <c r="AI299" s="1" t="str">
        <f t="shared" si="120"/>
        <v>OK</v>
      </c>
      <c r="AJ299" s="1">
        <v>34079.620000000003</v>
      </c>
      <c r="AK299" s="1">
        <v>21871.39</v>
      </c>
      <c r="AL299" s="1">
        <v>12208.23</v>
      </c>
      <c r="AM299" s="13">
        <f t="shared" si="121"/>
        <v>34079.616000000002</v>
      </c>
      <c r="AN299" s="9">
        <f t="shared" si="122"/>
        <v>12208.226000000002</v>
      </c>
      <c r="AO299" s="9">
        <f t="shared" si="131"/>
        <v>0.35822663025311091</v>
      </c>
      <c r="AP299" s="1" t="s">
        <v>33</v>
      </c>
      <c r="AQ299" s="1" t="str">
        <f t="shared" si="123"/>
        <v>Paid</v>
      </c>
      <c r="AR299" s="1" t="str">
        <f t="shared" si="124"/>
        <v>OK</v>
      </c>
      <c r="AS299" s="1" t="s">
        <v>34</v>
      </c>
      <c r="AT299" s="4" t="str">
        <f t="shared" si="125"/>
        <v>Completed</v>
      </c>
      <c r="AU299" s="3" t="str">
        <f t="shared" si="126"/>
        <v>OK</v>
      </c>
      <c r="AV299" s="3" t="str">
        <f t="shared" si="132"/>
        <v>INVALID</v>
      </c>
      <c r="AW299" t="str">
        <f t="shared" si="133"/>
        <v>MATCH</v>
      </c>
      <c r="AX299" t="str">
        <f t="shared" si="134"/>
        <v>MATCH</v>
      </c>
    </row>
    <row r="300" spans="1:50" ht="15.6" hidden="1">
      <c r="A300" s="1" t="s">
        <v>2228</v>
      </c>
      <c r="B300" s="1">
        <f t="shared" si="108"/>
        <v>1</v>
      </c>
      <c r="C300" s="16">
        <v>45582</v>
      </c>
      <c r="D300" s="16">
        <v>45582</v>
      </c>
      <c r="E300" s="16" t="str">
        <f t="shared" si="127"/>
        <v>Oct</v>
      </c>
      <c r="F300" s="1">
        <f t="shared" si="128"/>
        <v>2024</v>
      </c>
      <c r="G300" t="s">
        <v>1349</v>
      </c>
      <c r="H300" s="17">
        <v>45683</v>
      </c>
      <c r="I300" s="21">
        <f t="shared" si="129"/>
        <v>101</v>
      </c>
      <c r="J300" s="6" t="str">
        <f t="shared" si="130"/>
        <v>OK</v>
      </c>
      <c r="K300" s="1" t="s">
        <v>2230</v>
      </c>
      <c r="L300" s="1" t="s">
        <v>136</v>
      </c>
      <c r="M300" s="1" t="str">
        <f t="shared" si="109"/>
        <v>Priya Menon</v>
      </c>
      <c r="N300" s="1" t="s">
        <v>110</v>
      </c>
      <c r="O300" s="1" t="str">
        <f t="shared" si="110"/>
        <v>Home Office</v>
      </c>
      <c r="P300" s="1" t="s">
        <v>41</v>
      </c>
      <c r="Q300" s="1" t="str">
        <f t="shared" si="111"/>
        <v>East</v>
      </c>
      <c r="R300" s="1" t="str">
        <f t="shared" si="112"/>
        <v>OK</v>
      </c>
      <c r="S300" s="1" t="s">
        <v>116</v>
      </c>
      <c r="T300" s="1" t="str">
        <f t="shared" si="113"/>
        <v>West Bengal</v>
      </c>
      <c r="U300" s="1" t="s">
        <v>117</v>
      </c>
      <c r="V300" s="1" t="str">
        <f t="shared" si="114"/>
        <v>Kolkata</v>
      </c>
      <c r="W300" s="1" t="s">
        <v>44</v>
      </c>
      <c r="X300" s="1" t="str">
        <f t="shared" si="115"/>
        <v>Furniture</v>
      </c>
      <c r="Y300" s="1" t="s">
        <v>74</v>
      </c>
      <c r="Z300" s="1" t="str">
        <f t="shared" si="116"/>
        <v>Chairs</v>
      </c>
      <c r="AA300" s="1" t="s">
        <v>2231</v>
      </c>
      <c r="AB300" s="1" t="s">
        <v>65</v>
      </c>
      <c r="AC300" s="1" t="str">
        <f t="shared" si="117"/>
        <v>Standard Class</v>
      </c>
      <c r="AD300" s="1" t="str">
        <f t="shared" si="118"/>
        <v>OK</v>
      </c>
      <c r="AE300" s="1">
        <v>5</v>
      </c>
      <c r="AF300" s="1">
        <v>2524.4</v>
      </c>
      <c r="AG300" s="9">
        <v>0.1</v>
      </c>
      <c r="AH300" s="9">
        <f t="shared" si="119"/>
        <v>0.1</v>
      </c>
      <c r="AI300" s="1" t="str">
        <f t="shared" si="120"/>
        <v>OK</v>
      </c>
      <c r="AJ300" s="1">
        <v>11359.8</v>
      </c>
      <c r="AK300" s="1">
        <v>7062.44</v>
      </c>
      <c r="AL300" s="1">
        <v>4297.3599999999997</v>
      </c>
      <c r="AM300" s="13">
        <f t="shared" si="121"/>
        <v>11359.800000000001</v>
      </c>
      <c r="AN300" s="9">
        <f t="shared" si="122"/>
        <v>4297.3600000000015</v>
      </c>
      <c r="AO300" s="9">
        <f t="shared" si="131"/>
        <v>0.37829539252451638</v>
      </c>
      <c r="AP300" s="1" t="s">
        <v>33</v>
      </c>
      <c r="AQ300" s="1" t="str">
        <f t="shared" si="123"/>
        <v>Paid</v>
      </c>
      <c r="AR300" s="1" t="str">
        <f t="shared" si="124"/>
        <v>OK</v>
      </c>
      <c r="AS300" s="1" t="s">
        <v>34</v>
      </c>
      <c r="AT300" s="4" t="str">
        <f t="shared" si="125"/>
        <v>Completed</v>
      </c>
      <c r="AU300" s="3" t="str">
        <f t="shared" si="126"/>
        <v>OK</v>
      </c>
      <c r="AV300" s="3" t="str">
        <f t="shared" si="132"/>
        <v>CLEAN</v>
      </c>
      <c r="AW300" t="str">
        <f t="shared" si="133"/>
        <v>MATCH</v>
      </c>
      <c r="AX300" t="str">
        <f t="shared" si="134"/>
        <v>MATCH</v>
      </c>
    </row>
    <row r="301" spans="1:50" ht="15.6" hidden="1">
      <c r="A301" s="1" t="s">
        <v>2240</v>
      </c>
      <c r="B301" s="1">
        <f t="shared" si="108"/>
        <v>1</v>
      </c>
      <c r="C301" s="16">
        <v>45483</v>
      </c>
      <c r="D301" s="16">
        <v>45483</v>
      </c>
      <c r="E301" s="16" t="str">
        <f t="shared" si="127"/>
        <v>Jul</v>
      </c>
      <c r="F301" s="1">
        <f t="shared" si="128"/>
        <v>2024</v>
      </c>
      <c r="G301" t="s">
        <v>1353</v>
      </c>
      <c r="H301" s="17">
        <v>45608</v>
      </c>
      <c r="I301" s="21">
        <f t="shared" si="129"/>
        <v>125</v>
      </c>
      <c r="J301" s="6" t="str">
        <f t="shared" si="130"/>
        <v>OK</v>
      </c>
      <c r="K301" s="1" t="s">
        <v>2242</v>
      </c>
      <c r="L301" s="1" t="s">
        <v>196</v>
      </c>
      <c r="M301" s="1" t="str">
        <f t="shared" si="109"/>
        <v>Diya Patel</v>
      </c>
      <c r="N301" s="1" t="s">
        <v>25</v>
      </c>
      <c r="O301" s="1" t="str">
        <f t="shared" si="110"/>
        <v>Consumer</v>
      </c>
      <c r="P301" s="1" t="s">
        <v>60</v>
      </c>
      <c r="Q301" s="1" t="str">
        <f t="shared" si="111"/>
        <v>South</v>
      </c>
      <c r="R301" s="1" t="str">
        <f t="shared" si="112"/>
        <v>OK</v>
      </c>
      <c r="S301" s="1" t="s">
        <v>309</v>
      </c>
      <c r="T301" s="1" t="str">
        <f t="shared" si="113"/>
        <v>Tamil Nadu</v>
      </c>
      <c r="U301" s="1" t="s">
        <v>310</v>
      </c>
      <c r="V301" s="1" t="str">
        <f t="shared" si="114"/>
        <v>Chennai</v>
      </c>
      <c r="W301" s="1" t="s">
        <v>29</v>
      </c>
      <c r="X301" s="1" t="str">
        <f t="shared" si="115"/>
        <v>Office Supplies</v>
      </c>
      <c r="Y301" s="1" t="s">
        <v>184</v>
      </c>
      <c r="Z301" s="1" t="str">
        <f t="shared" si="116"/>
        <v>Binders</v>
      </c>
      <c r="AA301" s="1" t="s">
        <v>2243</v>
      </c>
      <c r="AB301" s="1" t="s">
        <v>65</v>
      </c>
      <c r="AC301" s="1" t="str">
        <f t="shared" si="117"/>
        <v>Standard Class</v>
      </c>
      <c r="AD301" s="1" t="str">
        <f t="shared" si="118"/>
        <v>OK</v>
      </c>
      <c r="AE301" s="1">
        <v>9</v>
      </c>
      <c r="AF301" s="1">
        <v>3457.09</v>
      </c>
      <c r="AG301" s="9">
        <v>0.05</v>
      </c>
      <c r="AH301" s="9">
        <f t="shared" si="119"/>
        <v>0.05</v>
      </c>
      <c r="AI301" s="1" t="str">
        <f t="shared" si="120"/>
        <v>OK</v>
      </c>
      <c r="AJ301" s="1">
        <v>29558.12</v>
      </c>
      <c r="AK301" s="1">
        <v>21302.13</v>
      </c>
      <c r="AL301" s="1">
        <v>8255.99</v>
      </c>
      <c r="AM301" s="13">
        <f t="shared" si="121"/>
        <v>29558.119500000001</v>
      </c>
      <c r="AN301" s="9">
        <f t="shared" si="122"/>
        <v>8255.9894999999997</v>
      </c>
      <c r="AO301" s="9">
        <f t="shared" si="131"/>
        <v>0.27931376013281223</v>
      </c>
      <c r="AP301" s="1" t="s">
        <v>131</v>
      </c>
      <c r="AQ301" s="1" t="str">
        <f t="shared" si="123"/>
        <v>Pending</v>
      </c>
      <c r="AR301" s="1" t="str">
        <f t="shared" si="124"/>
        <v>OK</v>
      </c>
      <c r="AS301" s="1" t="s">
        <v>120</v>
      </c>
      <c r="AT301" s="4" t="str">
        <f t="shared" si="125"/>
        <v>Returned</v>
      </c>
      <c r="AU301" s="3" t="str">
        <f t="shared" si="126"/>
        <v>RETURNED_ORDER</v>
      </c>
      <c r="AV301" s="3" t="str">
        <f t="shared" si="132"/>
        <v>CLEAN</v>
      </c>
      <c r="AW301" t="str">
        <f t="shared" si="133"/>
        <v>MATCH</v>
      </c>
      <c r="AX301" t="str">
        <f t="shared" si="134"/>
        <v>MATCH</v>
      </c>
    </row>
    <row r="302" spans="1:50" ht="15.6">
      <c r="A302" s="1" t="s">
        <v>2244</v>
      </c>
      <c r="B302" s="1">
        <f t="shared" si="108"/>
        <v>1</v>
      </c>
      <c r="C302" s="16">
        <v>45445</v>
      </c>
      <c r="D302" s="16">
        <v>45445</v>
      </c>
      <c r="E302" s="16" t="str">
        <f t="shared" si="127"/>
        <v>Jun</v>
      </c>
      <c r="F302" s="1">
        <f t="shared" si="128"/>
        <v>2024</v>
      </c>
      <c r="G302" t="s">
        <v>1358</v>
      </c>
      <c r="H302" s="17">
        <v>45405</v>
      </c>
      <c r="I302" s="21">
        <f t="shared" si="129"/>
        <v>-40</v>
      </c>
      <c r="J302" s="6" t="str">
        <f t="shared" si="130"/>
        <v>INVALID_SHIPPING</v>
      </c>
      <c r="K302" s="1" t="s">
        <v>979</v>
      </c>
      <c r="L302" s="1" t="s">
        <v>24</v>
      </c>
      <c r="M302" s="1" t="str">
        <f t="shared" si="109"/>
        <v>Karan Malhotra</v>
      </c>
      <c r="N302" s="1" t="s">
        <v>25</v>
      </c>
      <c r="O302" s="1" t="str">
        <f t="shared" si="110"/>
        <v>Consumer</v>
      </c>
      <c r="P302" s="1" t="s">
        <v>41</v>
      </c>
      <c r="Q302" s="1" t="str">
        <f t="shared" si="111"/>
        <v>East</v>
      </c>
      <c r="R302" s="1" t="str">
        <f t="shared" si="112"/>
        <v>OK</v>
      </c>
      <c r="S302" s="1" t="s">
        <v>284</v>
      </c>
      <c r="T302" s="1" t="str">
        <f t="shared" si="113"/>
        <v>Jharkhand</v>
      </c>
      <c r="U302" s="1" t="s">
        <v>285</v>
      </c>
      <c r="V302" s="1" t="str">
        <f t="shared" si="114"/>
        <v>Ranchi</v>
      </c>
      <c r="W302" s="1" t="s">
        <v>44</v>
      </c>
      <c r="X302" s="1" t="str">
        <f t="shared" si="115"/>
        <v>Furniture</v>
      </c>
      <c r="Y302" s="1" t="s">
        <v>190</v>
      </c>
      <c r="Z302" s="1" t="str">
        <f t="shared" si="116"/>
        <v>Bookcases</v>
      </c>
      <c r="AA302" s="1" t="s">
        <v>2246</v>
      </c>
      <c r="AB302" s="1" t="s">
        <v>32</v>
      </c>
      <c r="AC302" s="1" t="str">
        <f t="shared" si="117"/>
        <v>Second Class</v>
      </c>
      <c r="AD302" s="1" t="str">
        <f t="shared" si="118"/>
        <v>OK</v>
      </c>
      <c r="AE302" s="1">
        <v>9</v>
      </c>
      <c r="AF302" s="1">
        <v>1822.25</v>
      </c>
      <c r="AG302" s="9">
        <v>0</v>
      </c>
      <c r="AH302" s="9">
        <f t="shared" si="119"/>
        <v>0</v>
      </c>
      <c r="AI302" s="1" t="str">
        <f t="shared" si="120"/>
        <v>OK</v>
      </c>
      <c r="AJ302" s="1">
        <v>16400.25</v>
      </c>
      <c r="AK302" s="1">
        <v>12146.96</v>
      </c>
      <c r="AL302" s="1">
        <v>4253.29</v>
      </c>
      <c r="AM302" s="13">
        <f t="shared" si="121"/>
        <v>16400.25</v>
      </c>
      <c r="AN302" s="9">
        <f t="shared" si="122"/>
        <v>4253.2900000000009</v>
      </c>
      <c r="AO302" s="9">
        <f t="shared" si="131"/>
        <v>0.25934299782015524</v>
      </c>
      <c r="AP302" s="1" t="s">
        <v>33</v>
      </c>
      <c r="AQ302" s="1" t="str">
        <f t="shared" si="123"/>
        <v>Paid</v>
      </c>
      <c r="AR302" s="1" t="str">
        <f t="shared" si="124"/>
        <v>OK</v>
      </c>
      <c r="AS302" s="1" t="s">
        <v>34</v>
      </c>
      <c r="AT302" s="4" t="str">
        <f t="shared" si="125"/>
        <v>Completed</v>
      </c>
      <c r="AU302" s="3" t="str">
        <f t="shared" si="126"/>
        <v>OK</v>
      </c>
      <c r="AV302" s="3" t="str">
        <f t="shared" si="132"/>
        <v>INVALID</v>
      </c>
      <c r="AW302" t="str">
        <f t="shared" si="133"/>
        <v>MATCH</v>
      </c>
      <c r="AX302" t="str">
        <f t="shared" si="134"/>
        <v>MATCH</v>
      </c>
    </row>
    <row r="303" spans="1:50" ht="15.6" hidden="1">
      <c r="A303" s="1" t="s">
        <v>2251</v>
      </c>
      <c r="B303" s="1">
        <f t="shared" si="108"/>
        <v>1</v>
      </c>
      <c r="C303" s="16">
        <v>45299</v>
      </c>
      <c r="D303" s="16">
        <v>45299</v>
      </c>
      <c r="E303" s="16" t="str">
        <f t="shared" si="127"/>
        <v>Jan</v>
      </c>
      <c r="F303" s="1">
        <f t="shared" si="128"/>
        <v>2024</v>
      </c>
      <c r="G303" t="s">
        <v>1362</v>
      </c>
      <c r="H303" s="17">
        <v>45663</v>
      </c>
      <c r="I303" s="21">
        <f t="shared" si="129"/>
        <v>364</v>
      </c>
      <c r="J303" s="6" t="str">
        <f t="shared" si="130"/>
        <v>OK</v>
      </c>
      <c r="K303" s="1" t="s">
        <v>2253</v>
      </c>
      <c r="L303" s="1" t="s">
        <v>196</v>
      </c>
      <c r="M303" s="1" t="str">
        <f t="shared" si="109"/>
        <v>Diya Patel</v>
      </c>
      <c r="N303" s="1" t="s">
        <v>40</v>
      </c>
      <c r="O303" s="1" t="str">
        <f t="shared" si="110"/>
        <v>Small Business</v>
      </c>
      <c r="P303" s="1" t="s">
        <v>71</v>
      </c>
      <c r="Q303" s="1" t="str">
        <f t="shared" si="111"/>
        <v>West</v>
      </c>
      <c r="R303" s="1" t="str">
        <f t="shared" si="112"/>
        <v>OK</v>
      </c>
      <c r="S303" s="1" t="s">
        <v>72</v>
      </c>
      <c r="T303" s="1" t="str">
        <f t="shared" si="113"/>
        <v>Maharashtra</v>
      </c>
      <c r="U303" s="1" t="s">
        <v>73</v>
      </c>
      <c r="V303" s="1" t="str">
        <f t="shared" si="114"/>
        <v>Mumbai</v>
      </c>
      <c r="W303" s="1" t="s">
        <v>29</v>
      </c>
      <c r="X303" s="1" t="str">
        <f t="shared" si="115"/>
        <v>Office Supplies</v>
      </c>
      <c r="Y303" s="1" t="s">
        <v>148</v>
      </c>
      <c r="Z303" s="1" t="str">
        <f t="shared" si="116"/>
        <v>Storage</v>
      </c>
      <c r="AA303" s="1" t="s">
        <v>2254</v>
      </c>
      <c r="AB303" s="1"/>
      <c r="AC303" s="1" t="str">
        <f t="shared" si="117"/>
        <v>Unknown</v>
      </c>
      <c r="AD303" s="1" t="str">
        <f t="shared" si="118"/>
        <v>MISSING_SHIP_MODE</v>
      </c>
      <c r="AE303" s="1">
        <v>1</v>
      </c>
      <c r="AF303" s="1">
        <v>442.97</v>
      </c>
      <c r="AG303" s="9">
        <v>0.1</v>
      </c>
      <c r="AH303" s="9">
        <f t="shared" si="119"/>
        <v>0.1</v>
      </c>
      <c r="AI303" s="1" t="str">
        <f t="shared" si="120"/>
        <v>OK</v>
      </c>
      <c r="AJ303" s="1">
        <v>398.67</v>
      </c>
      <c r="AK303" s="1">
        <v>311.66000000000003</v>
      </c>
      <c r="AL303" s="1">
        <v>87.01</v>
      </c>
      <c r="AM303" s="13">
        <f t="shared" si="121"/>
        <v>398.67300000000006</v>
      </c>
      <c r="AN303" s="9">
        <f t="shared" si="122"/>
        <v>87.013000000000034</v>
      </c>
      <c r="AO303" s="9">
        <f t="shared" si="131"/>
        <v>0.21825656615822997</v>
      </c>
      <c r="AP303" s="1" t="s">
        <v>33</v>
      </c>
      <c r="AQ303" s="1" t="str">
        <f t="shared" si="123"/>
        <v>Paid</v>
      </c>
      <c r="AR303" s="1" t="str">
        <f t="shared" si="124"/>
        <v>OK</v>
      </c>
      <c r="AS303" s="1" t="s">
        <v>34</v>
      </c>
      <c r="AT303" s="4" t="str">
        <f t="shared" si="125"/>
        <v>Completed</v>
      </c>
      <c r="AU303" s="3" t="str">
        <f t="shared" si="126"/>
        <v>OK</v>
      </c>
      <c r="AV303" s="3" t="str">
        <f t="shared" si="132"/>
        <v>WARNING</v>
      </c>
      <c r="AW303" t="str">
        <f t="shared" si="133"/>
        <v>MATCH</v>
      </c>
      <c r="AX303" t="str">
        <f t="shared" si="134"/>
        <v>MATCH</v>
      </c>
    </row>
    <row r="304" spans="1:50" ht="15.6" hidden="1">
      <c r="A304" s="1" t="s">
        <v>2258</v>
      </c>
      <c r="B304" s="1">
        <f t="shared" si="108"/>
        <v>1</v>
      </c>
      <c r="C304" s="16">
        <v>45529</v>
      </c>
      <c r="D304" s="16">
        <v>45529</v>
      </c>
      <c r="E304" s="16" t="str">
        <f t="shared" si="127"/>
        <v>Aug</v>
      </c>
      <c r="F304" s="1">
        <f t="shared" si="128"/>
        <v>2024</v>
      </c>
      <c r="G304" t="s">
        <v>1366</v>
      </c>
      <c r="H304" s="17">
        <v>45820</v>
      </c>
      <c r="I304" s="21">
        <f t="shared" si="129"/>
        <v>291</v>
      </c>
      <c r="J304" s="6" t="str">
        <f t="shared" si="130"/>
        <v>OK</v>
      </c>
      <c r="K304" s="1" t="s">
        <v>2259</v>
      </c>
      <c r="L304" s="1" t="s">
        <v>52</v>
      </c>
      <c r="M304" s="1" t="str">
        <f t="shared" si="109"/>
        <v>Isha Nair</v>
      </c>
      <c r="N304" s="1" t="s">
        <v>110</v>
      </c>
      <c r="O304" s="1" t="str">
        <f t="shared" si="110"/>
        <v>Home Office</v>
      </c>
      <c r="P304" s="1" t="s">
        <v>26</v>
      </c>
      <c r="Q304" s="1" t="str">
        <f t="shared" si="111"/>
        <v>North</v>
      </c>
      <c r="R304" s="1" t="str">
        <f t="shared" si="112"/>
        <v>OK</v>
      </c>
      <c r="S304" s="1" t="s">
        <v>27</v>
      </c>
      <c r="T304" s="1" t="str">
        <f t="shared" si="113"/>
        <v>Rajasthan</v>
      </c>
      <c r="U304" s="1" t="s">
        <v>28</v>
      </c>
      <c r="V304" s="1" t="str">
        <f t="shared" si="114"/>
        <v>Jaipur</v>
      </c>
      <c r="W304" s="1" t="s">
        <v>44</v>
      </c>
      <c r="X304" s="1" t="str">
        <f t="shared" si="115"/>
        <v>Furniture</v>
      </c>
      <c r="Y304" s="1" t="s">
        <v>45</v>
      </c>
      <c r="Z304" s="1" t="str">
        <f t="shared" si="116"/>
        <v>Tables</v>
      </c>
      <c r="AA304" s="1" t="s">
        <v>2260</v>
      </c>
      <c r="AB304" s="1" t="s">
        <v>47</v>
      </c>
      <c r="AC304" s="1" t="str">
        <f t="shared" si="117"/>
        <v>Same Day</v>
      </c>
      <c r="AD304" s="1" t="str">
        <f t="shared" si="118"/>
        <v>OK</v>
      </c>
      <c r="AE304" s="1">
        <v>6</v>
      </c>
      <c r="AF304" s="1">
        <v>481.3</v>
      </c>
      <c r="AG304" s="9">
        <v>0.25</v>
      </c>
      <c r="AH304" s="9">
        <f t="shared" si="119"/>
        <v>0.25</v>
      </c>
      <c r="AI304" s="1" t="str">
        <f t="shared" si="120"/>
        <v>OK</v>
      </c>
      <c r="AJ304" s="1">
        <v>2165.85</v>
      </c>
      <c r="AK304" s="1">
        <v>2124.48</v>
      </c>
      <c r="AL304" s="1">
        <v>430.45</v>
      </c>
      <c r="AM304" s="13">
        <f t="shared" si="121"/>
        <v>2165.8500000000004</v>
      </c>
      <c r="AN304" s="9">
        <f t="shared" si="122"/>
        <v>41.370000000000346</v>
      </c>
      <c r="AO304" s="9">
        <f t="shared" si="131"/>
        <v>1.91010457787937E-2</v>
      </c>
      <c r="AP304" s="1" t="s">
        <v>33</v>
      </c>
      <c r="AQ304" s="1" t="str">
        <f t="shared" si="123"/>
        <v>Paid</v>
      </c>
      <c r="AR304" s="1" t="str">
        <f t="shared" si="124"/>
        <v>OK</v>
      </c>
      <c r="AS304" s="1" t="s">
        <v>34</v>
      </c>
      <c r="AT304" s="4" t="str">
        <f t="shared" si="125"/>
        <v>Completed</v>
      </c>
      <c r="AU304" s="3" t="str">
        <f t="shared" si="126"/>
        <v>OK</v>
      </c>
      <c r="AV304" s="3" t="str">
        <f t="shared" si="132"/>
        <v>CLEAN</v>
      </c>
      <c r="AW304" t="str">
        <f t="shared" si="133"/>
        <v>MATCH</v>
      </c>
      <c r="AX304" t="str">
        <f t="shared" si="134"/>
        <v>MISMATCH</v>
      </c>
    </row>
    <row r="305" spans="1:50" ht="15.6" hidden="1">
      <c r="A305" s="1" t="s">
        <v>2265</v>
      </c>
      <c r="B305" s="1">
        <f t="shared" si="108"/>
        <v>1</v>
      </c>
      <c r="C305" s="16">
        <v>45431</v>
      </c>
      <c r="D305" s="16">
        <v>45431</v>
      </c>
      <c r="E305" s="16" t="str">
        <f t="shared" si="127"/>
        <v>May</v>
      </c>
      <c r="F305" s="1">
        <f t="shared" si="128"/>
        <v>2024</v>
      </c>
      <c r="G305" t="s">
        <v>922</v>
      </c>
      <c r="H305" s="17">
        <v>45471</v>
      </c>
      <c r="I305" s="21">
        <f t="shared" si="129"/>
        <v>40</v>
      </c>
      <c r="J305" s="6" t="str">
        <f t="shared" si="130"/>
        <v>OK</v>
      </c>
      <c r="K305" s="1" t="s">
        <v>2267</v>
      </c>
      <c r="L305" s="1" t="s">
        <v>196</v>
      </c>
      <c r="M305" s="1" t="str">
        <f t="shared" si="109"/>
        <v>Diya Patel</v>
      </c>
      <c r="N305" s="1" t="s">
        <v>40</v>
      </c>
      <c r="O305" s="1" t="str">
        <f t="shared" si="110"/>
        <v>Small Business</v>
      </c>
      <c r="P305" s="1" t="s">
        <v>71</v>
      </c>
      <c r="Q305" s="1" t="str">
        <f t="shared" si="111"/>
        <v>West</v>
      </c>
      <c r="R305" s="1" t="str">
        <f t="shared" si="112"/>
        <v>OK</v>
      </c>
      <c r="S305" s="1" t="s">
        <v>72</v>
      </c>
      <c r="T305" s="1" t="str">
        <f t="shared" si="113"/>
        <v>Maharashtra</v>
      </c>
      <c r="U305" s="1" t="s">
        <v>73</v>
      </c>
      <c r="V305" s="1" t="str">
        <f t="shared" si="114"/>
        <v>Mumbai</v>
      </c>
      <c r="W305" s="1" t="s">
        <v>83</v>
      </c>
      <c r="X305" s="1" t="str">
        <f t="shared" si="115"/>
        <v>Technology</v>
      </c>
      <c r="Y305" s="1" t="s">
        <v>91</v>
      </c>
      <c r="Z305" s="1" t="str">
        <f t="shared" si="116"/>
        <v>Copiers</v>
      </c>
      <c r="AA305" s="1" t="s">
        <v>2268</v>
      </c>
      <c r="AB305" s="1" t="s">
        <v>55</v>
      </c>
      <c r="AC305" s="1" t="str">
        <f t="shared" si="117"/>
        <v>First Class</v>
      </c>
      <c r="AD305" s="1" t="str">
        <f t="shared" si="118"/>
        <v>OK</v>
      </c>
      <c r="AE305" s="1">
        <v>3</v>
      </c>
      <c r="AF305" s="1">
        <v>4000.98</v>
      </c>
      <c r="AG305" s="9">
        <v>0.2</v>
      </c>
      <c r="AH305" s="9">
        <f t="shared" si="119"/>
        <v>0.2</v>
      </c>
      <c r="AI305" s="1" t="str">
        <f t="shared" si="120"/>
        <v>OK</v>
      </c>
      <c r="AJ305" s="1">
        <v>9602.35</v>
      </c>
      <c r="AK305" s="1">
        <v>7387.57</v>
      </c>
      <c r="AL305" s="1">
        <v>2214.7800000000002</v>
      </c>
      <c r="AM305" s="13">
        <f t="shared" si="121"/>
        <v>9602.3520000000008</v>
      </c>
      <c r="AN305" s="9">
        <f t="shared" si="122"/>
        <v>2214.7820000000011</v>
      </c>
      <c r="AO305" s="9">
        <f t="shared" si="131"/>
        <v>0.23064994909580494</v>
      </c>
      <c r="AP305" s="1" t="s">
        <v>33</v>
      </c>
      <c r="AQ305" s="1" t="str">
        <f t="shared" si="123"/>
        <v>Paid</v>
      </c>
      <c r="AR305" s="1" t="str">
        <f t="shared" si="124"/>
        <v>OK</v>
      </c>
      <c r="AS305" s="1" t="s">
        <v>34</v>
      </c>
      <c r="AT305" s="4" t="str">
        <f t="shared" si="125"/>
        <v>Completed</v>
      </c>
      <c r="AU305" s="3" t="str">
        <f t="shared" si="126"/>
        <v>OK</v>
      </c>
      <c r="AV305" s="3" t="str">
        <f t="shared" si="132"/>
        <v>CLEAN</v>
      </c>
      <c r="AW305" t="str">
        <f t="shared" si="133"/>
        <v>MATCH</v>
      </c>
      <c r="AX305" t="str">
        <f t="shared" si="134"/>
        <v>MATCH</v>
      </c>
    </row>
    <row r="306" spans="1:50" ht="15.6" hidden="1">
      <c r="A306" s="1" t="s">
        <v>2273</v>
      </c>
      <c r="B306" s="1">
        <f t="shared" si="108"/>
        <v>1</v>
      </c>
      <c r="C306" s="16">
        <v>45313</v>
      </c>
      <c r="D306" s="16">
        <v>45313</v>
      </c>
      <c r="E306" s="16" t="str">
        <f t="shared" si="127"/>
        <v>Jan</v>
      </c>
      <c r="F306" s="1">
        <f t="shared" si="128"/>
        <v>2024</v>
      </c>
      <c r="G306" t="s">
        <v>1374</v>
      </c>
      <c r="H306" s="17">
        <v>45364</v>
      </c>
      <c r="I306" s="21">
        <f t="shared" si="129"/>
        <v>51</v>
      </c>
      <c r="J306" s="6" t="str">
        <f t="shared" si="130"/>
        <v>OK</v>
      </c>
      <c r="K306" s="1" t="s">
        <v>2275</v>
      </c>
      <c r="L306" s="1" t="s">
        <v>70</v>
      </c>
      <c r="M306" s="1" t="str">
        <f t="shared" si="109"/>
        <v>Ananya Rao</v>
      </c>
      <c r="N306" s="1" t="s">
        <v>40</v>
      </c>
      <c r="O306" s="1" t="str">
        <f t="shared" si="110"/>
        <v>Small Business</v>
      </c>
      <c r="P306" s="1" t="s">
        <v>26</v>
      </c>
      <c r="Q306" s="1" t="str">
        <f t="shared" si="111"/>
        <v>North</v>
      </c>
      <c r="R306" s="1" t="str">
        <f t="shared" si="112"/>
        <v>OK</v>
      </c>
      <c r="S306" s="1" t="s">
        <v>294</v>
      </c>
      <c r="T306" s="1" t="str">
        <f t="shared" si="113"/>
        <v>Haryana</v>
      </c>
      <c r="U306" s="1" t="s">
        <v>295</v>
      </c>
      <c r="V306" s="1" t="str">
        <f t="shared" si="114"/>
        <v>Gurugram</v>
      </c>
      <c r="W306" s="1" t="s">
        <v>29</v>
      </c>
      <c r="X306" s="1" t="str">
        <f t="shared" si="115"/>
        <v>Office Supplies</v>
      </c>
      <c r="Y306" s="1" t="s">
        <v>53</v>
      </c>
      <c r="Z306" s="1" t="str">
        <f t="shared" si="116"/>
        <v>Art</v>
      </c>
      <c r="AA306" s="1" t="s">
        <v>2276</v>
      </c>
      <c r="AB306" s="1" t="s">
        <v>47</v>
      </c>
      <c r="AC306" s="1" t="str">
        <f t="shared" si="117"/>
        <v>Same Day</v>
      </c>
      <c r="AD306" s="1" t="str">
        <f t="shared" si="118"/>
        <v>OK</v>
      </c>
      <c r="AE306" s="1">
        <v>3</v>
      </c>
      <c r="AF306" s="1">
        <v>676.37</v>
      </c>
      <c r="AG306" s="9">
        <v>0.05</v>
      </c>
      <c r="AH306" s="9">
        <f t="shared" si="119"/>
        <v>0.05</v>
      </c>
      <c r="AI306" s="1" t="str">
        <f t="shared" si="120"/>
        <v>OK</v>
      </c>
      <c r="AJ306" s="1">
        <v>1927.65</v>
      </c>
      <c r="AK306" s="1">
        <v>1460.6</v>
      </c>
      <c r="AL306" s="1">
        <v>467.05</v>
      </c>
      <c r="AM306" s="13">
        <f t="shared" si="121"/>
        <v>1927.6545000000001</v>
      </c>
      <c r="AN306" s="9">
        <f t="shared" si="122"/>
        <v>467.05450000000019</v>
      </c>
      <c r="AO306" s="9">
        <f t="shared" si="131"/>
        <v>0.24229160360427668</v>
      </c>
      <c r="AP306" s="1" t="s">
        <v>186</v>
      </c>
      <c r="AQ306" s="1" t="str">
        <f t="shared" si="123"/>
        <v>Failed</v>
      </c>
      <c r="AR306" s="1" t="str">
        <f t="shared" si="124"/>
        <v>EXCLUDE_FROM_SALES</v>
      </c>
      <c r="AS306" s="1" t="s">
        <v>76</v>
      </c>
      <c r="AT306" s="4" t="str">
        <f t="shared" si="125"/>
        <v>Cancelled</v>
      </c>
      <c r="AU306" s="3" t="str">
        <f t="shared" si="126"/>
        <v>EXCLUDE_FROM_SALES</v>
      </c>
      <c r="AV306" s="3" t="str">
        <f t="shared" si="132"/>
        <v>CLEAN</v>
      </c>
      <c r="AW306" t="str">
        <f t="shared" si="133"/>
        <v>MATCH</v>
      </c>
      <c r="AX306" t="str">
        <f t="shared" si="134"/>
        <v>MATCH</v>
      </c>
    </row>
    <row r="307" spans="1:50" ht="15.6">
      <c r="A307" s="1" t="s">
        <v>2277</v>
      </c>
      <c r="B307" s="1">
        <f t="shared" si="108"/>
        <v>1</v>
      </c>
      <c r="C307" s="16">
        <v>45560</v>
      </c>
      <c r="D307" s="16">
        <v>45560</v>
      </c>
      <c r="E307" s="16" t="str">
        <f t="shared" si="127"/>
        <v>Sep</v>
      </c>
      <c r="F307" s="1">
        <f t="shared" si="128"/>
        <v>2024</v>
      </c>
      <c r="G307" t="s">
        <v>1080</v>
      </c>
      <c r="H307" s="17">
        <v>45414</v>
      </c>
      <c r="I307" s="21">
        <f t="shared" si="129"/>
        <v>-146</v>
      </c>
      <c r="J307" s="6" t="str">
        <f t="shared" si="130"/>
        <v>INVALID_SHIPPING</v>
      </c>
      <c r="K307" s="1" t="s">
        <v>2279</v>
      </c>
      <c r="L307" s="1" t="s">
        <v>196</v>
      </c>
      <c r="M307" s="1" t="str">
        <f t="shared" si="109"/>
        <v>Diya Patel</v>
      </c>
      <c r="N307" s="1" t="s">
        <v>40</v>
      </c>
      <c r="O307" s="1" t="str">
        <f t="shared" si="110"/>
        <v>Small Business</v>
      </c>
      <c r="P307" s="1" t="s">
        <v>41</v>
      </c>
      <c r="Q307" s="1" t="str">
        <f t="shared" si="111"/>
        <v>East</v>
      </c>
      <c r="R307" s="1" t="str">
        <f t="shared" si="112"/>
        <v>OK</v>
      </c>
      <c r="S307" s="1" t="s">
        <v>284</v>
      </c>
      <c r="T307" s="1" t="str">
        <f t="shared" si="113"/>
        <v>Jharkhand</v>
      </c>
      <c r="U307" s="1" t="s">
        <v>285</v>
      </c>
      <c r="V307" s="1" t="str">
        <f t="shared" si="114"/>
        <v>Ranchi</v>
      </c>
      <c r="W307" s="1" t="s">
        <v>44</v>
      </c>
      <c r="X307" s="1" t="str">
        <f t="shared" si="115"/>
        <v>Furniture</v>
      </c>
      <c r="Y307" s="1" t="s">
        <v>45</v>
      </c>
      <c r="Z307" s="1" t="str">
        <f t="shared" si="116"/>
        <v>Tables</v>
      </c>
      <c r="AA307" s="1" t="s">
        <v>2280</v>
      </c>
      <c r="AB307" s="1" t="s">
        <v>32</v>
      </c>
      <c r="AC307" s="1" t="str">
        <f t="shared" si="117"/>
        <v>Second Class</v>
      </c>
      <c r="AD307" s="1" t="str">
        <f t="shared" si="118"/>
        <v>OK</v>
      </c>
      <c r="AE307" s="1">
        <v>9</v>
      </c>
      <c r="AF307" s="1">
        <v>3908.6</v>
      </c>
      <c r="AG307" s="9">
        <v>0.15</v>
      </c>
      <c r="AH307" s="9">
        <f t="shared" si="119"/>
        <v>0.15</v>
      </c>
      <c r="AI307" s="1" t="str">
        <f t="shared" si="120"/>
        <v>OK</v>
      </c>
      <c r="AJ307" s="1">
        <v>29900.79</v>
      </c>
      <c r="AK307" s="1">
        <v>24650.67</v>
      </c>
      <c r="AL307" s="1">
        <v>5250.12</v>
      </c>
      <c r="AM307" s="13">
        <f t="shared" si="121"/>
        <v>29900.79</v>
      </c>
      <c r="AN307" s="9">
        <f t="shared" si="122"/>
        <v>5250.1200000000026</v>
      </c>
      <c r="AO307" s="9">
        <f t="shared" si="131"/>
        <v>0.17558465846554563</v>
      </c>
      <c r="AP307" s="1" t="s">
        <v>33</v>
      </c>
      <c r="AQ307" s="1" t="str">
        <f t="shared" si="123"/>
        <v>Paid</v>
      </c>
      <c r="AR307" s="1" t="str">
        <f t="shared" si="124"/>
        <v>OK</v>
      </c>
      <c r="AS307" s="1" t="s">
        <v>34</v>
      </c>
      <c r="AT307" s="4" t="str">
        <f t="shared" si="125"/>
        <v>Completed</v>
      </c>
      <c r="AU307" s="3" t="str">
        <f t="shared" si="126"/>
        <v>OK</v>
      </c>
      <c r="AV307" s="3" t="str">
        <f t="shared" si="132"/>
        <v>INVALID</v>
      </c>
      <c r="AW307" t="str">
        <f t="shared" si="133"/>
        <v>MATCH</v>
      </c>
      <c r="AX307" t="str">
        <f t="shared" si="134"/>
        <v>MATCH</v>
      </c>
    </row>
    <row r="308" spans="1:50" ht="15.6" hidden="1">
      <c r="A308" s="1" t="s">
        <v>2285</v>
      </c>
      <c r="B308" s="1">
        <f t="shared" si="108"/>
        <v>1</v>
      </c>
      <c r="C308" s="16">
        <v>45348</v>
      </c>
      <c r="D308" s="16">
        <v>45348</v>
      </c>
      <c r="E308" s="16" t="str">
        <f t="shared" si="127"/>
        <v>Feb</v>
      </c>
      <c r="F308" s="1">
        <f t="shared" si="128"/>
        <v>2024</v>
      </c>
      <c r="G308" t="s">
        <v>94</v>
      </c>
      <c r="H308" s="17">
        <v>45711</v>
      </c>
      <c r="I308" s="21">
        <f t="shared" si="129"/>
        <v>363</v>
      </c>
      <c r="J308" s="6" t="str">
        <f t="shared" si="130"/>
        <v>OK</v>
      </c>
      <c r="K308" s="1" t="s">
        <v>2286</v>
      </c>
      <c r="L308" s="1" t="s">
        <v>334</v>
      </c>
      <c r="M308" s="1" t="str">
        <f t="shared" si="109"/>
        <v>Kabir Singh</v>
      </c>
      <c r="N308" s="1" t="s">
        <v>25</v>
      </c>
      <c r="O308" s="1" t="str">
        <f t="shared" si="110"/>
        <v>Consumer</v>
      </c>
      <c r="P308" s="1" t="s">
        <v>71</v>
      </c>
      <c r="Q308" s="1" t="str">
        <f t="shared" si="111"/>
        <v>West</v>
      </c>
      <c r="R308" s="1" t="str">
        <f t="shared" si="112"/>
        <v>OK</v>
      </c>
      <c r="S308" s="1" t="s">
        <v>218</v>
      </c>
      <c r="T308" s="1" t="str">
        <f t="shared" si="113"/>
        <v>Gujarat</v>
      </c>
      <c r="U308" s="1" t="s">
        <v>219</v>
      </c>
      <c r="V308" s="1" t="str">
        <f t="shared" si="114"/>
        <v>Ahmedabad</v>
      </c>
      <c r="W308" s="1" t="s">
        <v>44</v>
      </c>
      <c r="X308" s="1" t="str">
        <f t="shared" si="115"/>
        <v>Furniture</v>
      </c>
      <c r="Y308" s="1" t="s">
        <v>63</v>
      </c>
      <c r="Z308" s="1" t="str">
        <f t="shared" si="116"/>
        <v>Furnishings</v>
      </c>
      <c r="AA308" s="1" t="s">
        <v>2287</v>
      </c>
      <c r="AB308" s="1" t="s">
        <v>65</v>
      </c>
      <c r="AC308" s="1" t="str">
        <f t="shared" si="117"/>
        <v>Standard Class</v>
      </c>
      <c r="AD308" s="1" t="str">
        <f t="shared" si="118"/>
        <v>OK</v>
      </c>
      <c r="AE308" s="1">
        <v>7</v>
      </c>
      <c r="AF308" s="1">
        <v>3852.07</v>
      </c>
      <c r="AG308" s="9">
        <v>0.2</v>
      </c>
      <c r="AH308" s="9">
        <f t="shared" si="119"/>
        <v>0.2</v>
      </c>
      <c r="AI308" s="1" t="str">
        <f t="shared" si="120"/>
        <v>OK</v>
      </c>
      <c r="AJ308" s="1">
        <v>21571.59</v>
      </c>
      <c r="AK308" s="1">
        <v>17118.07</v>
      </c>
      <c r="AL308" s="1">
        <v>4453.5200000000004</v>
      </c>
      <c r="AM308" s="13">
        <f t="shared" si="121"/>
        <v>21571.592000000004</v>
      </c>
      <c r="AN308" s="9">
        <f t="shared" si="122"/>
        <v>4453.5220000000045</v>
      </c>
      <c r="AO308" s="9">
        <f t="shared" si="131"/>
        <v>0.20645309813017063</v>
      </c>
      <c r="AP308" s="1" t="s">
        <v>33</v>
      </c>
      <c r="AQ308" s="1" t="str">
        <f t="shared" si="123"/>
        <v>Paid</v>
      </c>
      <c r="AR308" s="1" t="str">
        <f t="shared" si="124"/>
        <v>OK</v>
      </c>
      <c r="AS308" s="1" t="s">
        <v>34</v>
      </c>
      <c r="AT308" s="4" t="str">
        <f t="shared" si="125"/>
        <v>Completed</v>
      </c>
      <c r="AU308" s="3" t="str">
        <f t="shared" si="126"/>
        <v>OK</v>
      </c>
      <c r="AV308" s="3" t="str">
        <f t="shared" si="132"/>
        <v>CLEAN</v>
      </c>
      <c r="AW308" t="str">
        <f t="shared" si="133"/>
        <v>MATCH</v>
      </c>
      <c r="AX308" t="str">
        <f t="shared" si="134"/>
        <v>MATCH</v>
      </c>
    </row>
    <row r="309" spans="1:50" ht="15.6" hidden="1">
      <c r="A309" s="1" t="s">
        <v>2292</v>
      </c>
      <c r="B309" s="1">
        <f t="shared" si="108"/>
        <v>1</v>
      </c>
      <c r="C309" s="16">
        <v>45552</v>
      </c>
      <c r="D309" s="16">
        <v>45552</v>
      </c>
      <c r="E309" s="16" t="str">
        <f t="shared" si="127"/>
        <v>Sep</v>
      </c>
      <c r="F309" s="1">
        <f t="shared" si="128"/>
        <v>2024</v>
      </c>
      <c r="G309" t="s">
        <v>1384</v>
      </c>
      <c r="H309" s="17">
        <v>45857</v>
      </c>
      <c r="I309" s="21">
        <f t="shared" si="129"/>
        <v>305</v>
      </c>
      <c r="J309" s="6" t="str">
        <f t="shared" si="130"/>
        <v>OK</v>
      </c>
      <c r="K309" s="1" t="s">
        <v>2294</v>
      </c>
      <c r="L309" s="1" t="s">
        <v>141</v>
      </c>
      <c r="M309" s="1" t="str">
        <f t="shared" si="109"/>
        <v>Rahul Verma</v>
      </c>
      <c r="N309" s="1" t="s">
        <v>110</v>
      </c>
      <c r="O309" s="1" t="str">
        <f t="shared" si="110"/>
        <v>Home Office</v>
      </c>
      <c r="P309" s="1" t="s">
        <v>60</v>
      </c>
      <c r="Q309" s="1" t="str">
        <f t="shared" si="111"/>
        <v>South</v>
      </c>
      <c r="R309" s="1" t="str">
        <f t="shared" si="112"/>
        <v>OK</v>
      </c>
      <c r="S309" s="1" t="s">
        <v>224</v>
      </c>
      <c r="T309" s="1" t="str">
        <f t="shared" si="113"/>
        <v>Kerala</v>
      </c>
      <c r="U309" s="1" t="s">
        <v>225</v>
      </c>
      <c r="V309" s="1" t="str">
        <f t="shared" si="114"/>
        <v>Kochi</v>
      </c>
      <c r="W309" s="1" t="s">
        <v>44</v>
      </c>
      <c r="X309" s="1" t="str">
        <f t="shared" si="115"/>
        <v>Furniture</v>
      </c>
      <c r="Y309" s="1" t="s">
        <v>190</v>
      </c>
      <c r="Z309" s="1" t="str">
        <f t="shared" si="116"/>
        <v>Bookcases</v>
      </c>
      <c r="AA309" s="1" t="s">
        <v>2295</v>
      </c>
      <c r="AB309" s="1" t="s">
        <v>32</v>
      </c>
      <c r="AC309" s="1" t="str">
        <f t="shared" si="117"/>
        <v>Second Class</v>
      </c>
      <c r="AD309" s="1" t="str">
        <f t="shared" si="118"/>
        <v>OK</v>
      </c>
      <c r="AE309" s="1">
        <v>3</v>
      </c>
      <c r="AF309" s="1">
        <v>4067.62</v>
      </c>
      <c r="AG309" s="9">
        <v>0.2</v>
      </c>
      <c r="AH309" s="9">
        <f t="shared" si="119"/>
        <v>0.2</v>
      </c>
      <c r="AI309" s="1" t="str">
        <f t="shared" si="120"/>
        <v>OK</v>
      </c>
      <c r="AJ309" s="1">
        <v>9988.5300000000007</v>
      </c>
      <c r="AK309" s="1">
        <v>8368.24</v>
      </c>
      <c r="AL309" s="1">
        <v>1394.05</v>
      </c>
      <c r="AM309" s="13">
        <f t="shared" si="121"/>
        <v>9762.2880000000005</v>
      </c>
      <c r="AN309" s="9">
        <f t="shared" si="122"/>
        <v>1394.0480000000007</v>
      </c>
      <c r="AO309" s="9">
        <f t="shared" si="131"/>
        <v>0.14279931098119628</v>
      </c>
      <c r="AP309" s="1" t="s">
        <v>33</v>
      </c>
      <c r="AQ309" s="1" t="str">
        <f t="shared" si="123"/>
        <v>Paid</v>
      </c>
      <c r="AR309" s="1" t="str">
        <f t="shared" si="124"/>
        <v>OK</v>
      </c>
      <c r="AS309" s="1" t="s">
        <v>2296</v>
      </c>
      <c r="AT309" s="4" t="str">
        <f t="shared" si="125"/>
        <v>Cancelled</v>
      </c>
      <c r="AU309" s="3" t="str">
        <f t="shared" si="126"/>
        <v>EXCLUDE_FROM_SALES</v>
      </c>
      <c r="AV309" s="3" t="str">
        <f t="shared" si="132"/>
        <v>CLEAN</v>
      </c>
      <c r="AW309" t="str">
        <f t="shared" si="133"/>
        <v>MISMATCH</v>
      </c>
      <c r="AX309" t="str">
        <f t="shared" si="134"/>
        <v>MATCH</v>
      </c>
    </row>
    <row r="310" spans="1:50" ht="15.6" hidden="1">
      <c r="A310" s="1" t="s">
        <v>2297</v>
      </c>
      <c r="B310" s="1">
        <f t="shared" si="108"/>
        <v>1</v>
      </c>
      <c r="C310" s="16">
        <v>45487</v>
      </c>
      <c r="D310" s="16">
        <v>45487</v>
      </c>
      <c r="E310" s="16" t="str">
        <f t="shared" si="127"/>
        <v>Jul</v>
      </c>
      <c r="F310" s="1">
        <f t="shared" si="128"/>
        <v>2024</v>
      </c>
      <c r="G310" t="s">
        <v>1389</v>
      </c>
      <c r="H310" s="17">
        <v>45827</v>
      </c>
      <c r="I310" s="21">
        <f t="shared" si="129"/>
        <v>340</v>
      </c>
      <c r="J310" s="6" t="str">
        <f t="shared" si="130"/>
        <v>OK</v>
      </c>
      <c r="K310" s="1" t="s">
        <v>2299</v>
      </c>
      <c r="L310" s="1" t="s">
        <v>39</v>
      </c>
      <c r="M310" s="1" t="str">
        <f t="shared" si="109"/>
        <v>Mira Das</v>
      </c>
      <c r="N310" s="1" t="s">
        <v>25</v>
      </c>
      <c r="O310" s="1" t="str">
        <f t="shared" si="110"/>
        <v>Consumer</v>
      </c>
      <c r="P310" s="1" t="s">
        <v>41</v>
      </c>
      <c r="Q310" s="1" t="str">
        <f t="shared" si="111"/>
        <v>East</v>
      </c>
      <c r="R310" s="1" t="str">
        <f t="shared" si="112"/>
        <v>OK</v>
      </c>
      <c r="S310" s="1" t="s">
        <v>174</v>
      </c>
      <c r="T310" s="1" t="str">
        <f t="shared" si="113"/>
        <v>Bihar</v>
      </c>
      <c r="U310" s="1" t="s">
        <v>175</v>
      </c>
      <c r="V310" s="1" t="str">
        <f t="shared" si="114"/>
        <v>Patna</v>
      </c>
      <c r="W310" s="1" t="s">
        <v>83</v>
      </c>
      <c r="X310" s="1" t="str">
        <f t="shared" si="115"/>
        <v>Technology</v>
      </c>
      <c r="Y310" s="1" t="s">
        <v>91</v>
      </c>
      <c r="Z310" s="1" t="str">
        <f t="shared" si="116"/>
        <v>Copiers</v>
      </c>
      <c r="AA310" s="1" t="s">
        <v>2300</v>
      </c>
      <c r="AB310" s="1" t="s">
        <v>47</v>
      </c>
      <c r="AC310" s="1" t="str">
        <f t="shared" si="117"/>
        <v>Same Day</v>
      </c>
      <c r="AD310" s="1" t="str">
        <f t="shared" si="118"/>
        <v>OK</v>
      </c>
      <c r="AE310" s="1">
        <v>1</v>
      </c>
      <c r="AF310" s="1">
        <v>492.67</v>
      </c>
      <c r="AG310" s="9">
        <v>0.15</v>
      </c>
      <c r="AH310" s="9">
        <f t="shared" si="119"/>
        <v>0.15</v>
      </c>
      <c r="AI310" s="1" t="str">
        <f t="shared" si="120"/>
        <v>OK</v>
      </c>
      <c r="AJ310" s="1">
        <v>418.77</v>
      </c>
      <c r="AK310" s="1">
        <v>313.72000000000003</v>
      </c>
      <c r="AL310" s="1">
        <v>105.05</v>
      </c>
      <c r="AM310" s="13">
        <f t="shared" si="121"/>
        <v>418.76949999999999</v>
      </c>
      <c r="AN310" s="9">
        <f t="shared" si="122"/>
        <v>105.04949999999997</v>
      </c>
      <c r="AO310" s="9">
        <f t="shared" si="131"/>
        <v>0.25085279610859906</v>
      </c>
      <c r="AP310" s="1" t="s">
        <v>33</v>
      </c>
      <c r="AQ310" s="1" t="str">
        <f t="shared" si="123"/>
        <v>Paid</v>
      </c>
      <c r="AR310" s="1" t="str">
        <f t="shared" si="124"/>
        <v>OK</v>
      </c>
      <c r="AS310" s="1" t="s">
        <v>34</v>
      </c>
      <c r="AT310" s="4" t="str">
        <f t="shared" si="125"/>
        <v>Completed</v>
      </c>
      <c r="AU310" s="3" t="str">
        <f t="shared" si="126"/>
        <v>OK</v>
      </c>
      <c r="AV310" s="3" t="str">
        <f t="shared" si="132"/>
        <v>CLEAN</v>
      </c>
      <c r="AW310" t="str">
        <f t="shared" si="133"/>
        <v>MATCH</v>
      </c>
      <c r="AX310" t="str">
        <f t="shared" si="134"/>
        <v>MATCH</v>
      </c>
    </row>
    <row r="311" spans="1:50" ht="15.6" hidden="1">
      <c r="A311" s="1" t="s">
        <v>2304</v>
      </c>
      <c r="B311" s="1">
        <f t="shared" si="108"/>
        <v>1</v>
      </c>
      <c r="C311" s="16">
        <v>45439</v>
      </c>
      <c r="D311" s="16">
        <v>45439</v>
      </c>
      <c r="E311" s="16" t="str">
        <f t="shared" si="127"/>
        <v>May</v>
      </c>
      <c r="F311" s="1">
        <f t="shared" si="128"/>
        <v>2024</v>
      </c>
      <c r="G311" t="s">
        <v>122</v>
      </c>
      <c r="H311" s="17">
        <v>45495</v>
      </c>
      <c r="I311" s="21">
        <f t="shared" si="129"/>
        <v>56</v>
      </c>
      <c r="J311" s="6" t="str">
        <f t="shared" si="130"/>
        <v>OK</v>
      </c>
      <c r="K311" s="1" t="s">
        <v>2306</v>
      </c>
      <c r="L311" s="1" t="s">
        <v>334</v>
      </c>
      <c r="M311" s="1" t="str">
        <f t="shared" si="109"/>
        <v>Kabir Singh</v>
      </c>
      <c r="N311" s="1" t="s">
        <v>40</v>
      </c>
      <c r="O311" s="1" t="str">
        <f t="shared" si="110"/>
        <v>Small Business</v>
      </c>
      <c r="P311" s="1" t="s">
        <v>41</v>
      </c>
      <c r="Q311" s="1" t="str">
        <f t="shared" si="111"/>
        <v>East</v>
      </c>
      <c r="R311" s="1" t="str">
        <f t="shared" si="112"/>
        <v>OK</v>
      </c>
      <c r="S311" s="1" t="s">
        <v>284</v>
      </c>
      <c r="T311" s="1" t="str">
        <f t="shared" si="113"/>
        <v>Jharkhand</v>
      </c>
      <c r="U311" s="1" t="s">
        <v>285</v>
      </c>
      <c r="V311" s="1" t="str">
        <f t="shared" si="114"/>
        <v>Ranchi</v>
      </c>
      <c r="W311" s="1" t="s">
        <v>29</v>
      </c>
      <c r="X311" s="1" t="str">
        <f t="shared" si="115"/>
        <v>Office Supplies</v>
      </c>
      <c r="Y311" s="1" t="s">
        <v>148</v>
      </c>
      <c r="Z311" s="1" t="str">
        <f t="shared" si="116"/>
        <v>Storage</v>
      </c>
      <c r="AA311" s="1" t="s">
        <v>2307</v>
      </c>
      <c r="AB311" s="1" t="s">
        <v>47</v>
      </c>
      <c r="AC311" s="1" t="str">
        <f t="shared" si="117"/>
        <v>Same Day</v>
      </c>
      <c r="AD311" s="1" t="str">
        <f t="shared" si="118"/>
        <v>OK</v>
      </c>
      <c r="AE311" s="1">
        <v>7</v>
      </c>
      <c r="AF311" s="1">
        <v>2900.86</v>
      </c>
      <c r="AG311" s="9">
        <v>0.15</v>
      </c>
      <c r="AH311" s="9">
        <f t="shared" si="119"/>
        <v>0.15</v>
      </c>
      <c r="AI311" s="1" t="str">
        <f t="shared" si="120"/>
        <v>OK</v>
      </c>
      <c r="AJ311" s="1">
        <v>17260.12</v>
      </c>
      <c r="AK311" s="1">
        <v>13513.51</v>
      </c>
      <c r="AL311" s="1">
        <v>3746.61</v>
      </c>
      <c r="AM311" s="13">
        <f t="shared" si="121"/>
        <v>17260.116999999998</v>
      </c>
      <c r="AN311" s="9">
        <f t="shared" si="122"/>
        <v>3746.6069999999982</v>
      </c>
      <c r="AO311" s="9">
        <f t="shared" si="131"/>
        <v>0.21706730029697935</v>
      </c>
      <c r="AP311" s="1" t="s">
        <v>33</v>
      </c>
      <c r="AQ311" s="1" t="str">
        <f t="shared" si="123"/>
        <v>Paid</v>
      </c>
      <c r="AR311" s="1" t="str">
        <f t="shared" si="124"/>
        <v>OK</v>
      </c>
      <c r="AS311" s="1" t="s">
        <v>34</v>
      </c>
      <c r="AT311" s="4" t="str">
        <f t="shared" si="125"/>
        <v>Completed</v>
      </c>
      <c r="AU311" s="3" t="str">
        <f t="shared" si="126"/>
        <v>OK</v>
      </c>
      <c r="AV311" s="3" t="str">
        <f t="shared" si="132"/>
        <v>CLEAN</v>
      </c>
      <c r="AW311" t="str">
        <f t="shared" si="133"/>
        <v>MATCH</v>
      </c>
      <c r="AX311" t="str">
        <f t="shared" si="134"/>
        <v>MATCH</v>
      </c>
    </row>
    <row r="312" spans="1:50" ht="15.6" hidden="1">
      <c r="A312" s="1" t="s">
        <v>2312</v>
      </c>
      <c r="B312" s="1">
        <f t="shared" si="108"/>
        <v>1</v>
      </c>
      <c r="C312" s="16">
        <v>45428</v>
      </c>
      <c r="D312" s="16">
        <v>45428</v>
      </c>
      <c r="E312" s="16" t="str">
        <f t="shared" si="127"/>
        <v>May</v>
      </c>
      <c r="F312" s="1">
        <f t="shared" si="128"/>
        <v>2024</v>
      </c>
      <c r="G312" t="s">
        <v>1396</v>
      </c>
      <c r="H312" s="17">
        <v>45511</v>
      </c>
      <c r="I312" s="21">
        <f t="shared" si="129"/>
        <v>83</v>
      </c>
      <c r="J312" s="6" t="str">
        <f t="shared" si="130"/>
        <v>OK</v>
      </c>
      <c r="K312" s="1" t="s">
        <v>2315</v>
      </c>
      <c r="L312" s="1" t="s">
        <v>90</v>
      </c>
      <c r="M312" s="1" t="str">
        <f t="shared" si="109"/>
        <v>Neha Gupta</v>
      </c>
      <c r="N312" s="1" t="s">
        <v>40</v>
      </c>
      <c r="O312" s="1" t="str">
        <f t="shared" si="110"/>
        <v>Small Business</v>
      </c>
      <c r="P312" s="1" t="s">
        <v>26</v>
      </c>
      <c r="Q312" s="1" t="str">
        <f t="shared" si="111"/>
        <v>North</v>
      </c>
      <c r="R312" s="1" t="str">
        <f t="shared" si="112"/>
        <v>OK</v>
      </c>
      <c r="S312" s="1" t="s">
        <v>163</v>
      </c>
      <c r="T312" s="1" t="str">
        <f t="shared" si="113"/>
        <v>Uttar Pradesh</v>
      </c>
      <c r="U312" s="1" t="s">
        <v>164</v>
      </c>
      <c r="V312" s="1" t="str">
        <f t="shared" si="114"/>
        <v>Noida</v>
      </c>
      <c r="W312" s="1" t="s">
        <v>83</v>
      </c>
      <c r="X312" s="1" t="str">
        <f t="shared" si="115"/>
        <v>Technology</v>
      </c>
      <c r="Y312" s="1" t="s">
        <v>91</v>
      </c>
      <c r="Z312" s="1" t="str">
        <f t="shared" si="116"/>
        <v>Copiers</v>
      </c>
      <c r="AA312" s="1" t="s">
        <v>2316</v>
      </c>
      <c r="AB312" s="1" t="s">
        <v>65</v>
      </c>
      <c r="AC312" s="1" t="str">
        <f t="shared" si="117"/>
        <v>Standard Class</v>
      </c>
      <c r="AD312" s="1" t="str">
        <f t="shared" si="118"/>
        <v>OK</v>
      </c>
      <c r="AE312" s="1">
        <v>9</v>
      </c>
      <c r="AF312" s="1">
        <v>3722.09</v>
      </c>
      <c r="AG312" s="9">
        <v>0.1</v>
      </c>
      <c r="AH312" s="9">
        <f t="shared" si="119"/>
        <v>0.1</v>
      </c>
      <c r="AI312" s="1" t="str">
        <f t="shared" si="120"/>
        <v>OK</v>
      </c>
      <c r="AJ312" s="1">
        <v>30148.93</v>
      </c>
      <c r="AK312" s="1">
        <v>25155.07</v>
      </c>
      <c r="AL312" s="1">
        <v>4993.8599999999997</v>
      </c>
      <c r="AM312" s="13">
        <f t="shared" si="121"/>
        <v>30148.929</v>
      </c>
      <c r="AN312" s="9">
        <f t="shared" si="122"/>
        <v>4993.8590000000004</v>
      </c>
      <c r="AO312" s="9">
        <f t="shared" si="131"/>
        <v>0.16563968159532302</v>
      </c>
      <c r="AP312" s="1" t="s">
        <v>33</v>
      </c>
      <c r="AQ312" s="1" t="str">
        <f t="shared" si="123"/>
        <v>Paid</v>
      </c>
      <c r="AR312" s="1" t="str">
        <f t="shared" si="124"/>
        <v>OK</v>
      </c>
      <c r="AS312" s="1" t="s">
        <v>34</v>
      </c>
      <c r="AT312" s="4" t="str">
        <f t="shared" si="125"/>
        <v>Completed</v>
      </c>
      <c r="AU312" s="3" t="str">
        <f t="shared" si="126"/>
        <v>OK</v>
      </c>
      <c r="AV312" s="3" t="str">
        <f t="shared" si="132"/>
        <v>CLEAN</v>
      </c>
      <c r="AW312" t="str">
        <f t="shared" si="133"/>
        <v>MATCH</v>
      </c>
      <c r="AX312" t="str">
        <f t="shared" si="134"/>
        <v>MATCH</v>
      </c>
    </row>
    <row r="313" spans="1:50" ht="15.6">
      <c r="A313" s="1" t="s">
        <v>2317</v>
      </c>
      <c r="B313" s="1">
        <f t="shared" si="108"/>
        <v>1</v>
      </c>
      <c r="C313" s="16">
        <v>45441</v>
      </c>
      <c r="D313" s="16">
        <v>45441</v>
      </c>
      <c r="E313" s="16" t="str">
        <f t="shared" si="127"/>
        <v>May</v>
      </c>
      <c r="F313" s="1">
        <f t="shared" si="128"/>
        <v>2024</v>
      </c>
      <c r="G313" t="s">
        <v>841</v>
      </c>
      <c r="H313" s="17">
        <v>45327</v>
      </c>
      <c r="I313" s="21">
        <f t="shared" si="129"/>
        <v>-114</v>
      </c>
      <c r="J313" s="6" t="str">
        <f t="shared" si="130"/>
        <v>INVALID_SHIPPING</v>
      </c>
      <c r="K313" s="1" t="s">
        <v>2318</v>
      </c>
      <c r="L313" s="1" t="s">
        <v>169</v>
      </c>
      <c r="M313" s="1" t="str">
        <f t="shared" si="109"/>
        <v>Rohan Mehta</v>
      </c>
      <c r="N313" s="1" t="s">
        <v>104</v>
      </c>
      <c r="O313" s="1" t="str">
        <f t="shared" si="110"/>
        <v>Corporate</v>
      </c>
      <c r="P313" s="1" t="s">
        <v>41</v>
      </c>
      <c r="Q313" s="1" t="str">
        <f t="shared" si="111"/>
        <v>East</v>
      </c>
      <c r="R313" s="1" t="str">
        <f t="shared" si="112"/>
        <v>OK</v>
      </c>
      <c r="S313" s="1" t="s">
        <v>174</v>
      </c>
      <c r="T313" s="1" t="str">
        <f t="shared" si="113"/>
        <v>Bihar</v>
      </c>
      <c r="U313" s="1" t="s">
        <v>175</v>
      </c>
      <c r="V313" s="1" t="str">
        <f t="shared" si="114"/>
        <v>Patna</v>
      </c>
      <c r="W313" s="1" t="s">
        <v>44</v>
      </c>
      <c r="X313" s="1" t="str">
        <f t="shared" si="115"/>
        <v>Furniture</v>
      </c>
      <c r="Y313" s="1" t="s">
        <v>190</v>
      </c>
      <c r="Z313" s="1" t="str">
        <f t="shared" si="116"/>
        <v>Bookcases</v>
      </c>
      <c r="AA313" s="1" t="s">
        <v>2319</v>
      </c>
      <c r="AB313" s="1" t="s">
        <v>47</v>
      </c>
      <c r="AC313" s="1" t="str">
        <f t="shared" si="117"/>
        <v>Same Day</v>
      </c>
      <c r="AD313" s="1" t="str">
        <f t="shared" si="118"/>
        <v>OK</v>
      </c>
      <c r="AE313" s="1">
        <v>1</v>
      </c>
      <c r="AF313" s="1">
        <v>1072.01</v>
      </c>
      <c r="AG313" s="9">
        <v>0</v>
      </c>
      <c r="AH313" s="9">
        <f t="shared" si="119"/>
        <v>0</v>
      </c>
      <c r="AI313" s="1" t="str">
        <f t="shared" si="120"/>
        <v>OK</v>
      </c>
      <c r="AJ313" s="1">
        <v>1072.01</v>
      </c>
      <c r="AK313" s="1">
        <v>852.62</v>
      </c>
      <c r="AL313" s="1">
        <v>219.39</v>
      </c>
      <c r="AM313" s="13">
        <f t="shared" si="121"/>
        <v>1072.01</v>
      </c>
      <c r="AN313" s="9">
        <f t="shared" si="122"/>
        <v>219.39</v>
      </c>
      <c r="AO313" s="9">
        <f t="shared" si="131"/>
        <v>0.20465294167032022</v>
      </c>
      <c r="AP313" s="1" t="s">
        <v>131</v>
      </c>
      <c r="AQ313" s="1" t="str">
        <f t="shared" si="123"/>
        <v>Pending</v>
      </c>
      <c r="AR313" s="1" t="str">
        <f t="shared" si="124"/>
        <v>OK</v>
      </c>
      <c r="AS313" s="1" t="s">
        <v>76</v>
      </c>
      <c r="AT313" s="4" t="str">
        <f t="shared" si="125"/>
        <v>Cancelled</v>
      </c>
      <c r="AU313" s="3" t="str">
        <f t="shared" si="126"/>
        <v>EXCLUDE_FROM_SALES</v>
      </c>
      <c r="AV313" s="3" t="str">
        <f t="shared" si="132"/>
        <v>INVALID</v>
      </c>
      <c r="AW313" t="str">
        <f t="shared" si="133"/>
        <v>MATCH</v>
      </c>
      <c r="AX313" t="str">
        <f t="shared" si="134"/>
        <v>MATCH</v>
      </c>
    </row>
    <row r="314" spans="1:50" ht="15.6">
      <c r="A314" s="1" t="s">
        <v>2324</v>
      </c>
      <c r="B314" s="1">
        <f t="shared" si="108"/>
        <v>1</v>
      </c>
      <c r="C314" s="16">
        <v>45506</v>
      </c>
      <c r="D314" s="16">
        <v>45506</v>
      </c>
      <c r="E314" s="16" t="str">
        <f t="shared" si="127"/>
        <v>Aug</v>
      </c>
      <c r="F314" s="1">
        <f t="shared" si="128"/>
        <v>2024</v>
      </c>
      <c r="G314" t="s">
        <v>463</v>
      </c>
      <c r="H314" s="17">
        <v>45390</v>
      </c>
      <c r="I314" s="21">
        <f t="shared" si="129"/>
        <v>-116</v>
      </c>
      <c r="J314" s="6" t="str">
        <f t="shared" si="130"/>
        <v>INVALID_SHIPPING</v>
      </c>
      <c r="K314" s="1" t="s">
        <v>2326</v>
      </c>
      <c r="L314" s="1" t="s">
        <v>39</v>
      </c>
      <c r="M314" s="1" t="str">
        <f t="shared" si="109"/>
        <v>Mira Das</v>
      </c>
      <c r="N314" s="1" t="s">
        <v>110</v>
      </c>
      <c r="O314" s="1" t="str">
        <f t="shared" si="110"/>
        <v>Home Office</v>
      </c>
      <c r="P314" s="1" t="s">
        <v>41</v>
      </c>
      <c r="Q314" s="1" t="str">
        <f t="shared" si="111"/>
        <v>East</v>
      </c>
      <c r="R314" s="1" t="str">
        <f t="shared" si="112"/>
        <v>OK</v>
      </c>
      <c r="S314" s="1" t="s">
        <v>42</v>
      </c>
      <c r="T314" s="1" t="str">
        <f t="shared" si="113"/>
        <v>Odisha</v>
      </c>
      <c r="U314" s="1" t="s">
        <v>43</v>
      </c>
      <c r="V314" s="1" t="str">
        <f t="shared" si="114"/>
        <v>Bhubaneswar</v>
      </c>
      <c r="W314" s="1" t="s">
        <v>83</v>
      </c>
      <c r="X314" s="1" t="str">
        <f t="shared" si="115"/>
        <v>Technology</v>
      </c>
      <c r="Y314" s="1" t="s">
        <v>84</v>
      </c>
      <c r="Z314" s="1" t="str">
        <f t="shared" si="116"/>
        <v>Accessories</v>
      </c>
      <c r="AA314" s="1" t="s">
        <v>2327</v>
      </c>
      <c r="AB314" s="1" t="s">
        <v>65</v>
      </c>
      <c r="AC314" s="1" t="str">
        <f t="shared" si="117"/>
        <v>Standard Class</v>
      </c>
      <c r="AD314" s="1" t="str">
        <f t="shared" si="118"/>
        <v>OK</v>
      </c>
      <c r="AE314" s="1">
        <v>6</v>
      </c>
      <c r="AF314" s="1">
        <v>2126.44</v>
      </c>
      <c r="AG314" s="9">
        <v>0.2</v>
      </c>
      <c r="AH314" s="9">
        <f t="shared" si="119"/>
        <v>0.2</v>
      </c>
      <c r="AI314" s="1" t="str">
        <f t="shared" si="120"/>
        <v>OK</v>
      </c>
      <c r="AJ314" s="1">
        <v>10206.91</v>
      </c>
      <c r="AK314" s="1">
        <v>6764.53</v>
      </c>
      <c r="AL314" s="1">
        <v>3442.38</v>
      </c>
      <c r="AM314" s="13">
        <f t="shared" si="121"/>
        <v>10206.912</v>
      </c>
      <c r="AN314" s="9">
        <f t="shared" si="122"/>
        <v>3442.3820000000005</v>
      </c>
      <c r="AO314" s="9">
        <f t="shared" si="131"/>
        <v>0.33725988820125036</v>
      </c>
      <c r="AP314" s="1" t="s">
        <v>33</v>
      </c>
      <c r="AQ314" s="1" t="str">
        <f t="shared" si="123"/>
        <v>Paid</v>
      </c>
      <c r="AR314" s="1" t="str">
        <f t="shared" si="124"/>
        <v>OK</v>
      </c>
      <c r="AS314" s="1" t="s">
        <v>34</v>
      </c>
      <c r="AT314" s="4" t="str">
        <f t="shared" si="125"/>
        <v>Completed</v>
      </c>
      <c r="AU314" s="3" t="str">
        <f t="shared" si="126"/>
        <v>OK</v>
      </c>
      <c r="AV314" s="3" t="str">
        <f t="shared" si="132"/>
        <v>INVALID</v>
      </c>
      <c r="AW314" t="str">
        <f t="shared" si="133"/>
        <v>MATCH</v>
      </c>
      <c r="AX314" t="str">
        <f t="shared" si="134"/>
        <v>MATCH</v>
      </c>
    </row>
    <row r="315" spans="1:50" ht="15.6" hidden="1">
      <c r="A315" s="1" t="s">
        <v>2328</v>
      </c>
      <c r="B315" s="1">
        <f t="shared" si="108"/>
        <v>1</v>
      </c>
      <c r="C315" s="16">
        <v>45349</v>
      </c>
      <c r="D315" s="16">
        <v>45349</v>
      </c>
      <c r="E315" s="16" t="str">
        <f t="shared" si="127"/>
        <v>Feb</v>
      </c>
      <c r="F315" s="1">
        <f t="shared" si="128"/>
        <v>2024</v>
      </c>
      <c r="G315" t="s">
        <v>1407</v>
      </c>
      <c r="H315" s="17">
        <v>45808</v>
      </c>
      <c r="I315" s="21">
        <f t="shared" si="129"/>
        <v>459</v>
      </c>
      <c r="J315" s="6" t="str">
        <f t="shared" si="130"/>
        <v>OK</v>
      </c>
      <c r="K315" s="1" t="s">
        <v>2330</v>
      </c>
      <c r="L315" s="1" t="s">
        <v>158</v>
      </c>
      <c r="M315" s="1" t="str">
        <f t="shared" si="109"/>
        <v>Sneha Kapoor</v>
      </c>
      <c r="N315" s="1" t="s">
        <v>25</v>
      </c>
      <c r="O315" s="1" t="str">
        <f t="shared" si="110"/>
        <v>Consumer</v>
      </c>
      <c r="P315" s="1" t="s">
        <v>41</v>
      </c>
      <c r="Q315" s="1" t="str">
        <f t="shared" si="111"/>
        <v>East</v>
      </c>
      <c r="R315" s="1" t="str">
        <f t="shared" si="112"/>
        <v>OK</v>
      </c>
      <c r="S315" s="1" t="s">
        <v>284</v>
      </c>
      <c r="T315" s="1" t="str">
        <f t="shared" si="113"/>
        <v>Jharkhand</v>
      </c>
      <c r="U315" s="1" t="s">
        <v>285</v>
      </c>
      <c r="V315" s="1" t="str">
        <f t="shared" si="114"/>
        <v>Ranchi</v>
      </c>
      <c r="W315" s="1" t="s">
        <v>44</v>
      </c>
      <c r="X315" s="1" t="str">
        <f t="shared" si="115"/>
        <v>Furniture</v>
      </c>
      <c r="Y315" s="1" t="s">
        <v>74</v>
      </c>
      <c r="Z315" s="1" t="str">
        <f t="shared" si="116"/>
        <v>Chairs</v>
      </c>
      <c r="AA315" s="1" t="s">
        <v>2331</v>
      </c>
      <c r="AB315" s="1" t="s">
        <v>32</v>
      </c>
      <c r="AC315" s="1" t="str">
        <f t="shared" si="117"/>
        <v>Second Class</v>
      </c>
      <c r="AD315" s="1" t="str">
        <f t="shared" si="118"/>
        <v>OK</v>
      </c>
      <c r="AE315" s="1">
        <v>3</v>
      </c>
      <c r="AF315" s="1">
        <v>3148.09</v>
      </c>
      <c r="AG315" s="9">
        <v>0.15</v>
      </c>
      <c r="AH315" s="9">
        <f t="shared" si="119"/>
        <v>0.15</v>
      </c>
      <c r="AI315" s="1" t="str">
        <f t="shared" si="120"/>
        <v>OK</v>
      </c>
      <c r="AJ315" s="1">
        <v>8027.63</v>
      </c>
      <c r="AK315" s="1">
        <v>5496.09</v>
      </c>
      <c r="AL315" s="1">
        <v>2531.54</v>
      </c>
      <c r="AM315" s="13">
        <f t="shared" si="121"/>
        <v>8027.6295</v>
      </c>
      <c r="AN315" s="9">
        <f t="shared" si="122"/>
        <v>2531.5394999999999</v>
      </c>
      <c r="AO315" s="9">
        <f t="shared" si="131"/>
        <v>0.31535330572991688</v>
      </c>
      <c r="AP315" s="1" t="s">
        <v>33</v>
      </c>
      <c r="AQ315" s="1" t="str">
        <f t="shared" si="123"/>
        <v>Paid</v>
      </c>
      <c r="AR315" s="1" t="str">
        <f t="shared" si="124"/>
        <v>OK</v>
      </c>
      <c r="AS315" s="1" t="s">
        <v>34</v>
      </c>
      <c r="AT315" s="4" t="str">
        <f t="shared" si="125"/>
        <v>Completed</v>
      </c>
      <c r="AU315" s="3" t="str">
        <f t="shared" si="126"/>
        <v>OK</v>
      </c>
      <c r="AV315" s="3" t="str">
        <f t="shared" si="132"/>
        <v>CLEAN</v>
      </c>
      <c r="AW315" t="str">
        <f t="shared" si="133"/>
        <v>MATCH</v>
      </c>
      <c r="AX315" t="str">
        <f t="shared" si="134"/>
        <v>MATCH</v>
      </c>
    </row>
    <row r="316" spans="1:50" ht="15.6" hidden="1">
      <c r="A316" s="1" t="s">
        <v>2339</v>
      </c>
      <c r="B316" s="1">
        <f t="shared" si="108"/>
        <v>1</v>
      </c>
      <c r="C316" s="16">
        <v>45636</v>
      </c>
      <c r="D316" s="16">
        <v>45636</v>
      </c>
      <c r="E316" s="16" t="str">
        <f t="shared" si="127"/>
        <v>Dec</v>
      </c>
      <c r="F316" s="1">
        <f t="shared" si="128"/>
        <v>2024</v>
      </c>
      <c r="G316" t="s">
        <v>113</v>
      </c>
      <c r="H316" s="17">
        <v>45797</v>
      </c>
      <c r="I316" s="21">
        <f t="shared" si="129"/>
        <v>161</v>
      </c>
      <c r="J316" s="6" t="str">
        <f t="shared" si="130"/>
        <v>OK</v>
      </c>
      <c r="K316" s="1" t="s">
        <v>2341</v>
      </c>
      <c r="L316" s="1" t="s">
        <v>59</v>
      </c>
      <c r="M316" s="1" t="str">
        <f t="shared" si="109"/>
        <v>Arjun Bose</v>
      </c>
      <c r="N316" s="1" t="s">
        <v>25</v>
      </c>
      <c r="O316" s="1" t="str">
        <f t="shared" si="110"/>
        <v>Consumer</v>
      </c>
      <c r="P316" s="1"/>
      <c r="Q316" s="1" t="str">
        <f t="shared" si="111"/>
        <v>Unknown</v>
      </c>
      <c r="R316" s="1" t="str">
        <f t="shared" si="112"/>
        <v>MISSING_REGION</v>
      </c>
      <c r="S316" s="1" t="s">
        <v>284</v>
      </c>
      <c r="T316" s="1" t="str">
        <f t="shared" si="113"/>
        <v>Jharkhand</v>
      </c>
      <c r="U316" s="1" t="s">
        <v>285</v>
      </c>
      <c r="V316" s="1" t="str">
        <f t="shared" si="114"/>
        <v>Ranchi</v>
      </c>
      <c r="W316" s="1" t="s">
        <v>44</v>
      </c>
      <c r="X316" s="1" t="str">
        <f t="shared" si="115"/>
        <v>Furniture</v>
      </c>
      <c r="Y316" s="1" t="s">
        <v>63</v>
      </c>
      <c r="Z316" s="1" t="str">
        <f t="shared" si="116"/>
        <v>Furnishings</v>
      </c>
      <c r="AA316" s="1" t="s">
        <v>2342</v>
      </c>
      <c r="AB316" s="1" t="s">
        <v>65</v>
      </c>
      <c r="AC316" s="1" t="str">
        <f t="shared" si="117"/>
        <v>Standard Class</v>
      </c>
      <c r="AD316" s="1" t="str">
        <f t="shared" si="118"/>
        <v>OK</v>
      </c>
      <c r="AE316" s="1">
        <v>4</v>
      </c>
      <c r="AF316" s="1">
        <v>1071.22</v>
      </c>
      <c r="AG316" s="9">
        <v>0.05</v>
      </c>
      <c r="AH316" s="9">
        <f t="shared" si="119"/>
        <v>0.05</v>
      </c>
      <c r="AI316" s="1" t="str">
        <f t="shared" si="120"/>
        <v>OK</v>
      </c>
      <c r="AJ316" s="1">
        <v>4070.64</v>
      </c>
      <c r="AK316" s="1">
        <v>2831.62</v>
      </c>
      <c r="AL316" s="1">
        <v>1239.02</v>
      </c>
      <c r="AM316" s="13">
        <f t="shared" si="121"/>
        <v>4070.636</v>
      </c>
      <c r="AN316" s="9">
        <f t="shared" si="122"/>
        <v>1239.0160000000001</v>
      </c>
      <c r="AO316" s="9">
        <f t="shared" si="131"/>
        <v>0.30437897173807732</v>
      </c>
      <c r="AP316" s="1" t="s">
        <v>33</v>
      </c>
      <c r="AQ316" s="1" t="str">
        <f t="shared" si="123"/>
        <v>Paid</v>
      </c>
      <c r="AR316" s="1" t="str">
        <f t="shared" si="124"/>
        <v>OK</v>
      </c>
      <c r="AS316" s="1" t="s">
        <v>34</v>
      </c>
      <c r="AT316" s="4" t="str">
        <f t="shared" si="125"/>
        <v>Completed</v>
      </c>
      <c r="AU316" s="3" t="str">
        <f t="shared" si="126"/>
        <v>OK</v>
      </c>
      <c r="AV316" s="3" t="str">
        <f t="shared" si="132"/>
        <v>WARNING</v>
      </c>
      <c r="AW316" t="str">
        <f t="shared" si="133"/>
        <v>MATCH</v>
      </c>
      <c r="AX316" t="str">
        <f t="shared" si="134"/>
        <v>MATCH</v>
      </c>
    </row>
    <row r="317" spans="1:50" ht="15.6" hidden="1">
      <c r="A317" s="1" t="s">
        <v>2347</v>
      </c>
      <c r="B317" s="1">
        <f t="shared" si="108"/>
        <v>1</v>
      </c>
      <c r="C317" s="16">
        <v>45466</v>
      </c>
      <c r="D317" s="16">
        <v>45466</v>
      </c>
      <c r="E317" s="16" t="str">
        <f t="shared" si="127"/>
        <v>Jun</v>
      </c>
      <c r="F317" s="1">
        <f t="shared" si="128"/>
        <v>2024</v>
      </c>
      <c r="G317" t="s">
        <v>1414</v>
      </c>
      <c r="H317" s="17">
        <v>45481</v>
      </c>
      <c r="I317" s="21">
        <f t="shared" si="129"/>
        <v>15</v>
      </c>
      <c r="J317" s="6" t="str">
        <f t="shared" si="130"/>
        <v>OK</v>
      </c>
      <c r="K317" s="1" t="s">
        <v>2348</v>
      </c>
      <c r="L317" s="1" t="s">
        <v>90</v>
      </c>
      <c r="M317" s="1" t="str">
        <f t="shared" si="109"/>
        <v>Neha Gupta</v>
      </c>
      <c r="N317" s="1" t="s">
        <v>25</v>
      </c>
      <c r="O317" s="1" t="str">
        <f t="shared" si="110"/>
        <v>Consumer</v>
      </c>
      <c r="P317" s="1" t="s">
        <v>26</v>
      </c>
      <c r="Q317" s="1" t="str">
        <f t="shared" si="111"/>
        <v>North</v>
      </c>
      <c r="R317" s="1" t="str">
        <f t="shared" si="112"/>
        <v>OK</v>
      </c>
      <c r="S317" s="1" t="s">
        <v>294</v>
      </c>
      <c r="T317" s="1" t="str">
        <f t="shared" si="113"/>
        <v>Haryana</v>
      </c>
      <c r="U317" s="1" t="s">
        <v>295</v>
      </c>
      <c r="V317" s="1" t="str">
        <f t="shared" si="114"/>
        <v>Gurugram</v>
      </c>
      <c r="W317" s="1" t="s">
        <v>44</v>
      </c>
      <c r="X317" s="1" t="str">
        <f t="shared" si="115"/>
        <v>Furniture</v>
      </c>
      <c r="Y317" s="1" t="s">
        <v>45</v>
      </c>
      <c r="Z317" s="1" t="str">
        <f t="shared" si="116"/>
        <v>Tables</v>
      </c>
      <c r="AA317" s="1" t="s">
        <v>2349</v>
      </c>
      <c r="AB317" s="1" t="s">
        <v>55</v>
      </c>
      <c r="AC317" s="1" t="str">
        <f t="shared" si="117"/>
        <v>First Class</v>
      </c>
      <c r="AD317" s="1" t="str">
        <f t="shared" si="118"/>
        <v>OK</v>
      </c>
      <c r="AE317" s="1">
        <v>1</v>
      </c>
      <c r="AF317" s="1">
        <v>4426.66</v>
      </c>
      <c r="AG317" s="9">
        <v>0</v>
      </c>
      <c r="AH317" s="9">
        <f t="shared" si="119"/>
        <v>0</v>
      </c>
      <c r="AI317" s="1" t="str">
        <f t="shared" si="120"/>
        <v>OK</v>
      </c>
      <c r="AJ317" s="1">
        <v>4426.66</v>
      </c>
      <c r="AK317" s="1">
        <v>3035.2</v>
      </c>
      <c r="AL317" s="1">
        <v>1816.23</v>
      </c>
      <c r="AM317" s="13">
        <f t="shared" si="121"/>
        <v>4426.66</v>
      </c>
      <c r="AN317" s="9">
        <f t="shared" si="122"/>
        <v>1391.46</v>
      </c>
      <c r="AO317" s="9">
        <f t="shared" si="131"/>
        <v>0.31433631677156143</v>
      </c>
      <c r="AP317" s="1" t="s">
        <v>33</v>
      </c>
      <c r="AQ317" s="1" t="str">
        <f t="shared" si="123"/>
        <v>Paid</v>
      </c>
      <c r="AR317" s="1" t="str">
        <f t="shared" si="124"/>
        <v>OK</v>
      </c>
      <c r="AS317" s="1" t="s">
        <v>120</v>
      </c>
      <c r="AT317" s="4" t="str">
        <f t="shared" si="125"/>
        <v>Returned</v>
      </c>
      <c r="AU317" s="3" t="str">
        <f t="shared" si="126"/>
        <v>RETURNED_ORDER</v>
      </c>
      <c r="AV317" s="3" t="str">
        <f t="shared" si="132"/>
        <v>CLEAN</v>
      </c>
      <c r="AW317" t="str">
        <f t="shared" si="133"/>
        <v>MATCH</v>
      </c>
      <c r="AX317" t="str">
        <f t="shared" si="134"/>
        <v>MISMATCH</v>
      </c>
    </row>
    <row r="318" spans="1:50" ht="15.6">
      <c r="A318" s="1" t="s">
        <v>2350</v>
      </c>
      <c r="B318" s="1">
        <f t="shared" si="108"/>
        <v>1</v>
      </c>
      <c r="C318" s="16">
        <v>45509</v>
      </c>
      <c r="D318" s="16">
        <v>45509</v>
      </c>
      <c r="E318" s="16" t="str">
        <f t="shared" si="127"/>
        <v>Aug</v>
      </c>
      <c r="F318" s="1">
        <f t="shared" si="128"/>
        <v>2024</v>
      </c>
      <c r="G318" t="s">
        <v>1419</v>
      </c>
      <c r="H318" s="17">
        <v>45340</v>
      </c>
      <c r="I318" s="21">
        <f t="shared" si="129"/>
        <v>-169</v>
      </c>
      <c r="J318" s="6" t="str">
        <f t="shared" si="130"/>
        <v>INVALID_SHIPPING</v>
      </c>
      <c r="K318" s="1" t="s">
        <v>2353</v>
      </c>
      <c r="L318" s="1" t="s">
        <v>80</v>
      </c>
      <c r="M318" s="1" t="str">
        <f t="shared" si="109"/>
        <v>Vikram Iyer</v>
      </c>
      <c r="N318" s="1" t="s">
        <v>110</v>
      </c>
      <c r="O318" s="1" t="str">
        <f t="shared" si="110"/>
        <v>Home Office</v>
      </c>
      <c r="P318" s="1" t="s">
        <v>26</v>
      </c>
      <c r="Q318" s="1" t="str">
        <f t="shared" si="111"/>
        <v>North</v>
      </c>
      <c r="R318" s="1" t="str">
        <f t="shared" si="112"/>
        <v>OK</v>
      </c>
      <c r="S318" s="1" t="s">
        <v>294</v>
      </c>
      <c r="T318" s="1" t="str">
        <f t="shared" si="113"/>
        <v>Haryana</v>
      </c>
      <c r="U318" s="1" t="s">
        <v>295</v>
      </c>
      <c r="V318" s="1" t="str">
        <f t="shared" si="114"/>
        <v>Gurugram</v>
      </c>
      <c r="W318" s="1" t="s">
        <v>83</v>
      </c>
      <c r="X318" s="1" t="str">
        <f t="shared" si="115"/>
        <v>Technology</v>
      </c>
      <c r="Y318" s="1" t="s">
        <v>207</v>
      </c>
      <c r="Z318" s="1" t="str">
        <f t="shared" si="116"/>
        <v>Phones</v>
      </c>
      <c r="AA318" s="1" t="s">
        <v>2354</v>
      </c>
      <c r="AB318" s="1" t="s">
        <v>55</v>
      </c>
      <c r="AC318" s="1" t="str">
        <f t="shared" si="117"/>
        <v>First Class</v>
      </c>
      <c r="AD318" s="1" t="str">
        <f t="shared" si="118"/>
        <v>OK</v>
      </c>
      <c r="AE318" s="1">
        <v>9</v>
      </c>
      <c r="AF318" s="1">
        <v>3769.46</v>
      </c>
      <c r="AG318" s="9">
        <v>0.05</v>
      </c>
      <c r="AH318" s="9">
        <f t="shared" si="119"/>
        <v>0.05</v>
      </c>
      <c r="AI318" s="1" t="str">
        <f t="shared" si="120"/>
        <v>OK</v>
      </c>
      <c r="AJ318" s="1">
        <v>32228.880000000001</v>
      </c>
      <c r="AK318" s="1">
        <v>24971.360000000001</v>
      </c>
      <c r="AL318" s="1">
        <v>7257.52</v>
      </c>
      <c r="AM318" s="13">
        <f t="shared" si="121"/>
        <v>32228.882999999998</v>
      </c>
      <c r="AN318" s="9">
        <f t="shared" si="122"/>
        <v>7257.5229999999974</v>
      </c>
      <c r="AO318" s="9">
        <f t="shared" si="131"/>
        <v>0.22518692317074712</v>
      </c>
      <c r="AP318" s="1" t="s">
        <v>33</v>
      </c>
      <c r="AQ318" s="1" t="str">
        <f t="shared" si="123"/>
        <v>Paid</v>
      </c>
      <c r="AR318" s="1" t="str">
        <f t="shared" si="124"/>
        <v>OK</v>
      </c>
      <c r="AS318" s="1" t="s">
        <v>76</v>
      </c>
      <c r="AT318" s="4" t="str">
        <f t="shared" si="125"/>
        <v>Cancelled</v>
      </c>
      <c r="AU318" s="3" t="str">
        <f t="shared" si="126"/>
        <v>EXCLUDE_FROM_SALES</v>
      </c>
      <c r="AV318" s="3" t="str">
        <f t="shared" si="132"/>
        <v>INVALID</v>
      </c>
      <c r="AW318" t="str">
        <f t="shared" si="133"/>
        <v>MATCH</v>
      </c>
      <c r="AX318" t="str">
        <f t="shared" si="134"/>
        <v>MATCH</v>
      </c>
    </row>
    <row r="319" spans="1:50" ht="15.6" hidden="1">
      <c r="A319" s="1" t="s">
        <v>2363</v>
      </c>
      <c r="B319" s="1">
        <f t="shared" si="108"/>
        <v>1</v>
      </c>
      <c r="C319" s="16">
        <v>45307</v>
      </c>
      <c r="D319" s="16">
        <v>45307</v>
      </c>
      <c r="E319" s="16" t="str">
        <f t="shared" si="127"/>
        <v>Jan</v>
      </c>
      <c r="F319" s="1">
        <f t="shared" si="128"/>
        <v>2024</v>
      </c>
      <c r="G319" t="s">
        <v>1423</v>
      </c>
      <c r="H319" s="17">
        <v>45904</v>
      </c>
      <c r="I319" s="21">
        <f t="shared" si="129"/>
        <v>597</v>
      </c>
      <c r="J319" s="6" t="str">
        <f t="shared" si="130"/>
        <v>OK</v>
      </c>
      <c r="K319" s="1" t="s">
        <v>2364</v>
      </c>
      <c r="L319" s="1" t="s">
        <v>59</v>
      </c>
      <c r="M319" s="1" t="str">
        <f t="shared" si="109"/>
        <v>Arjun Bose</v>
      </c>
      <c r="N319" s="1" t="s">
        <v>25</v>
      </c>
      <c r="O319" s="1" t="str">
        <f t="shared" si="110"/>
        <v>Consumer</v>
      </c>
      <c r="P319" s="1" t="s">
        <v>71</v>
      </c>
      <c r="Q319" s="1" t="str">
        <f t="shared" si="111"/>
        <v>West</v>
      </c>
      <c r="R319" s="1" t="str">
        <f t="shared" si="112"/>
        <v>OK</v>
      </c>
      <c r="S319" s="1" t="s">
        <v>230</v>
      </c>
      <c r="T319" s="1" t="str">
        <f t="shared" si="113"/>
        <v>Goa</v>
      </c>
      <c r="U319" s="1" t="s">
        <v>231</v>
      </c>
      <c r="V319" s="1" t="str">
        <f t="shared" si="114"/>
        <v>Panaji</v>
      </c>
      <c r="W319" s="1" t="s">
        <v>29</v>
      </c>
      <c r="X319" s="1" t="str">
        <f t="shared" si="115"/>
        <v>Office Supplies</v>
      </c>
      <c r="Y319" s="1" t="s">
        <v>148</v>
      </c>
      <c r="Z319" s="1" t="str">
        <f t="shared" si="116"/>
        <v>Storage</v>
      </c>
      <c r="AA319" s="1" t="s">
        <v>2365</v>
      </c>
      <c r="AB319" s="1" t="s">
        <v>65</v>
      </c>
      <c r="AC319" s="1" t="str">
        <f t="shared" si="117"/>
        <v>Standard Class</v>
      </c>
      <c r="AD319" s="1" t="str">
        <f t="shared" si="118"/>
        <v>OK</v>
      </c>
      <c r="AE319" s="1">
        <v>4</v>
      </c>
      <c r="AF319" s="1">
        <v>282.52999999999997</v>
      </c>
      <c r="AG319" s="9">
        <v>0</v>
      </c>
      <c r="AH319" s="9">
        <f t="shared" si="119"/>
        <v>0</v>
      </c>
      <c r="AI319" s="1" t="str">
        <f t="shared" si="120"/>
        <v>OK</v>
      </c>
      <c r="AJ319" s="1">
        <v>1130.1199999999999</v>
      </c>
      <c r="AK319" s="1">
        <v>848.62</v>
      </c>
      <c r="AL319" s="1">
        <v>281.5</v>
      </c>
      <c r="AM319" s="13">
        <f t="shared" si="121"/>
        <v>1130.1199999999999</v>
      </c>
      <c r="AN319" s="9">
        <f t="shared" si="122"/>
        <v>281.49999999999989</v>
      </c>
      <c r="AO319" s="9">
        <f t="shared" si="131"/>
        <v>0.249088592361873</v>
      </c>
      <c r="AP319" s="1" t="s">
        <v>33</v>
      </c>
      <c r="AQ319" s="1" t="str">
        <f t="shared" si="123"/>
        <v>Paid</v>
      </c>
      <c r="AR319" s="1" t="str">
        <f t="shared" si="124"/>
        <v>OK</v>
      </c>
      <c r="AS319" s="1" t="s">
        <v>76</v>
      </c>
      <c r="AT319" s="4" t="str">
        <f t="shared" si="125"/>
        <v>Cancelled</v>
      </c>
      <c r="AU319" s="3" t="str">
        <f t="shared" si="126"/>
        <v>EXCLUDE_FROM_SALES</v>
      </c>
      <c r="AV319" s="3" t="str">
        <f t="shared" si="132"/>
        <v>CLEAN</v>
      </c>
      <c r="AW319" t="str">
        <f t="shared" si="133"/>
        <v>MATCH</v>
      </c>
      <c r="AX319" t="str">
        <f t="shared" si="134"/>
        <v>MATCH</v>
      </c>
    </row>
    <row r="320" spans="1:50" ht="15.6">
      <c r="A320" s="1" t="s">
        <v>2370</v>
      </c>
      <c r="B320" s="1">
        <f t="shared" si="108"/>
        <v>1</v>
      </c>
      <c r="C320" s="16">
        <v>45570</v>
      </c>
      <c r="D320" s="16">
        <v>45570</v>
      </c>
      <c r="E320" s="16" t="str">
        <f t="shared" si="127"/>
        <v>Oct</v>
      </c>
      <c r="F320" s="1">
        <f t="shared" si="128"/>
        <v>2024</v>
      </c>
      <c r="G320" t="s">
        <v>1427</v>
      </c>
      <c r="H320" s="17">
        <v>45412</v>
      </c>
      <c r="I320" s="21">
        <f t="shared" si="129"/>
        <v>-158</v>
      </c>
      <c r="J320" s="6" t="str">
        <f t="shared" si="130"/>
        <v>INVALID_SHIPPING</v>
      </c>
      <c r="K320" s="1" t="s">
        <v>2372</v>
      </c>
      <c r="L320" s="1" t="s">
        <v>24</v>
      </c>
      <c r="M320" s="1" t="str">
        <f t="shared" si="109"/>
        <v>Karan Malhotra</v>
      </c>
      <c r="N320" s="1" t="s">
        <v>25</v>
      </c>
      <c r="O320" s="1" t="str">
        <f t="shared" si="110"/>
        <v>Consumer</v>
      </c>
      <c r="P320" s="1" t="s">
        <v>26</v>
      </c>
      <c r="Q320" s="1" t="str">
        <f t="shared" si="111"/>
        <v>North</v>
      </c>
      <c r="R320" s="1" t="str">
        <f t="shared" si="112"/>
        <v>OK</v>
      </c>
      <c r="S320" s="1" t="s">
        <v>146</v>
      </c>
      <c r="T320" s="1" t="str">
        <f t="shared" si="113"/>
        <v>Punjab</v>
      </c>
      <c r="U320" s="1" t="s">
        <v>147</v>
      </c>
      <c r="V320" s="1" t="str">
        <f t="shared" si="114"/>
        <v>Ludhiana</v>
      </c>
      <c r="W320" s="1" t="s">
        <v>29</v>
      </c>
      <c r="X320" s="1" t="str">
        <f t="shared" si="115"/>
        <v>Office Supplies</v>
      </c>
      <c r="Y320" s="1" t="s">
        <v>184</v>
      </c>
      <c r="Z320" s="1" t="str">
        <f t="shared" si="116"/>
        <v>Binders</v>
      </c>
      <c r="AA320" s="1" t="s">
        <v>2373</v>
      </c>
      <c r="AB320" s="1" t="s">
        <v>47</v>
      </c>
      <c r="AC320" s="1" t="str">
        <f t="shared" si="117"/>
        <v>Same Day</v>
      </c>
      <c r="AD320" s="1" t="str">
        <f t="shared" si="118"/>
        <v>OK</v>
      </c>
      <c r="AE320" s="1">
        <v>7</v>
      </c>
      <c r="AF320" s="1">
        <v>121.54</v>
      </c>
      <c r="AG320" s="9">
        <v>0.2</v>
      </c>
      <c r="AH320" s="9">
        <f t="shared" si="119"/>
        <v>0.2</v>
      </c>
      <c r="AI320" s="1" t="str">
        <f t="shared" si="120"/>
        <v>OK</v>
      </c>
      <c r="AJ320" s="1">
        <v>680.62</v>
      </c>
      <c r="AK320" s="1">
        <v>463.49</v>
      </c>
      <c r="AL320" s="1">
        <v>217.13</v>
      </c>
      <c r="AM320" s="13">
        <f t="shared" si="121"/>
        <v>680.62400000000014</v>
      </c>
      <c r="AN320" s="9">
        <f t="shared" si="122"/>
        <v>217.13400000000013</v>
      </c>
      <c r="AO320" s="9">
        <f t="shared" si="131"/>
        <v>0.31902195632243363</v>
      </c>
      <c r="AP320" s="1" t="s">
        <v>186</v>
      </c>
      <c r="AQ320" s="1" t="str">
        <f t="shared" si="123"/>
        <v>Failed</v>
      </c>
      <c r="AR320" s="1" t="str">
        <f t="shared" si="124"/>
        <v>EXCLUDE_FROM_SALES</v>
      </c>
      <c r="AS320" s="1" t="s">
        <v>120</v>
      </c>
      <c r="AT320" s="4" t="str">
        <f t="shared" si="125"/>
        <v>Returned</v>
      </c>
      <c r="AU320" s="3" t="str">
        <f t="shared" si="126"/>
        <v>RETURNED_ORDER</v>
      </c>
      <c r="AV320" s="3" t="str">
        <f t="shared" si="132"/>
        <v>INVALID</v>
      </c>
      <c r="AW320" t="str">
        <f t="shared" si="133"/>
        <v>MATCH</v>
      </c>
      <c r="AX320" t="str">
        <f t="shared" si="134"/>
        <v>MATCH</v>
      </c>
    </row>
    <row r="321" spans="1:50" ht="15.6" hidden="1">
      <c r="A321" s="1" t="s">
        <v>2374</v>
      </c>
      <c r="B321" s="1">
        <f t="shared" si="108"/>
        <v>1</v>
      </c>
      <c r="C321" s="16">
        <v>45448</v>
      </c>
      <c r="D321" s="16">
        <v>45448</v>
      </c>
      <c r="E321" s="16" t="str">
        <f t="shared" si="127"/>
        <v>Jun</v>
      </c>
      <c r="F321" s="1">
        <f t="shared" si="128"/>
        <v>2024</v>
      </c>
      <c r="G321" t="s">
        <v>1432</v>
      </c>
      <c r="H321" s="17">
        <v>45529</v>
      </c>
      <c r="I321" s="21">
        <f t="shared" si="129"/>
        <v>81</v>
      </c>
      <c r="J321" s="6" t="str">
        <f t="shared" si="130"/>
        <v>OK</v>
      </c>
      <c r="K321" s="1" t="s">
        <v>2376</v>
      </c>
      <c r="L321" s="1" t="s">
        <v>59</v>
      </c>
      <c r="M321" s="1" t="str">
        <f t="shared" si="109"/>
        <v>Arjun Bose</v>
      </c>
      <c r="N321" s="1" t="s">
        <v>104</v>
      </c>
      <c r="O321" s="1" t="str">
        <f t="shared" si="110"/>
        <v>Corporate</v>
      </c>
      <c r="P321" s="1" t="s">
        <v>71</v>
      </c>
      <c r="Q321" s="1" t="str">
        <f t="shared" si="111"/>
        <v>West</v>
      </c>
      <c r="R321" s="1" t="str">
        <f t="shared" si="112"/>
        <v>OK</v>
      </c>
      <c r="S321" s="1" t="s">
        <v>230</v>
      </c>
      <c r="T321" s="1" t="str">
        <f t="shared" si="113"/>
        <v>Goa</v>
      </c>
      <c r="U321" s="1" t="s">
        <v>231</v>
      </c>
      <c r="V321" s="1" t="str">
        <f t="shared" si="114"/>
        <v>Panaji</v>
      </c>
      <c r="W321" s="1" t="s">
        <v>44</v>
      </c>
      <c r="X321" s="1" t="str">
        <f t="shared" si="115"/>
        <v>Furniture</v>
      </c>
      <c r="Y321" s="1" t="s">
        <v>45</v>
      </c>
      <c r="Z321" s="1" t="str">
        <f t="shared" si="116"/>
        <v>Tables</v>
      </c>
      <c r="AA321" s="1" t="s">
        <v>2377</v>
      </c>
      <c r="AB321" s="1" t="s">
        <v>65</v>
      </c>
      <c r="AC321" s="1" t="str">
        <f t="shared" si="117"/>
        <v>Standard Class</v>
      </c>
      <c r="AD321" s="1" t="str">
        <f t="shared" si="118"/>
        <v>OK</v>
      </c>
      <c r="AE321" s="1">
        <v>9</v>
      </c>
      <c r="AF321" s="1">
        <v>790.97</v>
      </c>
      <c r="AG321" s="9">
        <v>0.2</v>
      </c>
      <c r="AH321" s="9">
        <f t="shared" si="119"/>
        <v>0.2</v>
      </c>
      <c r="AI321" s="1" t="str">
        <f t="shared" si="120"/>
        <v>OK</v>
      </c>
      <c r="AJ321" s="1">
        <v>5694.98</v>
      </c>
      <c r="AK321" s="1">
        <v>4618.33</v>
      </c>
      <c r="AL321" s="1">
        <v>1076.6500000000001</v>
      </c>
      <c r="AM321" s="13">
        <f t="shared" si="121"/>
        <v>5694.9840000000004</v>
      </c>
      <c r="AN321" s="9">
        <f t="shared" si="122"/>
        <v>1076.6540000000005</v>
      </c>
      <c r="AO321" s="9">
        <f t="shared" si="131"/>
        <v>0.1890530333360024</v>
      </c>
      <c r="AP321" s="1" t="s">
        <v>131</v>
      </c>
      <c r="AQ321" s="1" t="str">
        <f t="shared" si="123"/>
        <v>Pending</v>
      </c>
      <c r="AR321" s="1" t="str">
        <f t="shared" si="124"/>
        <v>OK</v>
      </c>
      <c r="AS321" s="1" t="s">
        <v>76</v>
      </c>
      <c r="AT321" s="4" t="str">
        <f t="shared" si="125"/>
        <v>Cancelled</v>
      </c>
      <c r="AU321" s="3" t="str">
        <f t="shared" si="126"/>
        <v>EXCLUDE_FROM_SALES</v>
      </c>
      <c r="AV321" s="3" t="str">
        <f t="shared" si="132"/>
        <v>CLEAN</v>
      </c>
      <c r="AW321" t="str">
        <f t="shared" si="133"/>
        <v>MATCH</v>
      </c>
      <c r="AX321" t="str">
        <f t="shared" si="134"/>
        <v>MATCH</v>
      </c>
    </row>
    <row r="322" spans="1:50" ht="15.6" hidden="1">
      <c r="A322" s="1" t="s">
        <v>2378</v>
      </c>
      <c r="B322" s="1">
        <f t="shared" ref="B322:B385" si="135">COUNTIF($A:$A,A322)</f>
        <v>1</v>
      </c>
      <c r="C322" s="16">
        <v>45576</v>
      </c>
      <c r="D322" s="16">
        <v>45576</v>
      </c>
      <c r="E322" s="16" t="str">
        <f t="shared" si="127"/>
        <v>Oct</v>
      </c>
      <c r="F322" s="1">
        <f t="shared" si="128"/>
        <v>2024</v>
      </c>
      <c r="G322" t="s">
        <v>1436</v>
      </c>
      <c r="H322" s="17">
        <v>45632</v>
      </c>
      <c r="I322" s="21">
        <f t="shared" si="129"/>
        <v>56</v>
      </c>
      <c r="J322" s="6" t="str">
        <f t="shared" si="130"/>
        <v>OK</v>
      </c>
      <c r="K322" s="1" t="s">
        <v>2380</v>
      </c>
      <c r="L322" s="1" t="s">
        <v>158</v>
      </c>
      <c r="M322" s="1" t="str">
        <f t="shared" ref="M322:M385" si="136">PROPER(TRIM(SUBSTITUTE(L322,CHAR(160)," ")))</f>
        <v>Sneha Kapoor</v>
      </c>
      <c r="N322" s="1" t="s">
        <v>104</v>
      </c>
      <c r="O322" s="1" t="str">
        <f t="shared" ref="O322:O385" si="137">PROPER(TRIM(SUBSTITUTE(N322,CHAR(160)," ")))</f>
        <v>Corporate</v>
      </c>
      <c r="P322" s="1" t="s">
        <v>60</v>
      </c>
      <c r="Q322" s="1" t="str">
        <f t="shared" ref="Q322:Q385" si="138">IF(TRIM(P322)="","Unknown",PROPER(TRIM(P322)))</f>
        <v>South</v>
      </c>
      <c r="R322" s="1" t="str">
        <f t="shared" ref="R322:R385" si="139">IF(Q322="Unknown","MISSING_REGION","OK")</f>
        <v>OK</v>
      </c>
      <c r="S322" s="1" t="s">
        <v>97</v>
      </c>
      <c r="T322" s="1" t="str">
        <f t="shared" ref="T322:T385" si="140">PROPER(TRIM(SUBSTITUTE(S322,CHAR(160)," ")))</f>
        <v>Andhra Pradesh</v>
      </c>
      <c r="U322" s="1" t="s">
        <v>98</v>
      </c>
      <c r="V322" s="1" t="str">
        <f t="shared" ref="V322:V385" si="141">PROPER(TRIM(SUBSTITUTE(U322,CHAR(160)," ")))</f>
        <v>Vijayawada</v>
      </c>
      <c r="W322" s="1" t="s">
        <v>44</v>
      </c>
      <c r="X322" s="1" t="str">
        <f t="shared" ref="X322:X385" si="142">PROPER(TRIM(SUBSTITUTE(W322,CHAR(160)," ")))</f>
        <v>Furniture</v>
      </c>
      <c r="Y322" s="1" t="s">
        <v>45</v>
      </c>
      <c r="Z322" s="1" t="str">
        <f t="shared" ref="Z322:Z385" si="143">PROPER(TRIM(SUBSTITUTE(Y322,CHAR(160)," ")))</f>
        <v>Tables</v>
      </c>
      <c r="AA322" s="1" t="s">
        <v>2381</v>
      </c>
      <c r="AB322" s="1" t="s">
        <v>55</v>
      </c>
      <c r="AC322" s="1" t="str">
        <f t="shared" ref="AC322:AC385" si="144">IF(TRIM(AB322)="","Unknown",PROPER(TRIM(AB322)))</f>
        <v>First Class</v>
      </c>
      <c r="AD322" s="1" t="str">
        <f t="shared" ref="AD322:AD385" si="145">IF(AC322="Unknown","MISSING_SHIP_MODE","OK")</f>
        <v>OK</v>
      </c>
      <c r="AE322" s="1">
        <v>2</v>
      </c>
      <c r="AF322" s="1">
        <v>921.34</v>
      </c>
      <c r="AG322" s="9">
        <v>0.2</v>
      </c>
      <c r="AH322" s="9">
        <f t="shared" ref="AH322:AH385" si="146">IF(RIGHT(AG322,1)="%",VALUE(SUBSTITUTE(AG322,"%",""))/100,AG322)</f>
        <v>0.2</v>
      </c>
      <c r="AI322" s="1" t="str">
        <f t="shared" ref="AI322:AI385" si="147">IF(AG322="","Missing Discount",
IF(AG322&lt;0,"Invalid Negative Discount",
"OK"))</f>
        <v>OK</v>
      </c>
      <c r="AJ322" s="1">
        <v>1474.14</v>
      </c>
      <c r="AK322" s="1">
        <v>968.46</v>
      </c>
      <c r="AL322" s="1">
        <v>505.68</v>
      </c>
      <c r="AM322" s="13">
        <f t="shared" ref="AM322:AM385" si="148">IF(AH322&lt;0,"INVALID",AE322*AF322*(1-AH322))</f>
        <v>1474.1440000000002</v>
      </c>
      <c r="AN322" s="9">
        <f t="shared" ref="AN322:AN385" si="149">IF(AM322="INVALID","INVALID",
AM322-AK322)</f>
        <v>505.6840000000002</v>
      </c>
      <c r="AO322" s="9">
        <f t="shared" si="131"/>
        <v>0.34303568715132315</v>
      </c>
      <c r="AP322" s="1" t="s">
        <v>33</v>
      </c>
      <c r="AQ322" s="1" t="str">
        <f t="shared" ref="AQ322:AQ385" si="150">PROPER(TRIM(SUBSTITUTE(AP322,CHAR(160)," ")))</f>
        <v>Paid</v>
      </c>
      <c r="AR322" s="1" t="str">
        <f t="shared" ref="AR322:AR385" si="151">IF(AQ322="Failed","EXCLUDE_FROM_SALES",
IF(AQ322="Refunded","REFUNDED_PAYMENT",
"OK"))</f>
        <v>OK</v>
      </c>
      <c r="AS322" s="1" t="s">
        <v>34</v>
      </c>
      <c r="AT322" s="4" t="str">
        <f t="shared" ref="AT322:AT385" si="152">PROPER(TRIM(SUBSTITUTE(AS322,CHAR(160)," ")))</f>
        <v>Completed</v>
      </c>
      <c r="AU322" s="3" t="str">
        <f t="shared" ref="AU322:AU385" si="153">IF(AT322="Cancelled","EXCLUDE_FROM_SALES",
IF(AT322="Returned","RETURNED_ORDER",
"OK"))</f>
        <v>OK</v>
      </c>
      <c r="AV322" s="3" t="str">
        <f t="shared" si="132"/>
        <v>CLEAN</v>
      </c>
      <c r="AW322" t="str">
        <f t="shared" si="133"/>
        <v>MATCH</v>
      </c>
      <c r="AX322" t="str">
        <f t="shared" si="134"/>
        <v>MATCH</v>
      </c>
    </row>
    <row r="323" spans="1:50" ht="15.6">
      <c r="A323" s="1" t="s">
        <v>2385</v>
      </c>
      <c r="B323" s="1">
        <f t="shared" si="135"/>
        <v>1</v>
      </c>
      <c r="C323" s="16">
        <v>45604</v>
      </c>
      <c r="D323" s="16">
        <v>45604</v>
      </c>
      <c r="E323" s="16" t="str">
        <f t="shared" ref="E323:E386" si="154">TEXT(D323,"mmm")</f>
        <v>Nov</v>
      </c>
      <c r="F323" s="1">
        <f t="shared" ref="F323:F386" si="155">YEAR(D323)</f>
        <v>2024</v>
      </c>
      <c r="G323" t="s">
        <v>1440</v>
      </c>
      <c r="H323" s="17">
        <v>45473</v>
      </c>
      <c r="I323" s="21">
        <f t="shared" ref="I323:I386" si="156">H323-D323</f>
        <v>-131</v>
      </c>
      <c r="J323" s="6" t="str">
        <f t="shared" ref="J323:J386" si="157">IF(I323&lt;0,"INVALID_SHIPPING","OK")</f>
        <v>INVALID_SHIPPING</v>
      </c>
      <c r="K323" s="1" t="s">
        <v>2387</v>
      </c>
      <c r="L323" s="1" t="s">
        <v>158</v>
      </c>
      <c r="M323" s="1" t="str">
        <f t="shared" si="136"/>
        <v>Sneha Kapoor</v>
      </c>
      <c r="N323" s="1" t="s">
        <v>40</v>
      </c>
      <c r="O323" s="1" t="str">
        <f t="shared" si="137"/>
        <v>Small Business</v>
      </c>
      <c r="P323" s="1" t="s">
        <v>71</v>
      </c>
      <c r="Q323" s="1" t="str">
        <f t="shared" si="138"/>
        <v>West</v>
      </c>
      <c r="R323" s="1" t="str">
        <f t="shared" si="139"/>
        <v>OK</v>
      </c>
      <c r="S323" s="1" t="s">
        <v>72</v>
      </c>
      <c r="T323" s="1" t="str">
        <f t="shared" si="140"/>
        <v>Maharashtra</v>
      </c>
      <c r="U323" s="1" t="s">
        <v>73</v>
      </c>
      <c r="V323" s="1" t="str">
        <f t="shared" si="141"/>
        <v>Mumbai</v>
      </c>
      <c r="W323" s="1" t="s">
        <v>29</v>
      </c>
      <c r="X323" s="1" t="str">
        <f t="shared" si="142"/>
        <v>Office Supplies</v>
      </c>
      <c r="Y323" s="1" t="s">
        <v>30</v>
      </c>
      <c r="Z323" s="1" t="str">
        <f t="shared" si="143"/>
        <v>Paper</v>
      </c>
      <c r="AA323" s="1" t="s">
        <v>2388</v>
      </c>
      <c r="AB323" s="1" t="s">
        <v>47</v>
      </c>
      <c r="AC323" s="1" t="str">
        <f t="shared" si="144"/>
        <v>Same Day</v>
      </c>
      <c r="AD323" s="1" t="str">
        <f t="shared" si="145"/>
        <v>OK</v>
      </c>
      <c r="AE323" s="1">
        <v>2</v>
      </c>
      <c r="AF323" s="1">
        <v>2617.89</v>
      </c>
      <c r="AG323" s="9">
        <v>0.1</v>
      </c>
      <c r="AH323" s="9">
        <f t="shared" si="146"/>
        <v>0.1</v>
      </c>
      <c r="AI323" s="1" t="str">
        <f t="shared" si="147"/>
        <v>OK</v>
      </c>
      <c r="AJ323" s="1">
        <v>4712.2</v>
      </c>
      <c r="AK323" s="1">
        <v>3851.91</v>
      </c>
      <c r="AL323" s="1">
        <v>860.29</v>
      </c>
      <c r="AM323" s="13">
        <f t="shared" si="148"/>
        <v>4712.2020000000002</v>
      </c>
      <c r="AN323" s="9">
        <f t="shared" si="149"/>
        <v>860.29200000000037</v>
      </c>
      <c r="AO323" s="9">
        <f t="shared" ref="AO323:AO386" si="158">IF(OR(AM323="INVALID",AN323="INVALID"),"",AN323/AM323)</f>
        <v>0.18256687637754077</v>
      </c>
      <c r="AP323" s="1" t="s">
        <v>186</v>
      </c>
      <c r="AQ323" s="1" t="str">
        <f t="shared" si="150"/>
        <v>Failed</v>
      </c>
      <c r="AR323" s="1" t="str">
        <f t="shared" si="151"/>
        <v>EXCLUDE_FROM_SALES</v>
      </c>
      <c r="AS323" s="1" t="s">
        <v>120</v>
      </c>
      <c r="AT323" s="4" t="str">
        <f t="shared" si="152"/>
        <v>Returned</v>
      </c>
      <c r="AU323" s="3" t="str">
        <f t="shared" si="153"/>
        <v>RETURNED_ORDER</v>
      </c>
      <c r="AV323" s="3" t="str">
        <f t="shared" ref="AV323:AV386" si="159">IF(OR(AI323&lt;&gt;"OK",J323="INVALID_SHIPPING"),
"INVALID",
IF(OR(R323&lt;&gt;"OK",AD323&lt;&gt;"OK"),
"WARNING",
"CLEAN"))</f>
        <v>INVALID</v>
      </c>
      <c r="AW323" t="str">
        <f t="shared" ref="AW323:AW386" si="160">IF(AM323="INVALID","INVALID",
IF(ROUND(AJ323,2)=ROUND(AM323,2),"MATCH","MISMATCH"))</f>
        <v>MATCH</v>
      </c>
      <c r="AX323" t="str">
        <f t="shared" ref="AX323:AX386" si="161">IF(AN323="INVALID","INVALID",IF(ROUND(AL323,2)=ROUND(AN323,2),"MATCH","MISMATCH"))</f>
        <v>MATCH</v>
      </c>
    </row>
    <row r="324" spans="1:50" ht="15.6" hidden="1">
      <c r="A324" s="1" t="s">
        <v>2389</v>
      </c>
      <c r="B324" s="1">
        <f t="shared" si="135"/>
        <v>1</v>
      </c>
      <c r="C324" s="16">
        <v>45445</v>
      </c>
      <c r="D324" s="16">
        <v>45445</v>
      </c>
      <c r="E324" s="16" t="str">
        <f t="shared" si="154"/>
        <v>Jun</v>
      </c>
      <c r="F324" s="1">
        <f t="shared" si="155"/>
        <v>2024</v>
      </c>
      <c r="G324" t="s">
        <v>1444</v>
      </c>
      <c r="H324" s="17">
        <v>45637</v>
      </c>
      <c r="I324" s="21">
        <f t="shared" si="156"/>
        <v>192</v>
      </c>
      <c r="J324" s="6" t="str">
        <f t="shared" si="157"/>
        <v>OK</v>
      </c>
      <c r="K324" s="1" t="s">
        <v>2391</v>
      </c>
      <c r="L324" s="1" t="s">
        <v>59</v>
      </c>
      <c r="M324" s="1" t="str">
        <f t="shared" si="136"/>
        <v>Arjun Bose</v>
      </c>
      <c r="N324" s="1" t="s">
        <v>110</v>
      </c>
      <c r="O324" s="1" t="str">
        <f t="shared" si="137"/>
        <v>Home Office</v>
      </c>
      <c r="P324" s="1" t="s">
        <v>26</v>
      </c>
      <c r="Q324" s="1" t="str">
        <f t="shared" si="138"/>
        <v>North</v>
      </c>
      <c r="R324" s="1" t="str">
        <f t="shared" si="139"/>
        <v>OK</v>
      </c>
      <c r="S324" s="1" t="s">
        <v>163</v>
      </c>
      <c r="T324" s="1" t="str">
        <f t="shared" si="140"/>
        <v>Uttar Pradesh</v>
      </c>
      <c r="U324" s="1" t="s">
        <v>164</v>
      </c>
      <c r="V324" s="1" t="str">
        <f t="shared" si="141"/>
        <v>Noida</v>
      </c>
      <c r="W324" s="1" t="s">
        <v>44</v>
      </c>
      <c r="X324" s="1" t="str">
        <f t="shared" si="142"/>
        <v>Furniture</v>
      </c>
      <c r="Y324" s="1" t="s">
        <v>63</v>
      </c>
      <c r="Z324" s="1" t="str">
        <f t="shared" si="143"/>
        <v>Furnishings</v>
      </c>
      <c r="AA324" s="1" t="s">
        <v>798</v>
      </c>
      <c r="AB324" s="1" t="s">
        <v>47</v>
      </c>
      <c r="AC324" s="1" t="str">
        <f t="shared" si="144"/>
        <v>Same Day</v>
      </c>
      <c r="AD324" s="1" t="str">
        <f t="shared" si="145"/>
        <v>OK</v>
      </c>
      <c r="AE324" s="1">
        <v>1</v>
      </c>
      <c r="AF324" s="1">
        <v>1374.06</v>
      </c>
      <c r="AG324" s="9">
        <v>0.05</v>
      </c>
      <c r="AH324" s="9">
        <f t="shared" si="146"/>
        <v>0.05</v>
      </c>
      <c r="AI324" s="1" t="str">
        <f t="shared" si="147"/>
        <v>OK</v>
      </c>
      <c r="AJ324" s="1">
        <v>1305.3599999999999</v>
      </c>
      <c r="AK324" s="1">
        <v>731.89</v>
      </c>
      <c r="AL324" s="1">
        <v>573.47</v>
      </c>
      <c r="AM324" s="13">
        <f t="shared" si="148"/>
        <v>1305.357</v>
      </c>
      <c r="AN324" s="9">
        <f t="shared" si="149"/>
        <v>573.46699999999998</v>
      </c>
      <c r="AO324" s="9">
        <f t="shared" si="158"/>
        <v>0.4393181328939133</v>
      </c>
      <c r="AP324" s="1" t="s">
        <v>33</v>
      </c>
      <c r="AQ324" s="1" t="str">
        <f t="shared" si="150"/>
        <v>Paid</v>
      </c>
      <c r="AR324" s="1" t="str">
        <f t="shared" si="151"/>
        <v>OK</v>
      </c>
      <c r="AS324" s="1" t="s">
        <v>34</v>
      </c>
      <c r="AT324" s="4" t="str">
        <f t="shared" si="152"/>
        <v>Completed</v>
      </c>
      <c r="AU324" s="3" t="str">
        <f t="shared" si="153"/>
        <v>OK</v>
      </c>
      <c r="AV324" s="3" t="str">
        <f t="shared" si="159"/>
        <v>CLEAN</v>
      </c>
      <c r="AW324" t="str">
        <f t="shared" si="160"/>
        <v>MATCH</v>
      </c>
      <c r="AX324" t="str">
        <f t="shared" si="161"/>
        <v>MATCH</v>
      </c>
    </row>
    <row r="325" spans="1:50" ht="15.6" hidden="1">
      <c r="A325" s="1" t="s">
        <v>2392</v>
      </c>
      <c r="B325" s="1">
        <f t="shared" si="135"/>
        <v>1</v>
      </c>
      <c r="C325" s="16">
        <v>45312</v>
      </c>
      <c r="D325" s="16">
        <v>45312</v>
      </c>
      <c r="E325" s="16" t="str">
        <f t="shared" si="154"/>
        <v>Jan</v>
      </c>
      <c r="F325" s="1">
        <f t="shared" si="155"/>
        <v>2024</v>
      </c>
      <c r="G325" t="s">
        <v>1449</v>
      </c>
      <c r="H325" s="17">
        <v>45351</v>
      </c>
      <c r="I325" s="21">
        <f t="shared" si="156"/>
        <v>39</v>
      </c>
      <c r="J325" s="6" t="str">
        <f t="shared" si="157"/>
        <v>OK</v>
      </c>
      <c r="K325" s="1" t="s">
        <v>2394</v>
      </c>
      <c r="L325" s="1" t="s">
        <v>334</v>
      </c>
      <c r="M325" s="1" t="str">
        <f t="shared" si="136"/>
        <v>Kabir Singh</v>
      </c>
      <c r="N325" s="1" t="s">
        <v>104</v>
      </c>
      <c r="O325" s="1" t="str">
        <f t="shared" si="137"/>
        <v>Corporate</v>
      </c>
      <c r="P325" s="1" t="s">
        <v>26</v>
      </c>
      <c r="Q325" s="1" t="str">
        <f t="shared" si="138"/>
        <v>North</v>
      </c>
      <c r="R325" s="1" t="str">
        <f t="shared" si="139"/>
        <v>OK</v>
      </c>
      <c r="S325" s="1" t="s">
        <v>146</v>
      </c>
      <c r="T325" s="1" t="str">
        <f t="shared" si="140"/>
        <v>Punjab</v>
      </c>
      <c r="U325" s="1" t="s">
        <v>147</v>
      </c>
      <c r="V325" s="1" t="str">
        <f t="shared" si="141"/>
        <v>Ludhiana</v>
      </c>
      <c r="W325" s="1" t="s">
        <v>83</v>
      </c>
      <c r="X325" s="1" t="str">
        <f t="shared" si="142"/>
        <v>Technology</v>
      </c>
      <c r="Y325" s="1" t="s">
        <v>347</v>
      </c>
      <c r="Z325" s="1" t="str">
        <f t="shared" si="143"/>
        <v>Machines</v>
      </c>
      <c r="AA325" s="1" t="s">
        <v>2395</v>
      </c>
      <c r="AB325" s="1" t="s">
        <v>47</v>
      </c>
      <c r="AC325" s="1" t="str">
        <f t="shared" si="144"/>
        <v>Same Day</v>
      </c>
      <c r="AD325" s="1" t="str">
        <f t="shared" si="145"/>
        <v>OK</v>
      </c>
      <c r="AE325" s="1">
        <v>1</v>
      </c>
      <c r="AF325" s="1">
        <v>3806.3</v>
      </c>
      <c r="AG325" s="9">
        <v>0.25</v>
      </c>
      <c r="AH325" s="9">
        <f t="shared" si="146"/>
        <v>0.25</v>
      </c>
      <c r="AI325" s="1" t="str">
        <f t="shared" si="147"/>
        <v>OK</v>
      </c>
      <c r="AJ325" s="1">
        <v>2854.73</v>
      </c>
      <c r="AK325" s="1">
        <v>1968.12</v>
      </c>
      <c r="AL325" s="1">
        <v>886.61</v>
      </c>
      <c r="AM325" s="13">
        <f t="shared" si="148"/>
        <v>2854.7250000000004</v>
      </c>
      <c r="AN325" s="9">
        <f t="shared" si="149"/>
        <v>886.60500000000047</v>
      </c>
      <c r="AO325" s="9">
        <f t="shared" si="158"/>
        <v>0.31057457373302172</v>
      </c>
      <c r="AP325" s="1" t="s">
        <v>33</v>
      </c>
      <c r="AQ325" s="1" t="str">
        <f t="shared" si="150"/>
        <v>Paid</v>
      </c>
      <c r="AR325" s="1" t="str">
        <f t="shared" si="151"/>
        <v>OK</v>
      </c>
      <c r="AS325" s="1" t="s">
        <v>34</v>
      </c>
      <c r="AT325" s="4" t="str">
        <f t="shared" si="152"/>
        <v>Completed</v>
      </c>
      <c r="AU325" s="3" t="str">
        <f t="shared" si="153"/>
        <v>OK</v>
      </c>
      <c r="AV325" s="3" t="str">
        <f t="shared" si="159"/>
        <v>CLEAN</v>
      </c>
      <c r="AW325" t="str">
        <f t="shared" si="160"/>
        <v>MATCH</v>
      </c>
      <c r="AX325" t="str">
        <f t="shared" si="161"/>
        <v>MATCH</v>
      </c>
    </row>
    <row r="326" spans="1:50" ht="15.6" hidden="1">
      <c r="A326" s="1" t="s">
        <v>2408</v>
      </c>
      <c r="B326" s="1">
        <f t="shared" si="135"/>
        <v>1</v>
      </c>
      <c r="C326" s="16">
        <v>45323</v>
      </c>
      <c r="D326" s="16">
        <v>45323</v>
      </c>
      <c r="E326" s="16" t="str">
        <f t="shared" si="154"/>
        <v>Feb</v>
      </c>
      <c r="F326" s="1">
        <f t="shared" si="155"/>
        <v>2024</v>
      </c>
      <c r="G326" t="s">
        <v>836</v>
      </c>
      <c r="H326" s="17">
        <v>45696</v>
      </c>
      <c r="I326" s="21">
        <f t="shared" si="156"/>
        <v>373</v>
      </c>
      <c r="J326" s="6" t="str">
        <f t="shared" si="157"/>
        <v>OK</v>
      </c>
      <c r="K326" s="1" t="s">
        <v>2410</v>
      </c>
      <c r="L326" s="1" t="s">
        <v>196</v>
      </c>
      <c r="M326" s="1" t="str">
        <f t="shared" si="136"/>
        <v>Diya Patel</v>
      </c>
      <c r="N326" s="1" t="s">
        <v>104</v>
      </c>
      <c r="O326" s="1" t="str">
        <f t="shared" si="137"/>
        <v>Corporate</v>
      </c>
      <c r="P326" s="1" t="s">
        <v>26</v>
      </c>
      <c r="Q326" s="1" t="str">
        <f t="shared" si="138"/>
        <v>North</v>
      </c>
      <c r="R326" s="1" t="str">
        <f t="shared" si="139"/>
        <v>OK</v>
      </c>
      <c r="S326" s="1" t="s">
        <v>454</v>
      </c>
      <c r="T326" s="1" t="str">
        <f t="shared" si="140"/>
        <v>Delhi</v>
      </c>
      <c r="U326" s="1" t="s">
        <v>455</v>
      </c>
      <c r="V326" s="1" t="str">
        <f t="shared" si="141"/>
        <v>New Delhi</v>
      </c>
      <c r="W326" s="1" t="s">
        <v>83</v>
      </c>
      <c r="X326" s="1" t="str">
        <f t="shared" si="142"/>
        <v>Technology</v>
      </c>
      <c r="Y326" s="1" t="s">
        <v>207</v>
      </c>
      <c r="Z326" s="1" t="str">
        <f t="shared" si="143"/>
        <v>Phones</v>
      </c>
      <c r="AA326" s="1" t="s">
        <v>2411</v>
      </c>
      <c r="AB326" s="1" t="s">
        <v>65</v>
      </c>
      <c r="AC326" s="1" t="str">
        <f t="shared" si="144"/>
        <v>Standard Class</v>
      </c>
      <c r="AD326" s="1" t="str">
        <f t="shared" si="145"/>
        <v>OK</v>
      </c>
      <c r="AE326" s="1">
        <v>3</v>
      </c>
      <c r="AF326" s="1">
        <v>739.56</v>
      </c>
      <c r="AG326" s="9">
        <v>0.2</v>
      </c>
      <c r="AH326" s="9">
        <f t="shared" si="146"/>
        <v>0.2</v>
      </c>
      <c r="AI326" s="1" t="str">
        <f t="shared" si="147"/>
        <v>OK</v>
      </c>
      <c r="AJ326" s="1">
        <v>1774.94</v>
      </c>
      <c r="AK326" s="1">
        <v>1007.4</v>
      </c>
      <c r="AL326" s="1">
        <v>767.54</v>
      </c>
      <c r="AM326" s="13">
        <f t="shared" si="148"/>
        <v>1774.944</v>
      </c>
      <c r="AN326" s="9">
        <f t="shared" si="149"/>
        <v>767.54399999999998</v>
      </c>
      <c r="AO326" s="9">
        <f t="shared" si="158"/>
        <v>0.43243279787982042</v>
      </c>
      <c r="AP326" s="1" t="s">
        <v>33</v>
      </c>
      <c r="AQ326" s="1" t="str">
        <f t="shared" si="150"/>
        <v>Paid</v>
      </c>
      <c r="AR326" s="1" t="str">
        <f t="shared" si="151"/>
        <v>OK</v>
      </c>
      <c r="AS326" s="1" t="s">
        <v>34</v>
      </c>
      <c r="AT326" s="4" t="str">
        <f t="shared" si="152"/>
        <v>Completed</v>
      </c>
      <c r="AU326" s="3" t="str">
        <f t="shared" si="153"/>
        <v>OK</v>
      </c>
      <c r="AV326" s="3" t="str">
        <f t="shared" si="159"/>
        <v>CLEAN</v>
      </c>
      <c r="AW326" t="str">
        <f t="shared" si="160"/>
        <v>MATCH</v>
      </c>
      <c r="AX326" t="str">
        <f t="shared" si="161"/>
        <v>MATCH</v>
      </c>
    </row>
    <row r="327" spans="1:50" ht="15.6" hidden="1">
      <c r="A327" s="1" t="s">
        <v>2416</v>
      </c>
      <c r="B327" s="1">
        <f t="shared" si="135"/>
        <v>1</v>
      </c>
      <c r="C327" s="16">
        <v>45342</v>
      </c>
      <c r="D327" s="16">
        <v>45342</v>
      </c>
      <c r="E327" s="16" t="str">
        <f t="shared" si="154"/>
        <v>Feb</v>
      </c>
      <c r="F327" s="1">
        <f t="shared" si="155"/>
        <v>2024</v>
      </c>
      <c r="G327" t="s">
        <v>1455</v>
      </c>
      <c r="H327" s="17">
        <v>45922</v>
      </c>
      <c r="I327" s="21">
        <f t="shared" si="156"/>
        <v>580</v>
      </c>
      <c r="J327" s="6" t="str">
        <f t="shared" si="157"/>
        <v>OK</v>
      </c>
      <c r="K327" s="1" t="s">
        <v>1081</v>
      </c>
      <c r="L327" s="1" t="s">
        <v>196</v>
      </c>
      <c r="M327" s="1" t="str">
        <f t="shared" si="136"/>
        <v>Diya Patel</v>
      </c>
      <c r="N327" s="1" t="s">
        <v>110</v>
      </c>
      <c r="O327" s="1" t="str">
        <f t="shared" si="137"/>
        <v>Home Office</v>
      </c>
      <c r="P327" s="1" t="s">
        <v>26</v>
      </c>
      <c r="Q327" s="1" t="str">
        <f t="shared" si="138"/>
        <v>North</v>
      </c>
      <c r="R327" s="1" t="str">
        <f t="shared" si="139"/>
        <v>OK</v>
      </c>
      <c r="S327" s="1" t="s">
        <v>146</v>
      </c>
      <c r="T327" s="1" t="str">
        <f t="shared" si="140"/>
        <v>Punjab</v>
      </c>
      <c r="U327" s="1" t="s">
        <v>147</v>
      </c>
      <c r="V327" s="1" t="str">
        <f t="shared" si="141"/>
        <v>Ludhiana</v>
      </c>
      <c r="W327" s="1" t="s">
        <v>83</v>
      </c>
      <c r="X327" s="1" t="str">
        <f t="shared" si="142"/>
        <v>Technology</v>
      </c>
      <c r="Y327" s="1" t="s">
        <v>347</v>
      </c>
      <c r="Z327" s="1" t="str">
        <f t="shared" si="143"/>
        <v>Machines</v>
      </c>
      <c r="AA327" s="1" t="s">
        <v>2417</v>
      </c>
      <c r="AB327" s="1" t="s">
        <v>65</v>
      </c>
      <c r="AC327" s="1" t="str">
        <f t="shared" si="144"/>
        <v>Standard Class</v>
      </c>
      <c r="AD327" s="1" t="str">
        <f t="shared" si="145"/>
        <v>OK</v>
      </c>
      <c r="AE327" s="1">
        <v>4</v>
      </c>
      <c r="AF327" s="1">
        <v>1355.8</v>
      </c>
      <c r="AG327" s="9">
        <v>0</v>
      </c>
      <c r="AH327" s="9">
        <f t="shared" si="146"/>
        <v>0</v>
      </c>
      <c r="AI327" s="1" t="str">
        <f t="shared" si="147"/>
        <v>OK</v>
      </c>
      <c r="AJ327" s="1">
        <v>5423.2</v>
      </c>
      <c r="AK327" s="1">
        <v>4072.44</v>
      </c>
      <c r="AL327" s="1">
        <v>1350.76</v>
      </c>
      <c r="AM327" s="13">
        <f t="shared" si="148"/>
        <v>5423.2</v>
      </c>
      <c r="AN327" s="9">
        <f t="shared" si="149"/>
        <v>1350.7599999999998</v>
      </c>
      <c r="AO327" s="9">
        <f t="shared" si="158"/>
        <v>0.24907065938929043</v>
      </c>
      <c r="AP327" s="1" t="s">
        <v>33</v>
      </c>
      <c r="AQ327" s="1" t="str">
        <f t="shared" si="150"/>
        <v>Paid</v>
      </c>
      <c r="AR327" s="1" t="str">
        <f t="shared" si="151"/>
        <v>OK</v>
      </c>
      <c r="AS327" s="1" t="s">
        <v>34</v>
      </c>
      <c r="AT327" s="4" t="str">
        <f t="shared" si="152"/>
        <v>Completed</v>
      </c>
      <c r="AU327" s="3" t="str">
        <f t="shared" si="153"/>
        <v>OK</v>
      </c>
      <c r="AV327" s="3" t="str">
        <f t="shared" si="159"/>
        <v>CLEAN</v>
      </c>
      <c r="AW327" t="str">
        <f t="shared" si="160"/>
        <v>MATCH</v>
      </c>
      <c r="AX327" t="str">
        <f t="shared" si="161"/>
        <v>MATCH</v>
      </c>
    </row>
    <row r="328" spans="1:50" ht="15.6" hidden="1">
      <c r="A328" s="1" t="s">
        <v>2422</v>
      </c>
      <c r="B328" s="1">
        <f t="shared" si="135"/>
        <v>1</v>
      </c>
      <c r="C328" s="16">
        <v>45339</v>
      </c>
      <c r="D328" s="16">
        <v>45339</v>
      </c>
      <c r="E328" s="16" t="str">
        <f t="shared" si="154"/>
        <v>Feb</v>
      </c>
      <c r="F328" s="1">
        <f t="shared" si="155"/>
        <v>2024</v>
      </c>
      <c r="G328" t="s">
        <v>1332</v>
      </c>
      <c r="H328" s="17">
        <v>45860</v>
      </c>
      <c r="I328" s="21">
        <f t="shared" si="156"/>
        <v>521</v>
      </c>
      <c r="J328" s="6" t="str">
        <f t="shared" si="157"/>
        <v>OK</v>
      </c>
      <c r="K328" s="1" t="s">
        <v>2425</v>
      </c>
      <c r="L328" s="1" t="s">
        <v>169</v>
      </c>
      <c r="M328" s="1" t="str">
        <f t="shared" si="136"/>
        <v>Rohan Mehta</v>
      </c>
      <c r="N328" s="1" t="s">
        <v>110</v>
      </c>
      <c r="O328" s="1" t="str">
        <f t="shared" si="137"/>
        <v>Home Office</v>
      </c>
      <c r="P328" s="1"/>
      <c r="Q328" s="1" t="str">
        <f t="shared" si="138"/>
        <v>Unknown</v>
      </c>
      <c r="R328" s="1" t="str">
        <f t="shared" si="139"/>
        <v>MISSING_REGION</v>
      </c>
      <c r="S328" s="1" t="s">
        <v>174</v>
      </c>
      <c r="T328" s="1" t="str">
        <f t="shared" si="140"/>
        <v>Bihar</v>
      </c>
      <c r="U328" s="1" t="s">
        <v>175</v>
      </c>
      <c r="V328" s="1" t="str">
        <f t="shared" si="141"/>
        <v>Patna</v>
      </c>
      <c r="W328" s="1" t="s">
        <v>29</v>
      </c>
      <c r="X328" s="1" t="str">
        <f t="shared" si="142"/>
        <v>Office Supplies</v>
      </c>
      <c r="Y328" s="1" t="s">
        <v>184</v>
      </c>
      <c r="Z328" s="1" t="str">
        <f t="shared" si="143"/>
        <v>Binders</v>
      </c>
      <c r="AA328" s="1" t="s">
        <v>2426</v>
      </c>
      <c r="AB328" s="1" t="s">
        <v>65</v>
      </c>
      <c r="AC328" s="1" t="str">
        <f t="shared" si="144"/>
        <v>Standard Class</v>
      </c>
      <c r="AD328" s="1" t="str">
        <f t="shared" si="145"/>
        <v>OK</v>
      </c>
      <c r="AE328" s="1">
        <v>9</v>
      </c>
      <c r="AF328" s="1">
        <v>2614.46</v>
      </c>
      <c r="AG328" s="9">
        <v>0</v>
      </c>
      <c r="AH328" s="9">
        <f t="shared" si="146"/>
        <v>0</v>
      </c>
      <c r="AI328" s="1" t="str">
        <f t="shared" si="147"/>
        <v>OK</v>
      </c>
      <c r="AJ328" s="1">
        <v>23530.14</v>
      </c>
      <c r="AK328" s="1">
        <v>19537.79</v>
      </c>
      <c r="AL328" s="1">
        <v>3992.35</v>
      </c>
      <c r="AM328" s="13">
        <f t="shared" si="148"/>
        <v>23530.14</v>
      </c>
      <c r="AN328" s="9">
        <f t="shared" si="149"/>
        <v>3992.3499999999985</v>
      </c>
      <c r="AO328" s="9">
        <f t="shared" si="158"/>
        <v>0.16966962372514566</v>
      </c>
      <c r="AP328" s="1" t="s">
        <v>119</v>
      </c>
      <c r="AQ328" s="1" t="str">
        <f t="shared" si="150"/>
        <v>Refunded</v>
      </c>
      <c r="AR328" s="1" t="str">
        <f t="shared" si="151"/>
        <v>REFUNDED_PAYMENT</v>
      </c>
      <c r="AS328" s="1" t="s">
        <v>120</v>
      </c>
      <c r="AT328" s="4" t="str">
        <f t="shared" si="152"/>
        <v>Returned</v>
      </c>
      <c r="AU328" s="3" t="str">
        <f t="shared" si="153"/>
        <v>RETURNED_ORDER</v>
      </c>
      <c r="AV328" s="3" t="str">
        <f t="shared" si="159"/>
        <v>WARNING</v>
      </c>
      <c r="AW328" t="str">
        <f t="shared" si="160"/>
        <v>MATCH</v>
      </c>
      <c r="AX328" t="str">
        <f t="shared" si="161"/>
        <v>MATCH</v>
      </c>
    </row>
    <row r="329" spans="1:50" ht="15.6" hidden="1">
      <c r="A329" s="1" t="s">
        <v>2431</v>
      </c>
      <c r="B329" s="1">
        <f t="shared" si="135"/>
        <v>1</v>
      </c>
      <c r="C329" s="16">
        <v>45343</v>
      </c>
      <c r="D329" s="16">
        <v>45343</v>
      </c>
      <c r="E329" s="16" t="str">
        <f t="shared" si="154"/>
        <v>Feb</v>
      </c>
      <c r="F329" s="1">
        <f t="shared" si="155"/>
        <v>2024</v>
      </c>
      <c r="G329" t="s">
        <v>243</v>
      </c>
      <c r="H329" s="17">
        <v>45500</v>
      </c>
      <c r="I329" s="21">
        <f t="shared" si="156"/>
        <v>157</v>
      </c>
      <c r="J329" s="6" t="str">
        <f t="shared" si="157"/>
        <v>OK</v>
      </c>
      <c r="K329" s="1" t="s">
        <v>377</v>
      </c>
      <c r="L329" s="1" t="s">
        <v>90</v>
      </c>
      <c r="M329" s="1" t="str">
        <f t="shared" si="136"/>
        <v>Neha Gupta</v>
      </c>
      <c r="N329" s="1" t="s">
        <v>40</v>
      </c>
      <c r="O329" s="1" t="str">
        <f t="shared" si="137"/>
        <v>Small Business</v>
      </c>
      <c r="P329" s="1" t="s">
        <v>71</v>
      </c>
      <c r="Q329" s="1" t="str">
        <f t="shared" si="138"/>
        <v>West</v>
      </c>
      <c r="R329" s="1" t="str">
        <f t="shared" si="139"/>
        <v>OK</v>
      </c>
      <c r="S329" s="1" t="s">
        <v>218</v>
      </c>
      <c r="T329" s="1" t="str">
        <f t="shared" si="140"/>
        <v>Gujarat</v>
      </c>
      <c r="U329" s="1" t="s">
        <v>219</v>
      </c>
      <c r="V329" s="1" t="str">
        <f t="shared" si="141"/>
        <v>Ahmedabad</v>
      </c>
      <c r="W329" s="1" t="s">
        <v>83</v>
      </c>
      <c r="X329" s="1" t="str">
        <f t="shared" si="142"/>
        <v>Technology</v>
      </c>
      <c r="Y329" s="1" t="s">
        <v>91</v>
      </c>
      <c r="Z329" s="1" t="str">
        <f t="shared" si="143"/>
        <v>Copiers</v>
      </c>
      <c r="AA329" s="1" t="s">
        <v>2433</v>
      </c>
      <c r="AB329" s="1" t="s">
        <v>55</v>
      </c>
      <c r="AC329" s="1" t="str">
        <f t="shared" si="144"/>
        <v>First Class</v>
      </c>
      <c r="AD329" s="1" t="str">
        <f t="shared" si="145"/>
        <v>OK</v>
      </c>
      <c r="AE329" s="1">
        <v>6</v>
      </c>
      <c r="AF329" s="1">
        <v>2633.65</v>
      </c>
      <c r="AG329" s="9">
        <v>0.05</v>
      </c>
      <c r="AH329" s="9">
        <f t="shared" si="146"/>
        <v>0.05</v>
      </c>
      <c r="AI329" s="1" t="str">
        <f t="shared" si="147"/>
        <v>OK</v>
      </c>
      <c r="AJ329" s="1">
        <v>15011.81</v>
      </c>
      <c r="AK329" s="1">
        <v>9660.36</v>
      </c>
      <c r="AL329" s="1">
        <v>5351.45</v>
      </c>
      <c r="AM329" s="13">
        <f t="shared" si="148"/>
        <v>15011.805</v>
      </c>
      <c r="AN329" s="9">
        <f t="shared" si="149"/>
        <v>5351.4449999999997</v>
      </c>
      <c r="AO329" s="9">
        <f t="shared" si="158"/>
        <v>0.35648244831317749</v>
      </c>
      <c r="AP329" s="1" t="s">
        <v>33</v>
      </c>
      <c r="AQ329" s="1" t="str">
        <f t="shared" si="150"/>
        <v>Paid</v>
      </c>
      <c r="AR329" s="1" t="str">
        <f t="shared" si="151"/>
        <v>OK</v>
      </c>
      <c r="AS329" s="1" t="s">
        <v>34</v>
      </c>
      <c r="AT329" s="4" t="str">
        <f t="shared" si="152"/>
        <v>Completed</v>
      </c>
      <c r="AU329" s="3" t="str">
        <f t="shared" si="153"/>
        <v>OK</v>
      </c>
      <c r="AV329" s="3" t="str">
        <f t="shared" si="159"/>
        <v>CLEAN</v>
      </c>
      <c r="AW329" t="str">
        <f t="shared" si="160"/>
        <v>MATCH</v>
      </c>
      <c r="AX329" t="str">
        <f t="shared" si="161"/>
        <v>MATCH</v>
      </c>
    </row>
    <row r="330" spans="1:50" ht="15.6" hidden="1">
      <c r="A330" s="1" t="s">
        <v>2434</v>
      </c>
      <c r="B330" s="1">
        <f t="shared" si="135"/>
        <v>1</v>
      </c>
      <c r="C330" s="16">
        <v>45462</v>
      </c>
      <c r="D330" s="16">
        <v>45462</v>
      </c>
      <c r="E330" s="16" t="str">
        <f t="shared" si="154"/>
        <v>Jun</v>
      </c>
      <c r="F330" s="1">
        <f t="shared" si="155"/>
        <v>2024</v>
      </c>
      <c r="G330" t="s">
        <v>1260</v>
      </c>
      <c r="H330" s="17">
        <v>45812</v>
      </c>
      <c r="I330" s="21">
        <f t="shared" si="156"/>
        <v>350</v>
      </c>
      <c r="J330" s="6" t="str">
        <f t="shared" si="157"/>
        <v>OK</v>
      </c>
      <c r="K330" s="1" t="s">
        <v>2436</v>
      </c>
      <c r="L330" s="1" t="s">
        <v>153</v>
      </c>
      <c r="M330" s="1" t="str">
        <f t="shared" si="136"/>
        <v>Aarav Sharma</v>
      </c>
      <c r="N330" s="1" t="s">
        <v>40</v>
      </c>
      <c r="O330" s="1" t="str">
        <f t="shared" si="137"/>
        <v>Small Business</v>
      </c>
      <c r="P330" s="1" t="s">
        <v>60</v>
      </c>
      <c r="Q330" s="1" t="str">
        <f t="shared" si="138"/>
        <v>South</v>
      </c>
      <c r="R330" s="1" t="str">
        <f t="shared" si="139"/>
        <v>OK</v>
      </c>
      <c r="S330" s="1" t="s">
        <v>309</v>
      </c>
      <c r="T330" s="1" t="str">
        <f t="shared" si="140"/>
        <v>Tamil Nadu</v>
      </c>
      <c r="U330" s="1" t="s">
        <v>310</v>
      </c>
      <c r="V330" s="1" t="str">
        <f t="shared" si="141"/>
        <v>Chennai</v>
      </c>
      <c r="W330" s="1" t="s">
        <v>29</v>
      </c>
      <c r="X330" s="1" t="str">
        <f t="shared" si="142"/>
        <v>Office Supplies</v>
      </c>
      <c r="Y330" s="1" t="s">
        <v>148</v>
      </c>
      <c r="Z330" s="1" t="str">
        <f t="shared" si="143"/>
        <v>Storage</v>
      </c>
      <c r="AA330" s="1" t="s">
        <v>2437</v>
      </c>
      <c r="AB330" s="1" t="s">
        <v>47</v>
      </c>
      <c r="AC330" s="1" t="str">
        <f t="shared" si="144"/>
        <v>Same Day</v>
      </c>
      <c r="AD330" s="1" t="str">
        <f t="shared" si="145"/>
        <v>OK</v>
      </c>
      <c r="AE330" s="1">
        <v>1</v>
      </c>
      <c r="AF330" s="1">
        <v>3202.41</v>
      </c>
      <c r="AG330" s="9">
        <v>0</v>
      </c>
      <c r="AH330" s="9">
        <f t="shared" si="146"/>
        <v>0</v>
      </c>
      <c r="AI330" s="1" t="str">
        <f t="shared" si="147"/>
        <v>OK</v>
      </c>
      <c r="AJ330" s="1">
        <v>3202.41</v>
      </c>
      <c r="AK330" s="1">
        <v>2608.44</v>
      </c>
      <c r="AL330" s="1">
        <v>593.97</v>
      </c>
      <c r="AM330" s="13">
        <f t="shared" si="148"/>
        <v>3202.41</v>
      </c>
      <c r="AN330" s="9">
        <f t="shared" si="149"/>
        <v>593.9699999999998</v>
      </c>
      <c r="AO330" s="9">
        <f t="shared" si="158"/>
        <v>0.18547593843386695</v>
      </c>
      <c r="AP330" s="1" t="s">
        <v>33</v>
      </c>
      <c r="AQ330" s="1" t="str">
        <f t="shared" si="150"/>
        <v>Paid</v>
      </c>
      <c r="AR330" s="1" t="str">
        <f t="shared" si="151"/>
        <v>OK</v>
      </c>
      <c r="AS330" s="1" t="s">
        <v>34</v>
      </c>
      <c r="AT330" s="4" t="str">
        <f t="shared" si="152"/>
        <v>Completed</v>
      </c>
      <c r="AU330" s="3" t="str">
        <f t="shared" si="153"/>
        <v>OK</v>
      </c>
      <c r="AV330" s="3" t="str">
        <f t="shared" si="159"/>
        <v>CLEAN</v>
      </c>
      <c r="AW330" t="str">
        <f t="shared" si="160"/>
        <v>MATCH</v>
      </c>
      <c r="AX330" t="str">
        <f t="shared" si="161"/>
        <v>MATCH</v>
      </c>
    </row>
    <row r="331" spans="1:50" ht="15.6" hidden="1">
      <c r="A331" s="1" t="s">
        <v>2445</v>
      </c>
      <c r="B331" s="1">
        <f t="shared" si="135"/>
        <v>1</v>
      </c>
      <c r="C331" s="16">
        <v>45580</v>
      </c>
      <c r="D331" s="16">
        <v>45580</v>
      </c>
      <c r="E331" s="16" t="str">
        <f t="shared" si="154"/>
        <v>Oct</v>
      </c>
      <c r="F331" s="1">
        <f t="shared" si="155"/>
        <v>2024</v>
      </c>
      <c r="G331" t="s">
        <v>1468</v>
      </c>
      <c r="H331" s="17">
        <v>45795</v>
      </c>
      <c r="I331" s="21">
        <f t="shared" si="156"/>
        <v>215</v>
      </c>
      <c r="J331" s="6" t="str">
        <f t="shared" si="157"/>
        <v>OK</v>
      </c>
      <c r="K331" s="1" t="s">
        <v>2447</v>
      </c>
      <c r="L331" s="1" t="s">
        <v>70</v>
      </c>
      <c r="M331" s="1" t="str">
        <f t="shared" si="136"/>
        <v>Ananya Rao</v>
      </c>
      <c r="N331" s="1" t="s">
        <v>25</v>
      </c>
      <c r="O331" s="1" t="str">
        <f t="shared" si="137"/>
        <v>Consumer</v>
      </c>
      <c r="P331" s="1" t="s">
        <v>41</v>
      </c>
      <c r="Q331" s="1" t="str">
        <f t="shared" si="138"/>
        <v>East</v>
      </c>
      <c r="R331" s="1" t="str">
        <f t="shared" si="139"/>
        <v>OK</v>
      </c>
      <c r="S331" s="1" t="s">
        <v>42</v>
      </c>
      <c r="T331" s="1" t="str">
        <f t="shared" si="140"/>
        <v>Odisha</v>
      </c>
      <c r="U331" s="1" t="s">
        <v>43</v>
      </c>
      <c r="V331" s="1" t="str">
        <f t="shared" si="141"/>
        <v>Bhubaneswar</v>
      </c>
      <c r="W331" s="1" t="s">
        <v>29</v>
      </c>
      <c r="X331" s="1" t="str">
        <f t="shared" si="142"/>
        <v>Office Supplies</v>
      </c>
      <c r="Y331" s="1" t="s">
        <v>53</v>
      </c>
      <c r="Z331" s="1" t="str">
        <f t="shared" si="143"/>
        <v>Art</v>
      </c>
      <c r="AA331" s="1" t="s">
        <v>2448</v>
      </c>
      <c r="AB331" s="1" t="s">
        <v>55</v>
      </c>
      <c r="AC331" s="1" t="str">
        <f t="shared" si="144"/>
        <v>First Class</v>
      </c>
      <c r="AD331" s="1" t="str">
        <f t="shared" si="145"/>
        <v>OK</v>
      </c>
      <c r="AE331" s="1">
        <v>5</v>
      </c>
      <c r="AF331" s="1">
        <v>671.24</v>
      </c>
      <c r="AG331" s="9">
        <v>0</v>
      </c>
      <c r="AH331" s="9">
        <f t="shared" si="146"/>
        <v>0</v>
      </c>
      <c r="AI331" s="1" t="str">
        <f t="shared" si="147"/>
        <v>OK</v>
      </c>
      <c r="AJ331" s="1">
        <v>3356.2</v>
      </c>
      <c r="AK331" s="1">
        <v>2205.7199999999998</v>
      </c>
      <c r="AL331" s="1">
        <v>1150.48</v>
      </c>
      <c r="AM331" s="13">
        <f t="shared" si="148"/>
        <v>3356.2</v>
      </c>
      <c r="AN331" s="9">
        <f t="shared" si="149"/>
        <v>1150.48</v>
      </c>
      <c r="AO331" s="9">
        <f t="shared" si="158"/>
        <v>0.34279244383528995</v>
      </c>
      <c r="AP331" s="1" t="s">
        <v>131</v>
      </c>
      <c r="AQ331" s="1" t="str">
        <f t="shared" si="150"/>
        <v>Pending</v>
      </c>
      <c r="AR331" s="1" t="str">
        <f t="shared" si="151"/>
        <v>OK</v>
      </c>
      <c r="AS331" s="1" t="s">
        <v>120</v>
      </c>
      <c r="AT331" s="4" t="str">
        <f t="shared" si="152"/>
        <v>Returned</v>
      </c>
      <c r="AU331" s="3" t="str">
        <f t="shared" si="153"/>
        <v>RETURNED_ORDER</v>
      </c>
      <c r="AV331" s="3" t="str">
        <f t="shared" si="159"/>
        <v>CLEAN</v>
      </c>
      <c r="AW331" t="str">
        <f t="shared" si="160"/>
        <v>MATCH</v>
      </c>
      <c r="AX331" t="str">
        <f t="shared" si="161"/>
        <v>MATCH</v>
      </c>
    </row>
    <row r="332" spans="1:50" ht="15.6" hidden="1">
      <c r="A332" s="1" t="s">
        <v>2449</v>
      </c>
      <c r="B332" s="1">
        <f t="shared" si="135"/>
        <v>1</v>
      </c>
      <c r="C332" s="16">
        <v>45350</v>
      </c>
      <c r="D332" s="16">
        <v>45350</v>
      </c>
      <c r="E332" s="16" t="str">
        <f t="shared" si="154"/>
        <v>Feb</v>
      </c>
      <c r="F332" s="1">
        <f t="shared" si="155"/>
        <v>2024</v>
      </c>
      <c r="G332" t="s">
        <v>632</v>
      </c>
      <c r="H332" s="17">
        <v>45436</v>
      </c>
      <c r="I332" s="21">
        <f t="shared" si="156"/>
        <v>86</v>
      </c>
      <c r="J332" s="6" t="str">
        <f t="shared" si="157"/>
        <v>OK</v>
      </c>
      <c r="K332" s="1" t="s">
        <v>2451</v>
      </c>
      <c r="L332" s="1" t="s">
        <v>169</v>
      </c>
      <c r="M332" s="1" t="str">
        <f t="shared" si="136"/>
        <v>Rohan Mehta</v>
      </c>
      <c r="N332" s="1" t="s">
        <v>40</v>
      </c>
      <c r="O332" s="1" t="str">
        <f t="shared" si="137"/>
        <v>Small Business</v>
      </c>
      <c r="P332" s="1" t="s">
        <v>41</v>
      </c>
      <c r="Q332" s="1" t="str">
        <f t="shared" si="138"/>
        <v>East</v>
      </c>
      <c r="R332" s="1" t="str">
        <f t="shared" si="139"/>
        <v>OK</v>
      </c>
      <c r="S332" s="1" t="s">
        <v>116</v>
      </c>
      <c r="T332" s="1" t="str">
        <f t="shared" si="140"/>
        <v>West Bengal</v>
      </c>
      <c r="U332" s="1" t="s">
        <v>117</v>
      </c>
      <c r="V332" s="1" t="str">
        <f t="shared" si="141"/>
        <v>Kolkata</v>
      </c>
      <c r="W332" s="1" t="s">
        <v>29</v>
      </c>
      <c r="X332" s="1" t="str">
        <f t="shared" si="142"/>
        <v>Office Supplies</v>
      </c>
      <c r="Y332" s="1" t="s">
        <v>148</v>
      </c>
      <c r="Z332" s="1" t="str">
        <f t="shared" si="143"/>
        <v>Storage</v>
      </c>
      <c r="AA332" s="1" t="s">
        <v>2452</v>
      </c>
      <c r="AB332" s="1" t="s">
        <v>55</v>
      </c>
      <c r="AC332" s="1" t="str">
        <f t="shared" si="144"/>
        <v>First Class</v>
      </c>
      <c r="AD332" s="1" t="str">
        <f t="shared" si="145"/>
        <v>OK</v>
      </c>
      <c r="AE332" s="1">
        <v>1</v>
      </c>
      <c r="AF332" s="1">
        <v>2626.84</v>
      </c>
      <c r="AG332" s="9">
        <v>0.2</v>
      </c>
      <c r="AH332" s="9">
        <f t="shared" si="146"/>
        <v>0.2</v>
      </c>
      <c r="AI332" s="1" t="str">
        <f t="shared" si="147"/>
        <v>OK</v>
      </c>
      <c r="AJ332" s="1">
        <v>2101.4699999999998</v>
      </c>
      <c r="AK332" s="1">
        <v>1217.83</v>
      </c>
      <c r="AL332" s="1">
        <v>883.64</v>
      </c>
      <c r="AM332" s="13">
        <f t="shared" si="148"/>
        <v>2101.4720000000002</v>
      </c>
      <c r="AN332" s="9">
        <f t="shared" si="149"/>
        <v>883.64200000000028</v>
      </c>
      <c r="AO332" s="9">
        <f t="shared" si="158"/>
        <v>0.42048716328364127</v>
      </c>
      <c r="AP332" s="1" t="s">
        <v>186</v>
      </c>
      <c r="AQ332" s="1" t="str">
        <f t="shared" si="150"/>
        <v>Failed</v>
      </c>
      <c r="AR332" s="1" t="str">
        <f t="shared" si="151"/>
        <v>EXCLUDE_FROM_SALES</v>
      </c>
      <c r="AS332" s="1" t="s">
        <v>120</v>
      </c>
      <c r="AT332" s="4" t="str">
        <f t="shared" si="152"/>
        <v>Returned</v>
      </c>
      <c r="AU332" s="3" t="str">
        <f t="shared" si="153"/>
        <v>RETURNED_ORDER</v>
      </c>
      <c r="AV332" s="3" t="str">
        <f t="shared" si="159"/>
        <v>CLEAN</v>
      </c>
      <c r="AW332" t="str">
        <f t="shared" si="160"/>
        <v>MATCH</v>
      </c>
      <c r="AX332" t="str">
        <f t="shared" si="161"/>
        <v>MATCH</v>
      </c>
    </row>
    <row r="333" spans="1:50" ht="15.6" hidden="1">
      <c r="A333" s="1" t="s">
        <v>2453</v>
      </c>
      <c r="B333" s="1">
        <f t="shared" si="135"/>
        <v>1</v>
      </c>
      <c r="C333" s="16">
        <v>45390</v>
      </c>
      <c r="D333" s="16">
        <v>45390</v>
      </c>
      <c r="E333" s="16" t="str">
        <f t="shared" si="154"/>
        <v>Apr</v>
      </c>
      <c r="F333" s="1">
        <f t="shared" si="155"/>
        <v>2024</v>
      </c>
      <c r="G333" t="s">
        <v>1475</v>
      </c>
      <c r="H333" s="17">
        <v>45632</v>
      </c>
      <c r="I333" s="21">
        <f t="shared" si="156"/>
        <v>242</v>
      </c>
      <c r="J333" s="6" t="str">
        <f t="shared" si="157"/>
        <v>OK</v>
      </c>
      <c r="K333" s="1" t="s">
        <v>2455</v>
      </c>
      <c r="L333" s="1" t="s">
        <v>80</v>
      </c>
      <c r="M333" s="1" t="str">
        <f t="shared" si="136"/>
        <v>Vikram Iyer</v>
      </c>
      <c r="N333" s="1" t="s">
        <v>25</v>
      </c>
      <c r="O333" s="1" t="str">
        <f t="shared" si="137"/>
        <v>Consumer</v>
      </c>
      <c r="P333" s="1" t="s">
        <v>41</v>
      </c>
      <c r="Q333" s="1" t="str">
        <f t="shared" si="138"/>
        <v>East</v>
      </c>
      <c r="R333" s="1" t="str">
        <f t="shared" si="139"/>
        <v>OK</v>
      </c>
      <c r="S333" s="1" t="s">
        <v>174</v>
      </c>
      <c r="T333" s="1" t="str">
        <f t="shared" si="140"/>
        <v>Bihar</v>
      </c>
      <c r="U333" s="1" t="s">
        <v>175</v>
      </c>
      <c r="V333" s="1" t="str">
        <f t="shared" si="141"/>
        <v>Patna</v>
      </c>
      <c r="W333" s="1" t="s">
        <v>29</v>
      </c>
      <c r="X333" s="1" t="str">
        <f t="shared" si="142"/>
        <v>Office Supplies</v>
      </c>
      <c r="Y333" s="1" t="s">
        <v>53</v>
      </c>
      <c r="Z333" s="1" t="str">
        <f t="shared" si="143"/>
        <v>Art</v>
      </c>
      <c r="AA333" s="1" t="s">
        <v>2456</v>
      </c>
      <c r="AB333" s="1" t="s">
        <v>47</v>
      </c>
      <c r="AC333" s="1" t="str">
        <f t="shared" si="144"/>
        <v>Same Day</v>
      </c>
      <c r="AD333" s="1" t="str">
        <f t="shared" si="145"/>
        <v>OK</v>
      </c>
      <c r="AE333" s="1">
        <v>1</v>
      </c>
      <c r="AF333" s="1">
        <v>984.93</v>
      </c>
      <c r="AG333" s="9">
        <v>0.15</v>
      </c>
      <c r="AH333" s="9">
        <f t="shared" si="146"/>
        <v>0.15</v>
      </c>
      <c r="AI333" s="1" t="str">
        <f t="shared" si="147"/>
        <v>OK</v>
      </c>
      <c r="AJ333" s="1">
        <v>837.19</v>
      </c>
      <c r="AK333" s="1">
        <v>583.79</v>
      </c>
      <c r="AL333" s="1">
        <v>253.4</v>
      </c>
      <c r="AM333" s="13">
        <f t="shared" si="148"/>
        <v>837.19049999999993</v>
      </c>
      <c r="AN333" s="9">
        <f t="shared" si="149"/>
        <v>253.40049999999997</v>
      </c>
      <c r="AO333" s="9">
        <f t="shared" si="158"/>
        <v>0.30267961712417901</v>
      </c>
      <c r="AP333" s="1" t="s">
        <v>131</v>
      </c>
      <c r="AQ333" s="1" t="str">
        <f t="shared" si="150"/>
        <v>Pending</v>
      </c>
      <c r="AR333" s="1" t="str">
        <f t="shared" si="151"/>
        <v>OK</v>
      </c>
      <c r="AS333" s="1" t="s">
        <v>120</v>
      </c>
      <c r="AT333" s="4" t="str">
        <f t="shared" si="152"/>
        <v>Returned</v>
      </c>
      <c r="AU333" s="3" t="str">
        <f t="shared" si="153"/>
        <v>RETURNED_ORDER</v>
      </c>
      <c r="AV333" s="3" t="str">
        <f t="shared" si="159"/>
        <v>CLEAN</v>
      </c>
      <c r="AW333" t="str">
        <f t="shared" si="160"/>
        <v>MATCH</v>
      </c>
      <c r="AX333" t="str">
        <f t="shared" si="161"/>
        <v>MATCH</v>
      </c>
    </row>
    <row r="334" spans="1:50" ht="15.6" hidden="1">
      <c r="A334" s="1" t="s">
        <v>2473</v>
      </c>
      <c r="B334" s="1">
        <f t="shared" si="135"/>
        <v>1</v>
      </c>
      <c r="C334" s="16">
        <v>45455</v>
      </c>
      <c r="D334" s="16">
        <v>45455</v>
      </c>
      <c r="E334" s="16" t="str">
        <f t="shared" si="154"/>
        <v>Jun</v>
      </c>
      <c r="F334" s="1">
        <f t="shared" si="155"/>
        <v>2024</v>
      </c>
      <c r="G334" t="s">
        <v>1480</v>
      </c>
      <c r="H334" s="17">
        <v>45805</v>
      </c>
      <c r="I334" s="21">
        <f t="shared" si="156"/>
        <v>350</v>
      </c>
      <c r="J334" s="6" t="str">
        <f t="shared" si="157"/>
        <v>OK</v>
      </c>
      <c r="K334" s="1" t="s">
        <v>2476</v>
      </c>
      <c r="L334" s="1" t="s">
        <v>169</v>
      </c>
      <c r="M334" s="1" t="str">
        <f t="shared" si="136"/>
        <v>Rohan Mehta</v>
      </c>
      <c r="N334" s="1" t="s">
        <v>104</v>
      </c>
      <c r="O334" s="1" t="str">
        <f t="shared" si="137"/>
        <v>Corporate</v>
      </c>
      <c r="P334" s="1" t="s">
        <v>26</v>
      </c>
      <c r="Q334" s="1" t="str">
        <f t="shared" si="138"/>
        <v>North</v>
      </c>
      <c r="R334" s="1" t="str">
        <f t="shared" si="139"/>
        <v>OK</v>
      </c>
      <c r="S334" s="1" t="s">
        <v>163</v>
      </c>
      <c r="T334" s="1" t="str">
        <f t="shared" si="140"/>
        <v>Uttar Pradesh</v>
      </c>
      <c r="U334" s="1" t="s">
        <v>164</v>
      </c>
      <c r="V334" s="1" t="str">
        <f t="shared" si="141"/>
        <v>Noida</v>
      </c>
      <c r="W334" s="1" t="s">
        <v>83</v>
      </c>
      <c r="X334" s="1" t="str">
        <f t="shared" si="142"/>
        <v>Technology</v>
      </c>
      <c r="Y334" s="1" t="s">
        <v>207</v>
      </c>
      <c r="Z334" s="1" t="str">
        <f t="shared" si="143"/>
        <v>Phones</v>
      </c>
      <c r="AA334" s="1" t="s">
        <v>2477</v>
      </c>
      <c r="AB334" s="1" t="s">
        <v>55</v>
      </c>
      <c r="AC334" s="1" t="str">
        <f t="shared" si="144"/>
        <v>First Class</v>
      </c>
      <c r="AD334" s="1" t="str">
        <f t="shared" si="145"/>
        <v>OK</v>
      </c>
      <c r="AE334" s="1">
        <v>3</v>
      </c>
      <c r="AF334" s="1">
        <v>524.75</v>
      </c>
      <c r="AG334" s="9">
        <v>0</v>
      </c>
      <c r="AH334" s="9">
        <f t="shared" si="146"/>
        <v>0</v>
      </c>
      <c r="AI334" s="1" t="str">
        <f t="shared" si="147"/>
        <v>OK</v>
      </c>
      <c r="AJ334" s="1">
        <v>1574.25</v>
      </c>
      <c r="AK334" s="1">
        <v>1326.12</v>
      </c>
      <c r="AL334" s="1">
        <v>248.13</v>
      </c>
      <c r="AM334" s="13">
        <f t="shared" si="148"/>
        <v>1574.25</v>
      </c>
      <c r="AN334" s="9">
        <f t="shared" si="149"/>
        <v>248.13000000000011</v>
      </c>
      <c r="AO334" s="9">
        <f t="shared" si="158"/>
        <v>0.15761791329204389</v>
      </c>
      <c r="AP334" s="1" t="s">
        <v>33</v>
      </c>
      <c r="AQ334" s="1" t="str">
        <f t="shared" si="150"/>
        <v>Paid</v>
      </c>
      <c r="AR334" s="1" t="str">
        <f t="shared" si="151"/>
        <v>OK</v>
      </c>
      <c r="AS334" s="1" t="s">
        <v>34</v>
      </c>
      <c r="AT334" s="4" t="str">
        <f t="shared" si="152"/>
        <v>Completed</v>
      </c>
      <c r="AU334" s="3" t="str">
        <f t="shared" si="153"/>
        <v>OK</v>
      </c>
      <c r="AV334" s="3" t="str">
        <f t="shared" si="159"/>
        <v>CLEAN</v>
      </c>
      <c r="AW334" t="str">
        <f t="shared" si="160"/>
        <v>MATCH</v>
      </c>
      <c r="AX334" t="str">
        <f t="shared" si="161"/>
        <v>MATCH</v>
      </c>
    </row>
    <row r="335" spans="1:50" ht="15.6" hidden="1">
      <c r="A335" s="1" t="s">
        <v>2478</v>
      </c>
      <c r="B335" s="1">
        <f t="shared" si="135"/>
        <v>1</v>
      </c>
      <c r="C335" s="16">
        <v>45441</v>
      </c>
      <c r="D335" s="16">
        <v>45441</v>
      </c>
      <c r="E335" s="16" t="str">
        <f t="shared" si="154"/>
        <v>May</v>
      </c>
      <c r="F335" s="1">
        <f t="shared" si="155"/>
        <v>2024</v>
      </c>
      <c r="G335" t="s">
        <v>1485</v>
      </c>
      <c r="H335" s="17">
        <v>45835</v>
      </c>
      <c r="I335" s="21">
        <f t="shared" si="156"/>
        <v>394</v>
      </c>
      <c r="J335" s="6" t="str">
        <f t="shared" si="157"/>
        <v>OK</v>
      </c>
      <c r="K335" s="1" t="s">
        <v>2480</v>
      </c>
      <c r="L335" s="1" t="s">
        <v>153</v>
      </c>
      <c r="M335" s="1" t="str">
        <f t="shared" si="136"/>
        <v>Aarav Sharma</v>
      </c>
      <c r="N335" s="1" t="s">
        <v>110</v>
      </c>
      <c r="O335" s="1" t="str">
        <f t="shared" si="137"/>
        <v>Home Office</v>
      </c>
      <c r="P335" s="1" t="s">
        <v>26</v>
      </c>
      <c r="Q335" s="1" t="str">
        <f t="shared" si="138"/>
        <v>North</v>
      </c>
      <c r="R335" s="1" t="str">
        <f t="shared" si="139"/>
        <v>OK</v>
      </c>
      <c r="S335" s="1" t="s">
        <v>454</v>
      </c>
      <c r="T335" s="1" t="str">
        <f t="shared" si="140"/>
        <v>Delhi</v>
      </c>
      <c r="U335" s="1" t="s">
        <v>455</v>
      </c>
      <c r="V335" s="1" t="str">
        <f t="shared" si="141"/>
        <v>New Delhi</v>
      </c>
      <c r="W335" s="1" t="s">
        <v>44</v>
      </c>
      <c r="X335" s="1" t="str">
        <f t="shared" si="142"/>
        <v>Furniture</v>
      </c>
      <c r="Y335" s="1" t="s">
        <v>74</v>
      </c>
      <c r="Z335" s="1" t="str">
        <f t="shared" si="143"/>
        <v>Chairs</v>
      </c>
      <c r="AA335" s="1" t="s">
        <v>2481</v>
      </c>
      <c r="AB335" s="1" t="s">
        <v>47</v>
      </c>
      <c r="AC335" s="1" t="str">
        <f t="shared" si="144"/>
        <v>Same Day</v>
      </c>
      <c r="AD335" s="1" t="str">
        <f t="shared" si="145"/>
        <v>OK</v>
      </c>
      <c r="AE335" s="1">
        <v>6</v>
      </c>
      <c r="AF335" s="1">
        <v>3430.35</v>
      </c>
      <c r="AG335" s="9">
        <v>0</v>
      </c>
      <c r="AH335" s="9">
        <f t="shared" si="146"/>
        <v>0</v>
      </c>
      <c r="AI335" s="1" t="str">
        <f t="shared" si="147"/>
        <v>OK</v>
      </c>
      <c r="AJ335" s="1">
        <v>20582.099999999999</v>
      </c>
      <c r="AK335" s="1">
        <v>15897.65</v>
      </c>
      <c r="AL335" s="1">
        <v>4684.45</v>
      </c>
      <c r="AM335" s="13">
        <f t="shared" si="148"/>
        <v>20582.099999999999</v>
      </c>
      <c r="AN335" s="9">
        <f t="shared" si="149"/>
        <v>4684.4499999999989</v>
      </c>
      <c r="AO335" s="9">
        <f t="shared" si="158"/>
        <v>0.22759825285077806</v>
      </c>
      <c r="AP335" s="1" t="s">
        <v>131</v>
      </c>
      <c r="AQ335" s="1" t="str">
        <f t="shared" si="150"/>
        <v>Pending</v>
      </c>
      <c r="AR335" s="1" t="str">
        <f t="shared" si="151"/>
        <v>OK</v>
      </c>
      <c r="AS335" s="1" t="s">
        <v>76</v>
      </c>
      <c r="AT335" s="4" t="str">
        <f t="shared" si="152"/>
        <v>Cancelled</v>
      </c>
      <c r="AU335" s="3" t="str">
        <f t="shared" si="153"/>
        <v>EXCLUDE_FROM_SALES</v>
      </c>
      <c r="AV335" s="3" t="str">
        <f t="shared" si="159"/>
        <v>CLEAN</v>
      </c>
      <c r="AW335" t="str">
        <f t="shared" si="160"/>
        <v>MATCH</v>
      </c>
      <c r="AX335" t="str">
        <f t="shared" si="161"/>
        <v>MATCH</v>
      </c>
    </row>
    <row r="336" spans="1:50" ht="15.6" hidden="1">
      <c r="A336" s="1" t="s">
        <v>2482</v>
      </c>
      <c r="B336" s="1">
        <f t="shared" si="135"/>
        <v>1</v>
      </c>
      <c r="C336" s="16">
        <v>45344</v>
      </c>
      <c r="D336" s="16">
        <v>45344</v>
      </c>
      <c r="E336" s="16" t="str">
        <f t="shared" si="154"/>
        <v>Feb</v>
      </c>
      <c r="F336" s="1">
        <f t="shared" si="155"/>
        <v>2024</v>
      </c>
      <c r="G336" t="s">
        <v>1489</v>
      </c>
      <c r="H336" s="17">
        <v>45552</v>
      </c>
      <c r="I336" s="21">
        <f t="shared" si="156"/>
        <v>208</v>
      </c>
      <c r="J336" s="6" t="str">
        <f t="shared" si="157"/>
        <v>OK</v>
      </c>
      <c r="K336" s="1" t="s">
        <v>2485</v>
      </c>
      <c r="L336" s="1" t="s">
        <v>158</v>
      </c>
      <c r="M336" s="1" t="str">
        <f t="shared" si="136"/>
        <v>Sneha Kapoor</v>
      </c>
      <c r="N336" s="1" t="s">
        <v>25</v>
      </c>
      <c r="O336" s="1" t="str">
        <f t="shared" si="137"/>
        <v>Consumer</v>
      </c>
      <c r="P336" s="1" t="s">
        <v>60</v>
      </c>
      <c r="Q336" s="1" t="str">
        <f t="shared" si="138"/>
        <v>South</v>
      </c>
      <c r="R336" s="1" t="str">
        <f t="shared" si="139"/>
        <v>OK</v>
      </c>
      <c r="S336" s="1" t="s">
        <v>212</v>
      </c>
      <c r="T336" s="1" t="str">
        <f t="shared" si="140"/>
        <v>Karnataka</v>
      </c>
      <c r="U336" s="1" t="s">
        <v>213</v>
      </c>
      <c r="V336" s="1" t="str">
        <f t="shared" si="141"/>
        <v>Bengaluru</v>
      </c>
      <c r="W336" s="1" t="s">
        <v>83</v>
      </c>
      <c r="X336" s="1" t="str">
        <f t="shared" si="142"/>
        <v>Technology</v>
      </c>
      <c r="Y336" s="1" t="s">
        <v>91</v>
      </c>
      <c r="Z336" s="1" t="str">
        <f t="shared" si="143"/>
        <v>Copiers</v>
      </c>
      <c r="AA336" s="1" t="s">
        <v>2486</v>
      </c>
      <c r="AB336" s="1" t="s">
        <v>55</v>
      </c>
      <c r="AC336" s="1" t="str">
        <f t="shared" si="144"/>
        <v>First Class</v>
      </c>
      <c r="AD336" s="1" t="str">
        <f t="shared" si="145"/>
        <v>OK</v>
      </c>
      <c r="AE336" s="1">
        <v>3</v>
      </c>
      <c r="AF336" s="1">
        <v>3545.08</v>
      </c>
      <c r="AG336" s="9">
        <v>0</v>
      </c>
      <c r="AH336" s="9">
        <f t="shared" si="146"/>
        <v>0</v>
      </c>
      <c r="AI336" s="1" t="str">
        <f t="shared" si="147"/>
        <v>OK</v>
      </c>
      <c r="AJ336" s="1">
        <v>10635.24</v>
      </c>
      <c r="AK336" s="1">
        <v>6031.88</v>
      </c>
      <c r="AL336" s="1">
        <v>4603.3599999999997</v>
      </c>
      <c r="AM336" s="13">
        <f t="shared" si="148"/>
        <v>10635.24</v>
      </c>
      <c r="AN336" s="9">
        <f t="shared" si="149"/>
        <v>4603.3599999999997</v>
      </c>
      <c r="AO336" s="9">
        <f t="shared" si="158"/>
        <v>0.43284025560307055</v>
      </c>
      <c r="AP336" s="1" t="s">
        <v>186</v>
      </c>
      <c r="AQ336" s="1" t="str">
        <f t="shared" si="150"/>
        <v>Failed</v>
      </c>
      <c r="AR336" s="1" t="str">
        <f t="shared" si="151"/>
        <v>EXCLUDE_FROM_SALES</v>
      </c>
      <c r="AS336" s="1" t="s">
        <v>120</v>
      </c>
      <c r="AT336" s="4" t="str">
        <f t="shared" si="152"/>
        <v>Returned</v>
      </c>
      <c r="AU336" s="3" t="str">
        <f t="shared" si="153"/>
        <v>RETURNED_ORDER</v>
      </c>
      <c r="AV336" s="3" t="str">
        <f t="shared" si="159"/>
        <v>CLEAN</v>
      </c>
      <c r="AW336" t="str">
        <f t="shared" si="160"/>
        <v>MATCH</v>
      </c>
      <c r="AX336" t="str">
        <f t="shared" si="161"/>
        <v>MATCH</v>
      </c>
    </row>
    <row r="337" spans="1:50" ht="15.6" hidden="1">
      <c r="A337" s="1" t="s">
        <v>2487</v>
      </c>
      <c r="B337" s="1">
        <f t="shared" si="135"/>
        <v>1</v>
      </c>
      <c r="C337" s="16">
        <v>45355</v>
      </c>
      <c r="D337" s="16">
        <v>45355</v>
      </c>
      <c r="E337" s="16" t="str">
        <f t="shared" si="154"/>
        <v>Mar</v>
      </c>
      <c r="F337" s="1">
        <f t="shared" si="155"/>
        <v>2024</v>
      </c>
      <c r="G337" t="s">
        <v>1493</v>
      </c>
      <c r="H337" s="17">
        <v>45826</v>
      </c>
      <c r="I337" s="21">
        <f t="shared" si="156"/>
        <v>471</v>
      </c>
      <c r="J337" s="6" t="str">
        <f t="shared" si="157"/>
        <v>OK</v>
      </c>
      <c r="K337" s="1" t="s">
        <v>2488</v>
      </c>
      <c r="L337" s="1" t="s">
        <v>39</v>
      </c>
      <c r="M337" s="1" t="str">
        <f t="shared" si="136"/>
        <v>Mira Das</v>
      </c>
      <c r="N337" s="1" t="s">
        <v>25</v>
      </c>
      <c r="O337" s="1" t="str">
        <f t="shared" si="137"/>
        <v>Consumer</v>
      </c>
      <c r="P337" s="1" t="s">
        <v>41</v>
      </c>
      <c r="Q337" s="1" t="str">
        <f t="shared" si="138"/>
        <v>East</v>
      </c>
      <c r="R337" s="1" t="str">
        <f t="shared" si="139"/>
        <v>OK</v>
      </c>
      <c r="S337" s="1" t="s">
        <v>116</v>
      </c>
      <c r="T337" s="1" t="str">
        <f t="shared" si="140"/>
        <v>West Bengal</v>
      </c>
      <c r="U337" s="1" t="s">
        <v>117</v>
      </c>
      <c r="V337" s="1" t="str">
        <f t="shared" si="141"/>
        <v>Kolkata</v>
      </c>
      <c r="W337" s="1" t="s">
        <v>83</v>
      </c>
      <c r="X337" s="1" t="str">
        <f t="shared" si="142"/>
        <v>Technology</v>
      </c>
      <c r="Y337" s="1" t="s">
        <v>84</v>
      </c>
      <c r="Z337" s="1" t="str">
        <f t="shared" si="143"/>
        <v>Accessories</v>
      </c>
      <c r="AA337" s="1" t="s">
        <v>2489</v>
      </c>
      <c r="AB337" s="1" t="s">
        <v>47</v>
      </c>
      <c r="AC337" s="1" t="str">
        <f t="shared" si="144"/>
        <v>Same Day</v>
      </c>
      <c r="AD337" s="1" t="str">
        <f t="shared" si="145"/>
        <v>OK</v>
      </c>
      <c r="AE337" s="1">
        <v>8</v>
      </c>
      <c r="AF337" s="1">
        <v>4401.41</v>
      </c>
      <c r="AG337" s="9">
        <v>0.15</v>
      </c>
      <c r="AH337" s="9">
        <f t="shared" si="146"/>
        <v>0.15</v>
      </c>
      <c r="AI337" s="1" t="str">
        <f t="shared" si="147"/>
        <v>OK</v>
      </c>
      <c r="AJ337" s="1">
        <v>29929.59</v>
      </c>
      <c r="AK337" s="1">
        <v>22436.03</v>
      </c>
      <c r="AL337" s="1">
        <v>7493.56</v>
      </c>
      <c r="AM337" s="13">
        <f t="shared" si="148"/>
        <v>29929.588</v>
      </c>
      <c r="AN337" s="9">
        <f t="shared" si="149"/>
        <v>7493.5580000000009</v>
      </c>
      <c r="AO337" s="9">
        <f t="shared" si="158"/>
        <v>0.25037290857461858</v>
      </c>
      <c r="AP337" s="1" t="s">
        <v>33</v>
      </c>
      <c r="AQ337" s="1" t="str">
        <f t="shared" si="150"/>
        <v>Paid</v>
      </c>
      <c r="AR337" s="1" t="str">
        <f t="shared" si="151"/>
        <v>OK</v>
      </c>
      <c r="AS337" s="1" t="s">
        <v>34</v>
      </c>
      <c r="AT337" s="4" t="str">
        <f t="shared" si="152"/>
        <v>Completed</v>
      </c>
      <c r="AU337" s="3" t="str">
        <f t="shared" si="153"/>
        <v>OK</v>
      </c>
      <c r="AV337" s="3" t="str">
        <f t="shared" si="159"/>
        <v>CLEAN</v>
      </c>
      <c r="AW337" t="str">
        <f t="shared" si="160"/>
        <v>MATCH</v>
      </c>
      <c r="AX337" t="str">
        <f t="shared" si="161"/>
        <v>MATCH</v>
      </c>
    </row>
    <row r="338" spans="1:50" ht="15.6">
      <c r="A338" s="1" t="s">
        <v>2493</v>
      </c>
      <c r="B338" s="1">
        <f t="shared" si="135"/>
        <v>1</v>
      </c>
      <c r="C338" s="16">
        <v>45554</v>
      </c>
      <c r="D338" s="16">
        <v>45554</v>
      </c>
      <c r="E338" s="16" t="str">
        <f t="shared" si="154"/>
        <v>Sep</v>
      </c>
      <c r="F338" s="1">
        <f t="shared" si="155"/>
        <v>2024</v>
      </c>
      <c r="G338" t="s">
        <v>1497</v>
      </c>
      <c r="H338" s="17">
        <v>45372</v>
      </c>
      <c r="I338" s="21">
        <f t="shared" si="156"/>
        <v>-182</v>
      </c>
      <c r="J338" s="6" t="str">
        <f t="shared" si="157"/>
        <v>INVALID_SHIPPING</v>
      </c>
      <c r="K338" s="1" t="s">
        <v>2494</v>
      </c>
      <c r="L338" s="1" t="s">
        <v>24</v>
      </c>
      <c r="M338" s="1" t="str">
        <f t="shared" si="136"/>
        <v>Karan Malhotra</v>
      </c>
      <c r="N338" s="1" t="s">
        <v>40</v>
      </c>
      <c r="O338" s="1" t="str">
        <f t="shared" si="137"/>
        <v>Small Business</v>
      </c>
      <c r="P338" s="1" t="s">
        <v>41</v>
      </c>
      <c r="Q338" s="1" t="str">
        <f t="shared" si="138"/>
        <v>East</v>
      </c>
      <c r="R338" s="1" t="str">
        <f t="shared" si="139"/>
        <v>OK</v>
      </c>
      <c r="S338" s="1" t="s">
        <v>116</v>
      </c>
      <c r="T338" s="1" t="str">
        <f t="shared" si="140"/>
        <v>West Bengal</v>
      </c>
      <c r="U338" s="1" t="s">
        <v>117</v>
      </c>
      <c r="V338" s="1" t="str">
        <f t="shared" si="141"/>
        <v>Kolkata</v>
      </c>
      <c r="W338" s="1" t="s">
        <v>44</v>
      </c>
      <c r="X338" s="1" t="str">
        <f t="shared" si="142"/>
        <v>Furniture</v>
      </c>
      <c r="Y338" s="1" t="s">
        <v>74</v>
      </c>
      <c r="Z338" s="1" t="str">
        <f t="shared" si="143"/>
        <v>Chairs</v>
      </c>
      <c r="AA338" s="1" t="s">
        <v>2495</v>
      </c>
      <c r="AB338" s="1" t="s">
        <v>55</v>
      </c>
      <c r="AC338" s="1" t="str">
        <f t="shared" si="144"/>
        <v>First Class</v>
      </c>
      <c r="AD338" s="1" t="str">
        <f t="shared" si="145"/>
        <v>OK</v>
      </c>
      <c r="AE338" s="1">
        <v>3</v>
      </c>
      <c r="AF338" s="1">
        <v>3981.76</v>
      </c>
      <c r="AG338" s="9">
        <v>0</v>
      </c>
      <c r="AH338" s="9">
        <f t="shared" si="146"/>
        <v>0</v>
      </c>
      <c r="AI338" s="1" t="str">
        <f t="shared" si="147"/>
        <v>OK</v>
      </c>
      <c r="AJ338" s="1">
        <v>11945.28</v>
      </c>
      <c r="AK338" s="1">
        <v>9700.31</v>
      </c>
      <c r="AL338" s="1">
        <v>2244.9699999999998</v>
      </c>
      <c r="AM338" s="13">
        <f t="shared" si="148"/>
        <v>11945.28</v>
      </c>
      <c r="AN338" s="9">
        <f t="shared" si="149"/>
        <v>2244.9700000000012</v>
      </c>
      <c r="AO338" s="9">
        <f t="shared" si="158"/>
        <v>0.18793782983739193</v>
      </c>
      <c r="AP338" s="1" t="s">
        <v>33</v>
      </c>
      <c r="AQ338" s="1" t="str">
        <f t="shared" si="150"/>
        <v>Paid</v>
      </c>
      <c r="AR338" s="1" t="str">
        <f t="shared" si="151"/>
        <v>OK</v>
      </c>
      <c r="AS338" s="1" t="s">
        <v>34</v>
      </c>
      <c r="AT338" s="4" t="str">
        <f t="shared" si="152"/>
        <v>Completed</v>
      </c>
      <c r="AU338" s="3" t="str">
        <f t="shared" si="153"/>
        <v>OK</v>
      </c>
      <c r="AV338" s="3" t="str">
        <f t="shared" si="159"/>
        <v>INVALID</v>
      </c>
      <c r="AW338" t="str">
        <f t="shared" si="160"/>
        <v>MATCH</v>
      </c>
      <c r="AX338" t="str">
        <f t="shared" si="161"/>
        <v>MATCH</v>
      </c>
    </row>
    <row r="339" spans="1:50" ht="15.6">
      <c r="A339" s="1" t="s">
        <v>2500</v>
      </c>
      <c r="B339" s="1">
        <f t="shared" si="135"/>
        <v>1</v>
      </c>
      <c r="C339" s="16">
        <v>45569</v>
      </c>
      <c r="D339" s="16">
        <v>45569</v>
      </c>
      <c r="E339" s="16" t="str">
        <f t="shared" si="154"/>
        <v>Oct</v>
      </c>
      <c r="F339" s="1">
        <f t="shared" si="155"/>
        <v>2024</v>
      </c>
      <c r="G339" t="s">
        <v>1500</v>
      </c>
      <c r="H339" s="17">
        <v>45522</v>
      </c>
      <c r="I339" s="21">
        <f t="shared" si="156"/>
        <v>-47</v>
      </c>
      <c r="J339" s="6" t="str">
        <f t="shared" si="157"/>
        <v>INVALID_SHIPPING</v>
      </c>
      <c r="K339" s="1" t="s">
        <v>2501</v>
      </c>
      <c r="L339" s="1" t="s">
        <v>103</v>
      </c>
      <c r="M339" s="1" t="str">
        <f t="shared" si="136"/>
        <v>Aditi Sen</v>
      </c>
      <c r="N339" s="1" t="s">
        <v>25</v>
      </c>
      <c r="O339" s="1" t="str">
        <f t="shared" si="137"/>
        <v>Consumer</v>
      </c>
      <c r="P339" s="1" t="s">
        <v>60</v>
      </c>
      <c r="Q339" s="1" t="str">
        <f t="shared" si="138"/>
        <v>South</v>
      </c>
      <c r="R339" s="1" t="str">
        <f t="shared" si="139"/>
        <v>OK</v>
      </c>
      <c r="S339" s="1" t="s">
        <v>224</v>
      </c>
      <c r="T339" s="1" t="str">
        <f t="shared" si="140"/>
        <v>Kerala</v>
      </c>
      <c r="U339" s="1" t="s">
        <v>225</v>
      </c>
      <c r="V339" s="1" t="str">
        <f t="shared" si="141"/>
        <v>Kochi</v>
      </c>
      <c r="W339" s="1" t="s">
        <v>44</v>
      </c>
      <c r="X339" s="1" t="str">
        <f t="shared" si="142"/>
        <v>Furniture</v>
      </c>
      <c r="Y339" s="1" t="s">
        <v>74</v>
      </c>
      <c r="Z339" s="1" t="str">
        <f t="shared" si="143"/>
        <v>Chairs</v>
      </c>
      <c r="AA339" s="1" t="s">
        <v>2502</v>
      </c>
      <c r="AB339" s="1" t="s">
        <v>32</v>
      </c>
      <c r="AC339" s="1" t="str">
        <f t="shared" si="144"/>
        <v>Second Class</v>
      </c>
      <c r="AD339" s="1" t="str">
        <f t="shared" si="145"/>
        <v>OK</v>
      </c>
      <c r="AE339" s="1">
        <v>9</v>
      </c>
      <c r="AF339" s="1">
        <v>2723.26</v>
      </c>
      <c r="AG339" s="9">
        <v>0.25</v>
      </c>
      <c r="AH339" s="9">
        <f t="shared" si="146"/>
        <v>0.25</v>
      </c>
      <c r="AI339" s="1" t="str">
        <f t="shared" si="147"/>
        <v>OK</v>
      </c>
      <c r="AJ339" s="1">
        <v>18382.009999999998</v>
      </c>
      <c r="AK339" s="1">
        <v>13108.2</v>
      </c>
      <c r="AL339" s="1">
        <v>5273.81</v>
      </c>
      <c r="AM339" s="13">
        <f t="shared" si="148"/>
        <v>18382.005000000005</v>
      </c>
      <c r="AN339" s="9">
        <f t="shared" si="149"/>
        <v>5273.8050000000039</v>
      </c>
      <c r="AO339" s="9">
        <f t="shared" si="158"/>
        <v>0.28690042245119629</v>
      </c>
      <c r="AP339" s="1" t="s">
        <v>33</v>
      </c>
      <c r="AQ339" s="1" t="str">
        <f t="shared" si="150"/>
        <v>Paid</v>
      </c>
      <c r="AR339" s="1" t="str">
        <f t="shared" si="151"/>
        <v>OK</v>
      </c>
      <c r="AS339" s="1" t="s">
        <v>34</v>
      </c>
      <c r="AT339" s="4" t="str">
        <f t="shared" si="152"/>
        <v>Completed</v>
      </c>
      <c r="AU339" s="3" t="str">
        <f t="shared" si="153"/>
        <v>OK</v>
      </c>
      <c r="AV339" s="3" t="str">
        <f t="shared" si="159"/>
        <v>INVALID</v>
      </c>
      <c r="AW339" t="str">
        <f t="shared" si="160"/>
        <v>MATCH</v>
      </c>
      <c r="AX339" t="str">
        <f t="shared" si="161"/>
        <v>MATCH</v>
      </c>
    </row>
    <row r="340" spans="1:50" ht="15.6" hidden="1">
      <c r="A340" s="1" t="s">
        <v>2507</v>
      </c>
      <c r="B340" s="1">
        <f t="shared" si="135"/>
        <v>2</v>
      </c>
      <c r="C340" s="16">
        <v>45521</v>
      </c>
      <c r="D340" s="16">
        <v>45521</v>
      </c>
      <c r="E340" s="16" t="str">
        <f t="shared" si="154"/>
        <v>Aug</v>
      </c>
      <c r="F340" s="1">
        <f t="shared" si="155"/>
        <v>2024</v>
      </c>
      <c r="G340" t="s">
        <v>1288</v>
      </c>
      <c r="H340" s="17">
        <v>45634</v>
      </c>
      <c r="I340" s="21">
        <f t="shared" si="156"/>
        <v>113</v>
      </c>
      <c r="J340" s="6" t="str">
        <f t="shared" si="157"/>
        <v>OK</v>
      </c>
      <c r="K340" s="1" t="s">
        <v>2509</v>
      </c>
      <c r="L340" s="1" t="s">
        <v>70</v>
      </c>
      <c r="M340" s="1" t="str">
        <f t="shared" si="136"/>
        <v>Ananya Rao</v>
      </c>
      <c r="N340" s="1" t="s">
        <v>104</v>
      </c>
      <c r="O340" s="1" t="str">
        <f t="shared" si="137"/>
        <v>Corporate</v>
      </c>
      <c r="P340" s="1" t="s">
        <v>41</v>
      </c>
      <c r="Q340" s="1" t="str">
        <f t="shared" si="138"/>
        <v>East</v>
      </c>
      <c r="R340" s="1" t="str">
        <f t="shared" si="139"/>
        <v>OK</v>
      </c>
      <c r="S340" s="1" t="s">
        <v>116</v>
      </c>
      <c r="T340" s="1" t="str">
        <f t="shared" si="140"/>
        <v>West Bengal</v>
      </c>
      <c r="U340" s="1" t="s">
        <v>117</v>
      </c>
      <c r="V340" s="1" t="str">
        <f t="shared" si="141"/>
        <v>Kolkata</v>
      </c>
      <c r="W340" s="1" t="s">
        <v>83</v>
      </c>
      <c r="X340" s="1" t="str">
        <f t="shared" si="142"/>
        <v>Technology</v>
      </c>
      <c r="Y340" s="1" t="s">
        <v>91</v>
      </c>
      <c r="Z340" s="1" t="str">
        <f t="shared" si="143"/>
        <v>Copiers</v>
      </c>
      <c r="AA340" s="1" t="s">
        <v>2510</v>
      </c>
      <c r="AB340" s="1" t="s">
        <v>47</v>
      </c>
      <c r="AC340" s="1" t="str">
        <f t="shared" si="144"/>
        <v>Same Day</v>
      </c>
      <c r="AD340" s="1" t="str">
        <f t="shared" si="145"/>
        <v>OK</v>
      </c>
      <c r="AE340" s="1">
        <v>3</v>
      </c>
      <c r="AF340" s="1">
        <v>1490.69</v>
      </c>
      <c r="AG340" s="9">
        <v>0.25</v>
      </c>
      <c r="AH340" s="9">
        <f t="shared" si="146"/>
        <v>0.25</v>
      </c>
      <c r="AI340" s="1" t="str">
        <f t="shared" si="147"/>
        <v>OK</v>
      </c>
      <c r="AJ340" s="1">
        <v>3354.05</v>
      </c>
      <c r="AK340" s="1">
        <v>2672.67</v>
      </c>
      <c r="AL340" s="1">
        <v>681.38</v>
      </c>
      <c r="AM340" s="13">
        <f t="shared" si="148"/>
        <v>3354.0524999999998</v>
      </c>
      <c r="AN340" s="9">
        <f t="shared" si="149"/>
        <v>681.38249999999971</v>
      </c>
      <c r="AO340" s="9">
        <f t="shared" si="158"/>
        <v>0.20315200790685289</v>
      </c>
      <c r="AP340" s="1" t="s">
        <v>33</v>
      </c>
      <c r="AQ340" s="1" t="str">
        <f t="shared" si="150"/>
        <v>Paid</v>
      </c>
      <c r="AR340" s="1" t="str">
        <f t="shared" si="151"/>
        <v>OK</v>
      </c>
      <c r="AS340" s="1" t="s">
        <v>34</v>
      </c>
      <c r="AT340" s="4" t="str">
        <f t="shared" si="152"/>
        <v>Completed</v>
      </c>
      <c r="AU340" s="3" t="str">
        <f t="shared" si="153"/>
        <v>OK</v>
      </c>
      <c r="AV340" s="3" t="str">
        <f t="shared" si="159"/>
        <v>CLEAN</v>
      </c>
      <c r="AW340" t="str">
        <f t="shared" si="160"/>
        <v>MATCH</v>
      </c>
      <c r="AX340" t="str">
        <f t="shared" si="161"/>
        <v>MATCH</v>
      </c>
    </row>
    <row r="341" spans="1:50" ht="15.6" hidden="1">
      <c r="A341" s="1" t="s">
        <v>2507</v>
      </c>
      <c r="B341" s="1">
        <f t="shared" si="135"/>
        <v>2</v>
      </c>
      <c r="C341" s="16">
        <v>45521</v>
      </c>
      <c r="D341" s="16">
        <v>45521</v>
      </c>
      <c r="E341" s="16" t="str">
        <f t="shared" si="154"/>
        <v>Aug</v>
      </c>
      <c r="F341" s="1">
        <f t="shared" si="155"/>
        <v>2024</v>
      </c>
      <c r="G341" t="s">
        <v>1507</v>
      </c>
      <c r="H341" s="17">
        <v>45710</v>
      </c>
      <c r="I341" s="21">
        <f t="shared" si="156"/>
        <v>189</v>
      </c>
      <c r="J341" s="6" t="str">
        <f t="shared" si="157"/>
        <v>OK</v>
      </c>
      <c r="K341" s="1" t="s">
        <v>2509</v>
      </c>
      <c r="L341" s="1" t="s">
        <v>70</v>
      </c>
      <c r="M341" s="1" t="str">
        <f t="shared" si="136"/>
        <v>Ananya Rao</v>
      </c>
      <c r="N341" s="1" t="s">
        <v>104</v>
      </c>
      <c r="O341" s="1" t="str">
        <f t="shared" si="137"/>
        <v>Corporate</v>
      </c>
      <c r="P341" s="1" t="s">
        <v>41</v>
      </c>
      <c r="Q341" s="1" t="str">
        <f t="shared" si="138"/>
        <v>East</v>
      </c>
      <c r="R341" s="1" t="str">
        <f t="shared" si="139"/>
        <v>OK</v>
      </c>
      <c r="S341" s="1" t="s">
        <v>116</v>
      </c>
      <c r="T341" s="1" t="str">
        <f t="shared" si="140"/>
        <v>West Bengal</v>
      </c>
      <c r="U341" s="1" t="s">
        <v>117</v>
      </c>
      <c r="V341" s="1" t="str">
        <f t="shared" si="141"/>
        <v>Kolkata</v>
      </c>
      <c r="W341" s="1" t="s">
        <v>83</v>
      </c>
      <c r="X341" s="1" t="str">
        <f t="shared" si="142"/>
        <v>Technology</v>
      </c>
      <c r="Y341" s="1" t="s">
        <v>91</v>
      </c>
      <c r="Z341" s="1" t="str">
        <f t="shared" si="143"/>
        <v>Copiers</v>
      </c>
      <c r="AA341" s="1" t="s">
        <v>2510</v>
      </c>
      <c r="AB341" s="1" t="s">
        <v>47</v>
      </c>
      <c r="AC341" s="1" t="str">
        <f t="shared" si="144"/>
        <v>Same Day</v>
      </c>
      <c r="AD341" s="1" t="str">
        <f t="shared" si="145"/>
        <v>OK</v>
      </c>
      <c r="AE341" s="1">
        <v>3</v>
      </c>
      <c r="AF341" s="1">
        <v>1490.69</v>
      </c>
      <c r="AG341" s="9">
        <v>0.25</v>
      </c>
      <c r="AH341" s="9">
        <f t="shared" si="146"/>
        <v>0.25</v>
      </c>
      <c r="AI341" s="1" t="str">
        <f t="shared" si="147"/>
        <v>OK</v>
      </c>
      <c r="AJ341" s="1">
        <v>3354.05</v>
      </c>
      <c r="AK341" s="1">
        <v>2672.67</v>
      </c>
      <c r="AL341" s="1">
        <v>681.38</v>
      </c>
      <c r="AM341" s="13">
        <f t="shared" si="148"/>
        <v>3354.0524999999998</v>
      </c>
      <c r="AN341" s="9">
        <f t="shared" si="149"/>
        <v>681.38249999999971</v>
      </c>
      <c r="AO341" s="9">
        <f t="shared" si="158"/>
        <v>0.20315200790685289</v>
      </c>
      <c r="AP341" s="1" t="s">
        <v>33</v>
      </c>
      <c r="AQ341" s="1" t="str">
        <f t="shared" si="150"/>
        <v>Paid</v>
      </c>
      <c r="AR341" s="1" t="str">
        <f t="shared" si="151"/>
        <v>OK</v>
      </c>
      <c r="AS341" s="1" t="s">
        <v>34</v>
      </c>
      <c r="AT341" s="4" t="str">
        <f t="shared" si="152"/>
        <v>Completed</v>
      </c>
      <c r="AU341" s="3" t="str">
        <f t="shared" si="153"/>
        <v>OK</v>
      </c>
      <c r="AV341" s="3" t="str">
        <f t="shared" si="159"/>
        <v>CLEAN</v>
      </c>
      <c r="AW341" t="str">
        <f t="shared" si="160"/>
        <v>MATCH</v>
      </c>
      <c r="AX341" t="str">
        <f t="shared" si="161"/>
        <v>MATCH</v>
      </c>
    </row>
    <row r="342" spans="1:50" ht="15.6">
      <c r="A342" s="1" t="s">
        <v>2511</v>
      </c>
      <c r="B342" s="1">
        <f t="shared" si="135"/>
        <v>1</v>
      </c>
      <c r="C342" s="16">
        <v>45523</v>
      </c>
      <c r="D342" s="16">
        <v>45523</v>
      </c>
      <c r="E342" s="16" t="str">
        <f t="shared" si="154"/>
        <v>Aug</v>
      </c>
      <c r="F342" s="1">
        <f t="shared" si="155"/>
        <v>2024</v>
      </c>
      <c r="G342" t="s">
        <v>1511</v>
      </c>
      <c r="H342" s="17">
        <v>45320</v>
      </c>
      <c r="I342" s="21">
        <f t="shared" si="156"/>
        <v>-203</v>
      </c>
      <c r="J342" s="6" t="str">
        <f t="shared" si="157"/>
        <v>INVALID_SHIPPING</v>
      </c>
      <c r="K342" s="1" t="s">
        <v>2513</v>
      </c>
      <c r="L342" s="1" t="s">
        <v>59</v>
      </c>
      <c r="M342" s="1" t="str">
        <f t="shared" si="136"/>
        <v>Arjun Bose</v>
      </c>
      <c r="N342" s="1" t="s">
        <v>25</v>
      </c>
      <c r="O342" s="1" t="str">
        <f t="shared" si="137"/>
        <v>Consumer</v>
      </c>
      <c r="P342" s="1" t="s">
        <v>26</v>
      </c>
      <c r="Q342" s="1" t="str">
        <f t="shared" si="138"/>
        <v>North</v>
      </c>
      <c r="R342" s="1" t="str">
        <f t="shared" si="139"/>
        <v>OK</v>
      </c>
      <c r="S342" s="1" t="s">
        <v>146</v>
      </c>
      <c r="T342" s="1" t="str">
        <f t="shared" si="140"/>
        <v>Punjab</v>
      </c>
      <c r="U342" s="1" t="s">
        <v>147</v>
      </c>
      <c r="V342" s="1" t="str">
        <f t="shared" si="141"/>
        <v>Ludhiana</v>
      </c>
      <c r="W342" s="1" t="s">
        <v>83</v>
      </c>
      <c r="X342" s="1" t="str">
        <f t="shared" si="142"/>
        <v>Technology</v>
      </c>
      <c r="Y342" s="1" t="s">
        <v>207</v>
      </c>
      <c r="Z342" s="1" t="str">
        <f t="shared" si="143"/>
        <v>Phones</v>
      </c>
      <c r="AA342" s="1" t="s">
        <v>2514</v>
      </c>
      <c r="AB342" s="1" t="s">
        <v>55</v>
      </c>
      <c r="AC342" s="1" t="str">
        <f t="shared" si="144"/>
        <v>First Class</v>
      </c>
      <c r="AD342" s="1" t="str">
        <f t="shared" si="145"/>
        <v>OK</v>
      </c>
      <c r="AE342" s="1">
        <v>3</v>
      </c>
      <c r="AF342" s="1">
        <v>1103.54</v>
      </c>
      <c r="AG342" s="9">
        <v>0.25</v>
      </c>
      <c r="AH342" s="9">
        <f t="shared" si="146"/>
        <v>0.25</v>
      </c>
      <c r="AI342" s="1" t="str">
        <f t="shared" si="147"/>
        <v>OK</v>
      </c>
      <c r="AJ342" s="1">
        <v>2482.9699999999998</v>
      </c>
      <c r="AK342" s="1">
        <v>1621.72</v>
      </c>
      <c r="AL342" s="1">
        <v>861.25</v>
      </c>
      <c r="AM342" s="13">
        <f t="shared" si="148"/>
        <v>2482.9650000000001</v>
      </c>
      <c r="AN342" s="9">
        <f t="shared" si="149"/>
        <v>861.24500000000012</v>
      </c>
      <c r="AO342" s="9">
        <f t="shared" si="158"/>
        <v>0.34686151435884116</v>
      </c>
      <c r="AP342" s="1" t="s">
        <v>33</v>
      </c>
      <c r="AQ342" s="1" t="str">
        <f t="shared" si="150"/>
        <v>Paid</v>
      </c>
      <c r="AR342" s="1" t="str">
        <f t="shared" si="151"/>
        <v>OK</v>
      </c>
      <c r="AS342" s="1" t="s">
        <v>34</v>
      </c>
      <c r="AT342" s="4" t="str">
        <f t="shared" si="152"/>
        <v>Completed</v>
      </c>
      <c r="AU342" s="3" t="str">
        <f t="shared" si="153"/>
        <v>OK</v>
      </c>
      <c r="AV342" s="3" t="str">
        <f t="shared" si="159"/>
        <v>INVALID</v>
      </c>
      <c r="AW342" t="str">
        <f t="shared" si="160"/>
        <v>MATCH</v>
      </c>
      <c r="AX342" t="str">
        <f t="shared" si="161"/>
        <v>MATCH</v>
      </c>
    </row>
    <row r="343" spans="1:50" ht="15.6" hidden="1">
      <c r="A343" s="1" t="s">
        <v>2519</v>
      </c>
      <c r="B343" s="1">
        <f t="shared" si="135"/>
        <v>1</v>
      </c>
      <c r="C343" s="16">
        <v>45317</v>
      </c>
      <c r="D343" s="16">
        <v>45317</v>
      </c>
      <c r="E343" s="16" t="str">
        <f t="shared" si="154"/>
        <v>Jan</v>
      </c>
      <c r="F343" s="1">
        <f t="shared" si="155"/>
        <v>2024</v>
      </c>
      <c r="G343" t="s">
        <v>1515</v>
      </c>
      <c r="H343" s="17">
        <v>45909</v>
      </c>
      <c r="I343" s="21">
        <f t="shared" si="156"/>
        <v>592</v>
      </c>
      <c r="J343" s="6" t="str">
        <f t="shared" si="157"/>
        <v>OK</v>
      </c>
      <c r="K343" s="1" t="s">
        <v>2521</v>
      </c>
      <c r="L343" s="1" t="s">
        <v>70</v>
      </c>
      <c r="M343" s="1" t="str">
        <f t="shared" si="136"/>
        <v>Ananya Rao</v>
      </c>
      <c r="N343" s="1" t="s">
        <v>110</v>
      </c>
      <c r="O343" s="1" t="str">
        <f t="shared" si="137"/>
        <v>Home Office</v>
      </c>
      <c r="P343" s="1" t="s">
        <v>41</v>
      </c>
      <c r="Q343" s="1" t="str">
        <f t="shared" si="138"/>
        <v>East</v>
      </c>
      <c r="R343" s="1" t="str">
        <f t="shared" si="139"/>
        <v>OK</v>
      </c>
      <c r="S343" s="1" t="s">
        <v>116</v>
      </c>
      <c r="T343" s="1" t="str">
        <f t="shared" si="140"/>
        <v>West Bengal</v>
      </c>
      <c r="U343" s="1" t="s">
        <v>117</v>
      </c>
      <c r="V343" s="1" t="str">
        <f t="shared" si="141"/>
        <v>Kolkata</v>
      </c>
      <c r="W343" s="1" t="s">
        <v>29</v>
      </c>
      <c r="X343" s="1" t="str">
        <f t="shared" si="142"/>
        <v>Office Supplies</v>
      </c>
      <c r="Y343" s="1" t="s">
        <v>30</v>
      </c>
      <c r="Z343" s="1" t="str">
        <f t="shared" si="143"/>
        <v>Paper</v>
      </c>
      <c r="AA343" s="1" t="s">
        <v>2522</v>
      </c>
      <c r="AB343" s="1" t="s">
        <v>32</v>
      </c>
      <c r="AC343" s="1" t="str">
        <f t="shared" si="144"/>
        <v>Second Class</v>
      </c>
      <c r="AD343" s="1" t="str">
        <f t="shared" si="145"/>
        <v>OK</v>
      </c>
      <c r="AE343" s="1">
        <v>5</v>
      </c>
      <c r="AF343" s="1">
        <v>1615.03</v>
      </c>
      <c r="AG343" s="9">
        <v>0.2</v>
      </c>
      <c r="AH343" s="9">
        <f t="shared" si="146"/>
        <v>0.2</v>
      </c>
      <c r="AI343" s="1" t="str">
        <f t="shared" si="147"/>
        <v>OK</v>
      </c>
      <c r="AJ343" s="1">
        <v>6460.12</v>
      </c>
      <c r="AK343" s="1">
        <v>3604.03</v>
      </c>
      <c r="AL343" s="1">
        <v>2856.09</v>
      </c>
      <c r="AM343" s="13">
        <f t="shared" si="148"/>
        <v>6460.12</v>
      </c>
      <c r="AN343" s="9">
        <f t="shared" si="149"/>
        <v>2856.0899999999997</v>
      </c>
      <c r="AO343" s="9">
        <f t="shared" si="158"/>
        <v>0.44211098245853014</v>
      </c>
      <c r="AP343" s="1" t="s">
        <v>33</v>
      </c>
      <c r="AQ343" s="1" t="str">
        <f t="shared" si="150"/>
        <v>Paid</v>
      </c>
      <c r="AR343" s="1" t="str">
        <f t="shared" si="151"/>
        <v>OK</v>
      </c>
      <c r="AS343" s="1" t="s">
        <v>34</v>
      </c>
      <c r="AT343" s="4" t="str">
        <f t="shared" si="152"/>
        <v>Completed</v>
      </c>
      <c r="AU343" s="3" t="str">
        <f t="shared" si="153"/>
        <v>OK</v>
      </c>
      <c r="AV343" s="3" t="str">
        <f t="shared" si="159"/>
        <v>CLEAN</v>
      </c>
      <c r="AW343" t="str">
        <f t="shared" si="160"/>
        <v>MATCH</v>
      </c>
      <c r="AX343" t="str">
        <f t="shared" si="161"/>
        <v>MATCH</v>
      </c>
    </row>
    <row r="344" spans="1:50" ht="15.6" hidden="1">
      <c r="A344" s="1" t="s">
        <v>2523</v>
      </c>
      <c r="B344" s="1">
        <f t="shared" si="135"/>
        <v>1</v>
      </c>
      <c r="C344" s="16">
        <v>45588</v>
      </c>
      <c r="D344" s="16">
        <v>45588</v>
      </c>
      <c r="E344" s="16" t="str">
        <f t="shared" si="154"/>
        <v>Oct</v>
      </c>
      <c r="F344" s="1">
        <f t="shared" si="155"/>
        <v>2024</v>
      </c>
      <c r="G344" t="s">
        <v>1520</v>
      </c>
      <c r="H344" s="17">
        <v>45665</v>
      </c>
      <c r="I344" s="21">
        <f t="shared" si="156"/>
        <v>77</v>
      </c>
      <c r="J344" s="6" t="str">
        <f t="shared" si="157"/>
        <v>OK</v>
      </c>
      <c r="K344" s="1" t="s">
        <v>2525</v>
      </c>
      <c r="L344" s="1" t="s">
        <v>153</v>
      </c>
      <c r="M344" s="1" t="str">
        <f t="shared" si="136"/>
        <v>Aarav Sharma</v>
      </c>
      <c r="N344" s="1" t="s">
        <v>25</v>
      </c>
      <c r="O344" s="1" t="str">
        <f t="shared" si="137"/>
        <v>Consumer</v>
      </c>
      <c r="P344" s="1" t="s">
        <v>41</v>
      </c>
      <c r="Q344" s="1" t="str">
        <f t="shared" si="138"/>
        <v>East</v>
      </c>
      <c r="R344" s="1" t="str">
        <f t="shared" si="139"/>
        <v>OK</v>
      </c>
      <c r="S344" s="1" t="s">
        <v>284</v>
      </c>
      <c r="T344" s="1" t="str">
        <f t="shared" si="140"/>
        <v>Jharkhand</v>
      </c>
      <c r="U344" s="1" t="s">
        <v>285</v>
      </c>
      <c r="V344" s="1" t="str">
        <f t="shared" si="141"/>
        <v>Ranchi</v>
      </c>
      <c r="W344" s="1" t="s">
        <v>83</v>
      </c>
      <c r="X344" s="1" t="str">
        <f t="shared" si="142"/>
        <v>Technology</v>
      </c>
      <c r="Y344" s="1" t="s">
        <v>91</v>
      </c>
      <c r="Z344" s="1" t="str">
        <f t="shared" si="143"/>
        <v>Copiers</v>
      </c>
      <c r="AA344" s="1" t="s">
        <v>2526</v>
      </c>
      <c r="AB344" s="1" t="s">
        <v>32</v>
      </c>
      <c r="AC344" s="1" t="str">
        <f t="shared" si="144"/>
        <v>Second Class</v>
      </c>
      <c r="AD344" s="1" t="str">
        <f t="shared" si="145"/>
        <v>OK</v>
      </c>
      <c r="AE344" s="1">
        <v>9</v>
      </c>
      <c r="AF344" s="1">
        <v>3423.82</v>
      </c>
      <c r="AG344" s="9">
        <v>0.15</v>
      </c>
      <c r="AH344" s="9">
        <f t="shared" si="146"/>
        <v>0.15</v>
      </c>
      <c r="AI344" s="1" t="str">
        <f t="shared" si="147"/>
        <v>OK</v>
      </c>
      <c r="AJ344" s="1">
        <v>26192.22</v>
      </c>
      <c r="AK344" s="1">
        <v>20795.55</v>
      </c>
      <c r="AL344" s="1">
        <v>5396.67</v>
      </c>
      <c r="AM344" s="13">
        <f t="shared" si="148"/>
        <v>26192.223000000002</v>
      </c>
      <c r="AN344" s="9">
        <f t="shared" si="149"/>
        <v>5396.6730000000025</v>
      </c>
      <c r="AO344" s="9">
        <f t="shared" si="158"/>
        <v>0.20604104508426041</v>
      </c>
      <c r="AP344" s="1" t="s">
        <v>33</v>
      </c>
      <c r="AQ344" s="1" t="str">
        <f t="shared" si="150"/>
        <v>Paid</v>
      </c>
      <c r="AR344" s="1" t="str">
        <f t="shared" si="151"/>
        <v>OK</v>
      </c>
      <c r="AS344" s="1" t="s">
        <v>34</v>
      </c>
      <c r="AT344" s="4" t="str">
        <f t="shared" si="152"/>
        <v>Completed</v>
      </c>
      <c r="AU344" s="3" t="str">
        <f t="shared" si="153"/>
        <v>OK</v>
      </c>
      <c r="AV344" s="3" t="str">
        <f t="shared" si="159"/>
        <v>CLEAN</v>
      </c>
      <c r="AW344" t="str">
        <f t="shared" si="160"/>
        <v>MATCH</v>
      </c>
      <c r="AX344" t="str">
        <f t="shared" si="161"/>
        <v>MATCH</v>
      </c>
    </row>
    <row r="345" spans="1:50" ht="15.6" hidden="1">
      <c r="A345" s="1" t="s">
        <v>2545</v>
      </c>
      <c r="B345" s="1">
        <f t="shared" si="135"/>
        <v>1</v>
      </c>
      <c r="C345" s="16">
        <v>45464</v>
      </c>
      <c r="D345" s="16">
        <v>45464</v>
      </c>
      <c r="E345" s="16" t="str">
        <f t="shared" si="154"/>
        <v>Jun</v>
      </c>
      <c r="F345" s="1">
        <f t="shared" si="155"/>
        <v>2024</v>
      </c>
      <c r="G345" t="s">
        <v>1050</v>
      </c>
      <c r="H345" s="17">
        <v>45938</v>
      </c>
      <c r="I345" s="21">
        <f t="shared" si="156"/>
        <v>474</v>
      </c>
      <c r="J345" s="6" t="str">
        <f t="shared" si="157"/>
        <v>OK</v>
      </c>
      <c r="K345" s="1" t="s">
        <v>2256</v>
      </c>
      <c r="L345" s="1" t="s">
        <v>24</v>
      </c>
      <c r="M345" s="1" t="str">
        <f t="shared" si="136"/>
        <v>Karan Malhotra</v>
      </c>
      <c r="N345" s="1" t="s">
        <v>110</v>
      </c>
      <c r="O345" s="1" t="str">
        <f t="shared" si="137"/>
        <v>Home Office</v>
      </c>
      <c r="P345" s="1" t="s">
        <v>71</v>
      </c>
      <c r="Q345" s="1" t="str">
        <f t="shared" si="138"/>
        <v>West</v>
      </c>
      <c r="R345" s="1" t="str">
        <f t="shared" si="139"/>
        <v>OK</v>
      </c>
      <c r="S345" s="1" t="s">
        <v>230</v>
      </c>
      <c r="T345" s="1" t="str">
        <f t="shared" si="140"/>
        <v>Goa</v>
      </c>
      <c r="U345" s="1" t="s">
        <v>231</v>
      </c>
      <c r="V345" s="1" t="str">
        <f t="shared" si="141"/>
        <v>Panaji</v>
      </c>
      <c r="W345" s="1" t="s">
        <v>44</v>
      </c>
      <c r="X345" s="1" t="str">
        <f t="shared" si="142"/>
        <v>Furniture</v>
      </c>
      <c r="Y345" s="1" t="s">
        <v>63</v>
      </c>
      <c r="Z345" s="1" t="str">
        <f t="shared" si="143"/>
        <v>Furnishings</v>
      </c>
      <c r="AA345" s="1" t="s">
        <v>2546</v>
      </c>
      <c r="AB345" s="1" t="s">
        <v>32</v>
      </c>
      <c r="AC345" s="1" t="str">
        <f t="shared" si="144"/>
        <v>Second Class</v>
      </c>
      <c r="AD345" s="1" t="str">
        <f t="shared" si="145"/>
        <v>OK</v>
      </c>
      <c r="AE345" s="1">
        <v>9</v>
      </c>
      <c r="AF345" s="1">
        <v>2153.75</v>
      </c>
      <c r="AG345" s="9">
        <v>0</v>
      </c>
      <c r="AH345" s="9">
        <f t="shared" si="146"/>
        <v>0</v>
      </c>
      <c r="AI345" s="1" t="str">
        <f t="shared" si="147"/>
        <v>OK</v>
      </c>
      <c r="AJ345" s="1">
        <v>19383.75</v>
      </c>
      <c r="AK345" s="1">
        <v>11667.43</v>
      </c>
      <c r="AL345" s="1">
        <v>7716.32</v>
      </c>
      <c r="AM345" s="13">
        <f t="shared" si="148"/>
        <v>19383.75</v>
      </c>
      <c r="AN345" s="9">
        <f t="shared" si="149"/>
        <v>7716.32</v>
      </c>
      <c r="AO345" s="9">
        <f t="shared" si="158"/>
        <v>0.39808189849745274</v>
      </c>
      <c r="AP345" s="1" t="s">
        <v>33</v>
      </c>
      <c r="AQ345" s="1" t="str">
        <f t="shared" si="150"/>
        <v>Paid</v>
      </c>
      <c r="AR345" s="1" t="str">
        <f t="shared" si="151"/>
        <v>OK</v>
      </c>
      <c r="AS345" s="1" t="s">
        <v>34</v>
      </c>
      <c r="AT345" s="4" t="str">
        <f t="shared" si="152"/>
        <v>Completed</v>
      </c>
      <c r="AU345" s="3" t="str">
        <f t="shared" si="153"/>
        <v>OK</v>
      </c>
      <c r="AV345" s="3" t="str">
        <f t="shared" si="159"/>
        <v>CLEAN</v>
      </c>
      <c r="AW345" t="str">
        <f t="shared" si="160"/>
        <v>MATCH</v>
      </c>
      <c r="AX345" t="str">
        <f t="shared" si="161"/>
        <v>MATCH</v>
      </c>
    </row>
    <row r="346" spans="1:50" ht="15.6" hidden="1">
      <c r="A346" s="1" t="s">
        <v>2550</v>
      </c>
      <c r="B346" s="1">
        <f t="shared" si="135"/>
        <v>1</v>
      </c>
      <c r="C346" s="16">
        <v>45432</v>
      </c>
      <c r="D346" s="16">
        <v>45432</v>
      </c>
      <c r="E346" s="16" t="str">
        <f t="shared" si="154"/>
        <v>May</v>
      </c>
      <c r="F346" s="1">
        <f t="shared" si="155"/>
        <v>2024</v>
      </c>
      <c r="G346" t="s">
        <v>1327</v>
      </c>
      <c r="H346" s="17">
        <v>45599</v>
      </c>
      <c r="I346" s="21">
        <f t="shared" si="156"/>
        <v>167</v>
      </c>
      <c r="J346" s="6" t="str">
        <f t="shared" si="157"/>
        <v>OK</v>
      </c>
      <c r="K346" s="1" t="s">
        <v>1830</v>
      </c>
      <c r="L346" s="1" t="s">
        <v>24</v>
      </c>
      <c r="M346" s="1" t="str">
        <f t="shared" si="136"/>
        <v>Karan Malhotra</v>
      </c>
      <c r="N346" s="1" t="s">
        <v>110</v>
      </c>
      <c r="O346" s="1" t="str">
        <f t="shared" si="137"/>
        <v>Home Office</v>
      </c>
      <c r="P346" s="1" t="s">
        <v>71</v>
      </c>
      <c r="Q346" s="1" t="str">
        <f t="shared" si="138"/>
        <v>West</v>
      </c>
      <c r="R346" s="1" t="str">
        <f t="shared" si="139"/>
        <v>OK</v>
      </c>
      <c r="S346" s="1" t="s">
        <v>81</v>
      </c>
      <c r="T346" s="1" t="str">
        <f t="shared" si="140"/>
        <v>Madhya Pradesh</v>
      </c>
      <c r="U346" s="1" t="s">
        <v>82</v>
      </c>
      <c r="V346" s="1" t="str">
        <f t="shared" si="141"/>
        <v>Indore</v>
      </c>
      <c r="W346" s="1" t="s">
        <v>44</v>
      </c>
      <c r="X346" s="1" t="str">
        <f t="shared" si="142"/>
        <v>Furniture</v>
      </c>
      <c r="Y346" s="1" t="s">
        <v>74</v>
      </c>
      <c r="Z346" s="1" t="str">
        <f t="shared" si="143"/>
        <v>Chairs</v>
      </c>
      <c r="AA346" s="1" t="s">
        <v>2552</v>
      </c>
      <c r="AB346" s="1" t="s">
        <v>65</v>
      </c>
      <c r="AC346" s="1" t="str">
        <f t="shared" si="144"/>
        <v>Standard Class</v>
      </c>
      <c r="AD346" s="1" t="str">
        <f t="shared" si="145"/>
        <v>OK</v>
      </c>
      <c r="AE346" s="1">
        <v>1</v>
      </c>
      <c r="AF346" s="1">
        <v>3032.95</v>
      </c>
      <c r="AG346" s="9">
        <v>0.1</v>
      </c>
      <c r="AH346" s="9">
        <f t="shared" si="146"/>
        <v>0.1</v>
      </c>
      <c r="AI346" s="1" t="str">
        <f t="shared" si="147"/>
        <v>OK</v>
      </c>
      <c r="AJ346" s="1">
        <v>2729.65</v>
      </c>
      <c r="AK346" s="1">
        <v>1715.36</v>
      </c>
      <c r="AL346" s="1">
        <v>1014.29</v>
      </c>
      <c r="AM346" s="13">
        <f t="shared" si="148"/>
        <v>2729.6549999999997</v>
      </c>
      <c r="AN346" s="9">
        <f t="shared" si="149"/>
        <v>1014.2949999999998</v>
      </c>
      <c r="AO346" s="9">
        <f t="shared" si="158"/>
        <v>0.37158358840219735</v>
      </c>
      <c r="AP346" s="1" t="s">
        <v>33</v>
      </c>
      <c r="AQ346" s="1" t="str">
        <f t="shared" si="150"/>
        <v>Paid</v>
      </c>
      <c r="AR346" s="1" t="str">
        <f t="shared" si="151"/>
        <v>OK</v>
      </c>
      <c r="AS346" s="1" t="s">
        <v>34</v>
      </c>
      <c r="AT346" s="4" t="str">
        <f t="shared" si="152"/>
        <v>Completed</v>
      </c>
      <c r="AU346" s="3" t="str">
        <f t="shared" si="153"/>
        <v>OK</v>
      </c>
      <c r="AV346" s="3" t="str">
        <f t="shared" si="159"/>
        <v>CLEAN</v>
      </c>
      <c r="AW346" t="str">
        <f t="shared" si="160"/>
        <v>MISMATCH</v>
      </c>
      <c r="AX346" t="str">
        <f t="shared" si="161"/>
        <v>MISMATCH</v>
      </c>
    </row>
    <row r="347" spans="1:50" ht="15.6" hidden="1">
      <c r="A347" s="1" t="s">
        <v>2561</v>
      </c>
      <c r="B347" s="1">
        <f t="shared" si="135"/>
        <v>1</v>
      </c>
      <c r="C347" s="16">
        <v>45422</v>
      </c>
      <c r="D347" s="16">
        <v>45422</v>
      </c>
      <c r="E347" s="16" t="str">
        <f t="shared" si="154"/>
        <v>May</v>
      </c>
      <c r="F347" s="1">
        <f t="shared" si="155"/>
        <v>2024</v>
      </c>
      <c r="G347" t="s">
        <v>1531</v>
      </c>
      <c r="H347" s="17">
        <v>45557</v>
      </c>
      <c r="I347" s="21">
        <f t="shared" si="156"/>
        <v>135</v>
      </c>
      <c r="J347" s="6" t="str">
        <f t="shared" si="157"/>
        <v>OK</v>
      </c>
      <c r="K347" s="1" t="s">
        <v>2563</v>
      </c>
      <c r="L347" s="1" t="s">
        <v>196</v>
      </c>
      <c r="M347" s="1" t="str">
        <f t="shared" si="136"/>
        <v>Diya Patel</v>
      </c>
      <c r="N347" s="1" t="s">
        <v>110</v>
      </c>
      <c r="O347" s="1" t="str">
        <f t="shared" si="137"/>
        <v>Home Office</v>
      </c>
      <c r="P347" s="1" t="s">
        <v>71</v>
      </c>
      <c r="Q347" s="1" t="str">
        <f t="shared" si="138"/>
        <v>West</v>
      </c>
      <c r="R347" s="1" t="str">
        <f t="shared" si="139"/>
        <v>OK</v>
      </c>
      <c r="S347" s="1" t="s">
        <v>218</v>
      </c>
      <c r="T347" s="1" t="str">
        <f t="shared" si="140"/>
        <v>Gujarat</v>
      </c>
      <c r="U347" s="1" t="s">
        <v>219</v>
      </c>
      <c r="V347" s="1" t="str">
        <f t="shared" si="141"/>
        <v>Ahmedabad</v>
      </c>
      <c r="W347" s="1" t="s">
        <v>83</v>
      </c>
      <c r="X347" s="1" t="str">
        <f t="shared" si="142"/>
        <v>Technology</v>
      </c>
      <c r="Y347" s="1" t="s">
        <v>347</v>
      </c>
      <c r="Z347" s="1" t="str">
        <f t="shared" si="143"/>
        <v>Machines</v>
      </c>
      <c r="AA347" s="1" t="s">
        <v>2564</v>
      </c>
      <c r="AB347" s="1" t="s">
        <v>47</v>
      </c>
      <c r="AC347" s="1" t="str">
        <f t="shared" si="144"/>
        <v>Same Day</v>
      </c>
      <c r="AD347" s="1" t="str">
        <f t="shared" si="145"/>
        <v>OK</v>
      </c>
      <c r="AE347" s="1">
        <v>9</v>
      </c>
      <c r="AF347" s="1">
        <v>3361.3</v>
      </c>
      <c r="AG347" s="9">
        <v>0.25</v>
      </c>
      <c r="AH347" s="9">
        <f t="shared" si="146"/>
        <v>0.25</v>
      </c>
      <c r="AI347" s="1" t="str">
        <f t="shared" si="147"/>
        <v>OK</v>
      </c>
      <c r="AJ347" s="1">
        <v>22688.78</v>
      </c>
      <c r="AK347" s="1">
        <v>14672.41</v>
      </c>
      <c r="AL347" s="1">
        <v>8016.37</v>
      </c>
      <c r="AM347" s="13">
        <f t="shared" si="148"/>
        <v>22688.775000000001</v>
      </c>
      <c r="AN347" s="9">
        <f t="shared" si="149"/>
        <v>8016.3650000000016</v>
      </c>
      <c r="AO347" s="9">
        <f t="shared" si="158"/>
        <v>0.35331854628555315</v>
      </c>
      <c r="AP347" s="1" t="s">
        <v>33</v>
      </c>
      <c r="AQ347" s="1" t="str">
        <f t="shared" si="150"/>
        <v>Paid</v>
      </c>
      <c r="AR347" s="1" t="str">
        <f t="shared" si="151"/>
        <v>OK</v>
      </c>
      <c r="AS347" s="1" t="s">
        <v>34</v>
      </c>
      <c r="AT347" s="4" t="str">
        <f t="shared" si="152"/>
        <v>Completed</v>
      </c>
      <c r="AU347" s="3" t="str">
        <f t="shared" si="153"/>
        <v>OK</v>
      </c>
      <c r="AV347" s="3" t="str">
        <f t="shared" si="159"/>
        <v>CLEAN</v>
      </c>
      <c r="AW347" t="str">
        <f t="shared" si="160"/>
        <v>MATCH</v>
      </c>
      <c r="AX347" t="str">
        <f t="shared" si="161"/>
        <v>MATCH</v>
      </c>
    </row>
    <row r="348" spans="1:50" ht="15.6" hidden="1">
      <c r="A348" s="1" t="s">
        <v>2565</v>
      </c>
      <c r="B348" s="1">
        <f t="shared" si="135"/>
        <v>1</v>
      </c>
      <c r="C348" s="16">
        <v>45333</v>
      </c>
      <c r="D348" s="16">
        <v>45333</v>
      </c>
      <c r="E348" s="16" t="str">
        <f t="shared" si="154"/>
        <v>Feb</v>
      </c>
      <c r="F348" s="1">
        <f t="shared" si="155"/>
        <v>2024</v>
      </c>
      <c r="G348" t="s">
        <v>1535</v>
      </c>
      <c r="H348" s="17">
        <v>45866</v>
      </c>
      <c r="I348" s="21">
        <f t="shared" si="156"/>
        <v>533</v>
      </c>
      <c r="J348" s="6" t="str">
        <f t="shared" si="157"/>
        <v>OK</v>
      </c>
      <c r="K348" s="1" t="s">
        <v>2567</v>
      </c>
      <c r="L348" s="1" t="s">
        <v>70</v>
      </c>
      <c r="M348" s="1" t="str">
        <f t="shared" si="136"/>
        <v>Ananya Rao</v>
      </c>
      <c r="N348" s="1" t="s">
        <v>110</v>
      </c>
      <c r="O348" s="1" t="str">
        <f t="shared" si="137"/>
        <v>Home Office</v>
      </c>
      <c r="P348" s="1" t="s">
        <v>60</v>
      </c>
      <c r="Q348" s="1" t="str">
        <f t="shared" si="138"/>
        <v>South</v>
      </c>
      <c r="R348" s="1" t="str">
        <f t="shared" si="139"/>
        <v>OK</v>
      </c>
      <c r="S348" s="1" t="s">
        <v>61</v>
      </c>
      <c r="T348" s="1" t="str">
        <f t="shared" si="140"/>
        <v>Telangana</v>
      </c>
      <c r="U348" s="1" t="s">
        <v>62</v>
      </c>
      <c r="V348" s="1" t="str">
        <f t="shared" si="141"/>
        <v>Hyderabad</v>
      </c>
      <c r="W348" s="1" t="s">
        <v>44</v>
      </c>
      <c r="X348" s="1" t="str">
        <f t="shared" si="142"/>
        <v>Furniture</v>
      </c>
      <c r="Y348" s="1" t="s">
        <v>74</v>
      </c>
      <c r="Z348" s="1" t="str">
        <f t="shared" si="143"/>
        <v>Chairs</v>
      </c>
      <c r="AA348" s="1" t="s">
        <v>2568</v>
      </c>
      <c r="AB348" s="1" t="s">
        <v>65</v>
      </c>
      <c r="AC348" s="1" t="str">
        <f t="shared" si="144"/>
        <v>Standard Class</v>
      </c>
      <c r="AD348" s="1" t="str">
        <f t="shared" si="145"/>
        <v>OK</v>
      </c>
      <c r="AE348" s="1">
        <v>8</v>
      </c>
      <c r="AF348" s="1">
        <v>3398.32</v>
      </c>
      <c r="AG348" s="9">
        <v>0.25</v>
      </c>
      <c r="AH348" s="9">
        <f t="shared" si="146"/>
        <v>0.25</v>
      </c>
      <c r="AI348" s="1" t="str">
        <f t="shared" si="147"/>
        <v>OK</v>
      </c>
      <c r="AJ348" s="1">
        <v>20389.919999999998</v>
      </c>
      <c r="AK348" s="1">
        <v>16661.080000000002</v>
      </c>
      <c r="AL348" s="1">
        <v>3728.84</v>
      </c>
      <c r="AM348" s="13">
        <f t="shared" si="148"/>
        <v>20389.920000000002</v>
      </c>
      <c r="AN348" s="9">
        <f t="shared" si="149"/>
        <v>3728.84</v>
      </c>
      <c r="AO348" s="9">
        <f t="shared" si="158"/>
        <v>0.18287663708342161</v>
      </c>
      <c r="AP348" s="1" t="s">
        <v>119</v>
      </c>
      <c r="AQ348" s="1" t="str">
        <f t="shared" si="150"/>
        <v>Refunded</v>
      </c>
      <c r="AR348" s="1" t="str">
        <f t="shared" si="151"/>
        <v>REFUNDED_PAYMENT</v>
      </c>
      <c r="AS348" s="1" t="s">
        <v>76</v>
      </c>
      <c r="AT348" s="4" t="str">
        <f t="shared" si="152"/>
        <v>Cancelled</v>
      </c>
      <c r="AU348" s="3" t="str">
        <f t="shared" si="153"/>
        <v>EXCLUDE_FROM_SALES</v>
      </c>
      <c r="AV348" s="3" t="str">
        <f t="shared" si="159"/>
        <v>CLEAN</v>
      </c>
      <c r="AW348" t="str">
        <f t="shared" si="160"/>
        <v>MATCH</v>
      </c>
      <c r="AX348" t="str">
        <f t="shared" si="161"/>
        <v>MATCH</v>
      </c>
    </row>
    <row r="349" spans="1:50" ht="15.6" hidden="1">
      <c r="A349" s="1" t="s">
        <v>2569</v>
      </c>
      <c r="B349" s="1">
        <f t="shared" si="135"/>
        <v>1</v>
      </c>
      <c r="C349" s="16">
        <v>45392</v>
      </c>
      <c r="D349" s="16">
        <v>45392</v>
      </c>
      <c r="E349" s="16" t="str">
        <f t="shared" si="154"/>
        <v>Apr</v>
      </c>
      <c r="F349" s="1">
        <f t="shared" si="155"/>
        <v>2024</v>
      </c>
      <c r="G349" t="s">
        <v>1288</v>
      </c>
      <c r="H349" s="17">
        <v>45634</v>
      </c>
      <c r="I349" s="21">
        <f t="shared" si="156"/>
        <v>242</v>
      </c>
      <c r="J349" s="6" t="str">
        <f t="shared" si="157"/>
        <v>OK</v>
      </c>
      <c r="K349" s="1" t="s">
        <v>2571</v>
      </c>
      <c r="L349" s="1" t="s">
        <v>141</v>
      </c>
      <c r="M349" s="1" t="str">
        <f t="shared" si="136"/>
        <v>Rahul Verma</v>
      </c>
      <c r="N349" s="1" t="s">
        <v>104</v>
      </c>
      <c r="O349" s="1" t="str">
        <f t="shared" si="137"/>
        <v>Corporate</v>
      </c>
      <c r="P349" s="1" t="s">
        <v>60</v>
      </c>
      <c r="Q349" s="1" t="str">
        <f t="shared" si="138"/>
        <v>South</v>
      </c>
      <c r="R349" s="1" t="str">
        <f t="shared" si="139"/>
        <v>OK</v>
      </c>
      <c r="S349" s="1" t="s">
        <v>224</v>
      </c>
      <c r="T349" s="1" t="str">
        <f t="shared" si="140"/>
        <v>Kerala</v>
      </c>
      <c r="U349" s="1" t="s">
        <v>225</v>
      </c>
      <c r="V349" s="1" t="str">
        <f t="shared" si="141"/>
        <v>Kochi</v>
      </c>
      <c r="W349" s="1" t="s">
        <v>29</v>
      </c>
      <c r="X349" s="1" t="str">
        <f t="shared" si="142"/>
        <v>Office Supplies</v>
      </c>
      <c r="Y349" s="1" t="s">
        <v>53</v>
      </c>
      <c r="Z349" s="1" t="str">
        <f t="shared" si="143"/>
        <v>Art</v>
      </c>
      <c r="AA349" s="1" t="s">
        <v>2572</v>
      </c>
      <c r="AB349" s="1" t="s">
        <v>32</v>
      </c>
      <c r="AC349" s="1" t="str">
        <f t="shared" si="144"/>
        <v>Second Class</v>
      </c>
      <c r="AD349" s="1" t="str">
        <f t="shared" si="145"/>
        <v>OK</v>
      </c>
      <c r="AE349" s="1">
        <v>2</v>
      </c>
      <c r="AF349" s="1">
        <v>3144.38</v>
      </c>
      <c r="AG349" s="9">
        <v>0.1</v>
      </c>
      <c r="AH349" s="9">
        <f t="shared" si="146"/>
        <v>0.1</v>
      </c>
      <c r="AI349" s="1" t="str">
        <f t="shared" si="147"/>
        <v>OK</v>
      </c>
      <c r="AJ349" s="1">
        <v>5904.57</v>
      </c>
      <c r="AK349" s="1">
        <v>4337.79</v>
      </c>
      <c r="AL349" s="1">
        <v>1322.09</v>
      </c>
      <c r="AM349" s="13">
        <f t="shared" si="148"/>
        <v>5659.884</v>
      </c>
      <c r="AN349" s="9">
        <f t="shared" si="149"/>
        <v>1322.0940000000001</v>
      </c>
      <c r="AO349" s="9">
        <f t="shared" si="158"/>
        <v>0.23359029973052453</v>
      </c>
      <c r="AP349" s="1" t="s">
        <v>33</v>
      </c>
      <c r="AQ349" s="1" t="str">
        <f t="shared" si="150"/>
        <v>Paid</v>
      </c>
      <c r="AR349" s="1" t="str">
        <f t="shared" si="151"/>
        <v>OK</v>
      </c>
      <c r="AS349" s="1" t="s">
        <v>34</v>
      </c>
      <c r="AT349" s="4" t="str">
        <f t="shared" si="152"/>
        <v>Completed</v>
      </c>
      <c r="AU349" s="3" t="str">
        <f t="shared" si="153"/>
        <v>OK</v>
      </c>
      <c r="AV349" s="3" t="str">
        <f t="shared" si="159"/>
        <v>CLEAN</v>
      </c>
      <c r="AW349" t="str">
        <f t="shared" si="160"/>
        <v>MISMATCH</v>
      </c>
      <c r="AX349" t="str">
        <f t="shared" si="161"/>
        <v>MATCH</v>
      </c>
    </row>
    <row r="350" spans="1:50" ht="15.6">
      <c r="A350" s="1" t="s">
        <v>2573</v>
      </c>
      <c r="B350" s="1">
        <f t="shared" si="135"/>
        <v>1</v>
      </c>
      <c r="C350" s="16">
        <v>45520</v>
      </c>
      <c r="D350" s="16">
        <v>45520</v>
      </c>
      <c r="E350" s="16" t="str">
        <f t="shared" si="154"/>
        <v>Aug</v>
      </c>
      <c r="F350" s="1">
        <f t="shared" si="155"/>
        <v>2024</v>
      </c>
      <c r="G350" t="s">
        <v>1543</v>
      </c>
      <c r="H350" s="17">
        <v>45450</v>
      </c>
      <c r="I350" s="21">
        <f t="shared" si="156"/>
        <v>-70</v>
      </c>
      <c r="J350" s="6" t="str">
        <f t="shared" si="157"/>
        <v>INVALID_SHIPPING</v>
      </c>
      <c r="K350" s="1" t="s">
        <v>2574</v>
      </c>
      <c r="L350" s="1" t="s">
        <v>334</v>
      </c>
      <c r="M350" s="1" t="str">
        <f t="shared" si="136"/>
        <v>Kabir Singh</v>
      </c>
      <c r="N350" s="1" t="s">
        <v>25</v>
      </c>
      <c r="O350" s="1" t="str">
        <f t="shared" si="137"/>
        <v>Consumer</v>
      </c>
      <c r="P350" s="1" t="s">
        <v>60</v>
      </c>
      <c r="Q350" s="1" t="str">
        <f t="shared" si="138"/>
        <v>South</v>
      </c>
      <c r="R350" s="1" t="str">
        <f t="shared" si="139"/>
        <v>OK</v>
      </c>
      <c r="S350" s="1" t="s">
        <v>61</v>
      </c>
      <c r="T350" s="1" t="str">
        <f t="shared" si="140"/>
        <v>Telangana</v>
      </c>
      <c r="U350" s="1" t="s">
        <v>62</v>
      </c>
      <c r="V350" s="1" t="str">
        <f t="shared" si="141"/>
        <v>Hyderabad</v>
      </c>
      <c r="W350" s="1" t="s">
        <v>29</v>
      </c>
      <c r="X350" s="1" t="str">
        <f t="shared" si="142"/>
        <v>Office Supplies</v>
      </c>
      <c r="Y350" s="1" t="s">
        <v>30</v>
      </c>
      <c r="Z350" s="1" t="str">
        <f t="shared" si="143"/>
        <v>Paper</v>
      </c>
      <c r="AA350" s="1" t="s">
        <v>2575</v>
      </c>
      <c r="AB350" s="1" t="s">
        <v>65</v>
      </c>
      <c r="AC350" s="1" t="str">
        <f t="shared" si="144"/>
        <v>Standard Class</v>
      </c>
      <c r="AD350" s="1" t="str">
        <f t="shared" si="145"/>
        <v>OK</v>
      </c>
      <c r="AE350" s="1">
        <v>6</v>
      </c>
      <c r="AF350" s="1">
        <v>3925.55</v>
      </c>
      <c r="AG350" s="9">
        <v>0.2</v>
      </c>
      <c r="AH350" s="9">
        <f t="shared" si="146"/>
        <v>0.2</v>
      </c>
      <c r="AI350" s="1" t="str">
        <f t="shared" si="147"/>
        <v>OK</v>
      </c>
      <c r="AJ350" s="1">
        <v>18842.64</v>
      </c>
      <c r="AK350" s="1">
        <v>11840.58</v>
      </c>
      <c r="AL350" s="1">
        <v>7002.06</v>
      </c>
      <c r="AM350" s="13">
        <f t="shared" si="148"/>
        <v>18842.640000000003</v>
      </c>
      <c r="AN350" s="9">
        <f t="shared" si="149"/>
        <v>7002.0600000000031</v>
      </c>
      <c r="AO350" s="9">
        <f t="shared" si="158"/>
        <v>0.37160716332743193</v>
      </c>
      <c r="AP350" s="1" t="s">
        <v>33</v>
      </c>
      <c r="AQ350" s="1" t="str">
        <f t="shared" si="150"/>
        <v>Paid</v>
      </c>
      <c r="AR350" s="1" t="str">
        <f t="shared" si="151"/>
        <v>OK</v>
      </c>
      <c r="AS350" s="1" t="s">
        <v>34</v>
      </c>
      <c r="AT350" s="4" t="str">
        <f t="shared" si="152"/>
        <v>Completed</v>
      </c>
      <c r="AU350" s="3" t="str">
        <f t="shared" si="153"/>
        <v>OK</v>
      </c>
      <c r="AV350" s="3" t="str">
        <f t="shared" si="159"/>
        <v>INVALID</v>
      </c>
      <c r="AW350" t="str">
        <f t="shared" si="160"/>
        <v>MATCH</v>
      </c>
      <c r="AX350" t="str">
        <f t="shared" si="161"/>
        <v>MATCH</v>
      </c>
    </row>
    <row r="351" spans="1:50" ht="15.6" hidden="1">
      <c r="A351" s="1" t="s">
        <v>2576</v>
      </c>
      <c r="B351" s="1">
        <f t="shared" si="135"/>
        <v>1</v>
      </c>
      <c r="C351" s="16">
        <v>45564</v>
      </c>
      <c r="D351" s="16">
        <v>45564</v>
      </c>
      <c r="E351" s="16" t="str">
        <f t="shared" si="154"/>
        <v>Sep</v>
      </c>
      <c r="F351" s="1">
        <f t="shared" si="155"/>
        <v>2024</v>
      </c>
      <c r="G351" t="s">
        <v>667</v>
      </c>
      <c r="H351" s="17">
        <v>45929</v>
      </c>
      <c r="I351" s="21">
        <f t="shared" si="156"/>
        <v>365</v>
      </c>
      <c r="J351" s="6" t="str">
        <f t="shared" si="157"/>
        <v>OK</v>
      </c>
      <c r="K351" s="1" t="s">
        <v>2577</v>
      </c>
      <c r="L351" s="1" t="s">
        <v>39</v>
      </c>
      <c r="M351" s="1" t="str">
        <f t="shared" si="136"/>
        <v>Mira Das</v>
      </c>
      <c r="N351" s="1" t="s">
        <v>110</v>
      </c>
      <c r="O351" s="1" t="str">
        <f t="shared" si="137"/>
        <v>Home Office</v>
      </c>
      <c r="P351" s="1" t="s">
        <v>60</v>
      </c>
      <c r="Q351" s="1" t="str">
        <f t="shared" si="138"/>
        <v>South</v>
      </c>
      <c r="R351" s="1" t="str">
        <f t="shared" si="139"/>
        <v>OK</v>
      </c>
      <c r="S351" s="1" t="s">
        <v>61</v>
      </c>
      <c r="T351" s="1" t="str">
        <f t="shared" si="140"/>
        <v>Telangana</v>
      </c>
      <c r="U351" s="1" t="s">
        <v>62</v>
      </c>
      <c r="V351" s="1" t="str">
        <f t="shared" si="141"/>
        <v>Hyderabad</v>
      </c>
      <c r="W351" s="1" t="s">
        <v>83</v>
      </c>
      <c r="X351" s="1" t="str">
        <f t="shared" si="142"/>
        <v>Technology</v>
      </c>
      <c r="Y351" s="1" t="s">
        <v>207</v>
      </c>
      <c r="Z351" s="1" t="str">
        <f t="shared" si="143"/>
        <v>Phones</v>
      </c>
      <c r="AA351" s="1" t="s">
        <v>2578</v>
      </c>
      <c r="AB351" s="1" t="s">
        <v>65</v>
      </c>
      <c r="AC351" s="1" t="str">
        <f t="shared" si="144"/>
        <v>Standard Class</v>
      </c>
      <c r="AD351" s="1" t="str">
        <f t="shared" si="145"/>
        <v>OK</v>
      </c>
      <c r="AE351" s="1">
        <v>9</v>
      </c>
      <c r="AF351" s="1">
        <v>2741.91</v>
      </c>
      <c r="AG351" s="9">
        <v>0</v>
      </c>
      <c r="AH351" s="9">
        <f t="shared" si="146"/>
        <v>0</v>
      </c>
      <c r="AI351" s="1" t="str">
        <f t="shared" si="147"/>
        <v>OK</v>
      </c>
      <c r="AJ351" s="1">
        <v>24677.19</v>
      </c>
      <c r="AK351" s="1">
        <v>20350.849999999999</v>
      </c>
      <c r="AL351" s="1">
        <v>4326.34</v>
      </c>
      <c r="AM351" s="13">
        <f t="shared" si="148"/>
        <v>24677.19</v>
      </c>
      <c r="AN351" s="9">
        <f t="shared" si="149"/>
        <v>4326.34</v>
      </c>
      <c r="AO351" s="9">
        <f t="shared" si="158"/>
        <v>0.17531736798233513</v>
      </c>
      <c r="AP351" s="1" t="s">
        <v>33</v>
      </c>
      <c r="AQ351" s="1" t="str">
        <f t="shared" si="150"/>
        <v>Paid</v>
      </c>
      <c r="AR351" s="1" t="str">
        <f t="shared" si="151"/>
        <v>OK</v>
      </c>
      <c r="AS351" s="1" t="s">
        <v>34</v>
      </c>
      <c r="AT351" s="4" t="str">
        <f t="shared" si="152"/>
        <v>Completed</v>
      </c>
      <c r="AU351" s="3" t="str">
        <f t="shared" si="153"/>
        <v>OK</v>
      </c>
      <c r="AV351" s="3" t="str">
        <f t="shared" si="159"/>
        <v>CLEAN</v>
      </c>
      <c r="AW351" t="str">
        <f t="shared" si="160"/>
        <v>MATCH</v>
      </c>
      <c r="AX351" t="str">
        <f t="shared" si="161"/>
        <v>MATCH</v>
      </c>
    </row>
    <row r="352" spans="1:50" ht="15.6">
      <c r="A352" s="1" t="s">
        <v>2579</v>
      </c>
      <c r="B352" s="1">
        <f t="shared" si="135"/>
        <v>1</v>
      </c>
      <c r="C352" s="16">
        <v>45496</v>
      </c>
      <c r="D352" s="16">
        <v>45496</v>
      </c>
      <c r="E352" s="16" t="str">
        <f t="shared" si="154"/>
        <v>Jul</v>
      </c>
      <c r="F352" s="1">
        <f t="shared" si="155"/>
        <v>2024</v>
      </c>
      <c r="G352" t="s">
        <v>1551</v>
      </c>
      <c r="H352" s="17">
        <v>45305</v>
      </c>
      <c r="I352" s="21">
        <f t="shared" si="156"/>
        <v>-191</v>
      </c>
      <c r="J352" s="6" t="str">
        <f t="shared" si="157"/>
        <v>INVALID_SHIPPING</v>
      </c>
      <c r="K352" s="1" t="s">
        <v>2580</v>
      </c>
      <c r="L352" s="1" t="s">
        <v>334</v>
      </c>
      <c r="M352" s="1" t="str">
        <f t="shared" si="136"/>
        <v>Kabir Singh</v>
      </c>
      <c r="N352" s="1" t="s">
        <v>104</v>
      </c>
      <c r="O352" s="1" t="str">
        <f t="shared" si="137"/>
        <v>Corporate</v>
      </c>
      <c r="P352" s="1" t="s">
        <v>26</v>
      </c>
      <c r="Q352" s="1" t="str">
        <f t="shared" si="138"/>
        <v>North</v>
      </c>
      <c r="R352" s="1" t="str">
        <f t="shared" si="139"/>
        <v>OK</v>
      </c>
      <c r="S352" s="1" t="s">
        <v>27</v>
      </c>
      <c r="T352" s="1" t="str">
        <f t="shared" si="140"/>
        <v>Rajasthan</v>
      </c>
      <c r="U352" s="1" t="s">
        <v>28</v>
      </c>
      <c r="V352" s="1" t="str">
        <f t="shared" si="141"/>
        <v>Jaipur</v>
      </c>
      <c r="W352" s="1" t="s">
        <v>44</v>
      </c>
      <c r="X352" s="1" t="str">
        <f t="shared" si="142"/>
        <v>Furniture</v>
      </c>
      <c r="Y352" s="1" t="s">
        <v>45</v>
      </c>
      <c r="Z352" s="1" t="str">
        <f t="shared" si="143"/>
        <v>Tables</v>
      </c>
      <c r="AA352" s="1" t="s">
        <v>2581</v>
      </c>
      <c r="AB352" s="1" t="s">
        <v>47</v>
      </c>
      <c r="AC352" s="1" t="str">
        <f t="shared" si="144"/>
        <v>Same Day</v>
      </c>
      <c r="AD352" s="1" t="str">
        <f t="shared" si="145"/>
        <v>OK</v>
      </c>
      <c r="AE352" s="1">
        <v>9</v>
      </c>
      <c r="AF352" s="1">
        <v>1870.11</v>
      </c>
      <c r="AG352" s="9">
        <v>0.25</v>
      </c>
      <c r="AH352" s="9">
        <f t="shared" si="146"/>
        <v>0.25</v>
      </c>
      <c r="AI352" s="1" t="str">
        <f t="shared" si="147"/>
        <v>OK</v>
      </c>
      <c r="AJ352" s="1">
        <v>12623.24</v>
      </c>
      <c r="AK352" s="1">
        <v>10540.8</v>
      </c>
      <c r="AL352" s="1">
        <v>2082.44</v>
      </c>
      <c r="AM352" s="13">
        <f t="shared" si="148"/>
        <v>12623.242499999998</v>
      </c>
      <c r="AN352" s="9">
        <f t="shared" si="149"/>
        <v>2082.4424999999992</v>
      </c>
      <c r="AO352" s="9">
        <f t="shared" si="158"/>
        <v>0.16496890557239943</v>
      </c>
      <c r="AP352" s="1" t="s">
        <v>186</v>
      </c>
      <c r="AQ352" s="1" t="str">
        <f t="shared" si="150"/>
        <v>Failed</v>
      </c>
      <c r="AR352" s="1" t="str">
        <f t="shared" si="151"/>
        <v>EXCLUDE_FROM_SALES</v>
      </c>
      <c r="AS352" s="1" t="s">
        <v>76</v>
      </c>
      <c r="AT352" s="4" t="str">
        <f t="shared" si="152"/>
        <v>Cancelled</v>
      </c>
      <c r="AU352" s="3" t="str">
        <f t="shared" si="153"/>
        <v>EXCLUDE_FROM_SALES</v>
      </c>
      <c r="AV352" s="3" t="str">
        <f t="shared" si="159"/>
        <v>INVALID</v>
      </c>
      <c r="AW352" t="str">
        <f t="shared" si="160"/>
        <v>MATCH</v>
      </c>
      <c r="AX352" t="str">
        <f t="shared" si="161"/>
        <v>MATCH</v>
      </c>
    </row>
    <row r="353" spans="1:50" ht="15.6" hidden="1">
      <c r="A353" s="1" t="s">
        <v>2582</v>
      </c>
      <c r="B353" s="1">
        <f t="shared" si="135"/>
        <v>1</v>
      </c>
      <c r="C353" s="16">
        <v>45618</v>
      </c>
      <c r="D353" s="16">
        <v>45618</v>
      </c>
      <c r="E353" s="16" t="str">
        <f t="shared" si="154"/>
        <v>Nov</v>
      </c>
      <c r="F353" s="1">
        <f t="shared" si="155"/>
        <v>2024</v>
      </c>
      <c r="G353" t="s">
        <v>1479</v>
      </c>
      <c r="H353" s="17">
        <v>45804</v>
      </c>
      <c r="I353" s="21">
        <f t="shared" si="156"/>
        <v>186</v>
      </c>
      <c r="J353" s="6" t="str">
        <f t="shared" si="157"/>
        <v>OK</v>
      </c>
      <c r="K353" s="1" t="s">
        <v>2584</v>
      </c>
      <c r="L353" s="1" t="s">
        <v>136</v>
      </c>
      <c r="M353" s="1" t="str">
        <f t="shared" si="136"/>
        <v>Priya Menon</v>
      </c>
      <c r="N353" s="1" t="s">
        <v>104</v>
      </c>
      <c r="O353" s="1" t="str">
        <f t="shared" si="137"/>
        <v>Corporate</v>
      </c>
      <c r="P353" s="1" t="s">
        <v>60</v>
      </c>
      <c r="Q353" s="1" t="str">
        <f t="shared" si="138"/>
        <v>South</v>
      </c>
      <c r="R353" s="1" t="str">
        <f t="shared" si="139"/>
        <v>OK</v>
      </c>
      <c r="S353" s="1" t="s">
        <v>309</v>
      </c>
      <c r="T353" s="1" t="str">
        <f t="shared" si="140"/>
        <v>Tamil Nadu</v>
      </c>
      <c r="U353" s="1" t="s">
        <v>310</v>
      </c>
      <c r="V353" s="1" t="str">
        <f t="shared" si="141"/>
        <v>Chennai</v>
      </c>
      <c r="W353" s="1" t="s">
        <v>29</v>
      </c>
      <c r="X353" s="1" t="str">
        <f t="shared" si="142"/>
        <v>Office Supplies</v>
      </c>
      <c r="Y353" s="1" t="s">
        <v>184</v>
      </c>
      <c r="Z353" s="1" t="str">
        <f t="shared" si="143"/>
        <v>Binders</v>
      </c>
      <c r="AA353" s="1" t="s">
        <v>2585</v>
      </c>
      <c r="AB353" s="1" t="s">
        <v>55</v>
      </c>
      <c r="AC353" s="1" t="str">
        <f t="shared" si="144"/>
        <v>First Class</v>
      </c>
      <c r="AD353" s="1" t="str">
        <f t="shared" si="145"/>
        <v>OK</v>
      </c>
      <c r="AE353" s="1">
        <v>1</v>
      </c>
      <c r="AF353" s="1">
        <v>4251.26</v>
      </c>
      <c r="AG353" s="9">
        <v>0.2</v>
      </c>
      <c r="AH353" s="9">
        <f t="shared" si="146"/>
        <v>0.2</v>
      </c>
      <c r="AI353" s="1" t="str">
        <f t="shared" si="147"/>
        <v>OK</v>
      </c>
      <c r="AJ353" s="1">
        <v>3401.01</v>
      </c>
      <c r="AK353" s="1">
        <v>2917.54</v>
      </c>
      <c r="AL353" s="1">
        <v>483.47</v>
      </c>
      <c r="AM353" s="13">
        <f t="shared" si="148"/>
        <v>3401.0080000000003</v>
      </c>
      <c r="AN353" s="9">
        <f t="shared" si="149"/>
        <v>483.4680000000003</v>
      </c>
      <c r="AO353" s="9">
        <f t="shared" si="158"/>
        <v>0.14215432601158254</v>
      </c>
      <c r="AP353" s="1" t="s">
        <v>119</v>
      </c>
      <c r="AQ353" s="1" t="str">
        <f t="shared" si="150"/>
        <v>Refunded</v>
      </c>
      <c r="AR353" s="1" t="str">
        <f t="shared" si="151"/>
        <v>REFUNDED_PAYMENT</v>
      </c>
      <c r="AS353" s="1" t="s">
        <v>120</v>
      </c>
      <c r="AT353" s="4" t="str">
        <f t="shared" si="152"/>
        <v>Returned</v>
      </c>
      <c r="AU353" s="3" t="str">
        <f t="shared" si="153"/>
        <v>RETURNED_ORDER</v>
      </c>
      <c r="AV353" s="3" t="str">
        <f t="shared" si="159"/>
        <v>CLEAN</v>
      </c>
      <c r="AW353" t="str">
        <f t="shared" si="160"/>
        <v>MATCH</v>
      </c>
      <c r="AX353" t="str">
        <f t="shared" si="161"/>
        <v>MATCH</v>
      </c>
    </row>
    <row r="354" spans="1:50" ht="15.6" hidden="1">
      <c r="A354" s="1" t="s">
        <v>2586</v>
      </c>
      <c r="B354" s="1">
        <f t="shared" si="135"/>
        <v>1</v>
      </c>
      <c r="C354" s="16">
        <v>45522</v>
      </c>
      <c r="D354" s="16">
        <v>45522</v>
      </c>
      <c r="E354" s="16" t="str">
        <f t="shared" si="154"/>
        <v>Aug</v>
      </c>
      <c r="F354" s="1">
        <f t="shared" si="155"/>
        <v>2024</v>
      </c>
      <c r="G354" t="s">
        <v>1223</v>
      </c>
      <c r="H354" s="17">
        <v>45886</v>
      </c>
      <c r="I354" s="21">
        <f t="shared" si="156"/>
        <v>364</v>
      </c>
      <c r="J354" s="6" t="str">
        <f t="shared" si="157"/>
        <v>OK</v>
      </c>
      <c r="K354" s="1" t="s">
        <v>2588</v>
      </c>
      <c r="L354" s="1" t="s">
        <v>80</v>
      </c>
      <c r="M354" s="1" t="str">
        <f t="shared" si="136"/>
        <v>Vikram Iyer</v>
      </c>
      <c r="N354" s="1" t="s">
        <v>25</v>
      </c>
      <c r="O354" s="1" t="str">
        <f t="shared" si="137"/>
        <v>Consumer</v>
      </c>
      <c r="P354" s="1" t="s">
        <v>26</v>
      </c>
      <c r="Q354" s="1" t="str">
        <f t="shared" si="138"/>
        <v>North</v>
      </c>
      <c r="R354" s="1" t="str">
        <f t="shared" si="139"/>
        <v>OK</v>
      </c>
      <c r="S354" s="1" t="s">
        <v>163</v>
      </c>
      <c r="T354" s="1" t="str">
        <f t="shared" si="140"/>
        <v>Uttar Pradesh</v>
      </c>
      <c r="U354" s="1" t="s">
        <v>164</v>
      </c>
      <c r="V354" s="1" t="str">
        <f t="shared" si="141"/>
        <v>Noida</v>
      </c>
      <c r="W354" s="1" t="s">
        <v>83</v>
      </c>
      <c r="X354" s="1" t="str">
        <f t="shared" si="142"/>
        <v>Technology</v>
      </c>
      <c r="Y354" s="1" t="s">
        <v>347</v>
      </c>
      <c r="Z354" s="1" t="str">
        <f t="shared" si="143"/>
        <v>Machines</v>
      </c>
      <c r="AA354" s="1" t="s">
        <v>2589</v>
      </c>
      <c r="AB354" s="1" t="s">
        <v>65</v>
      </c>
      <c r="AC354" s="1" t="str">
        <f t="shared" si="144"/>
        <v>Standard Class</v>
      </c>
      <c r="AD354" s="1" t="str">
        <f t="shared" si="145"/>
        <v>OK</v>
      </c>
      <c r="AE354" s="1">
        <v>9</v>
      </c>
      <c r="AF354" s="1">
        <v>734.34</v>
      </c>
      <c r="AG354" s="9">
        <v>0</v>
      </c>
      <c r="AH354" s="9">
        <f t="shared" si="146"/>
        <v>0</v>
      </c>
      <c r="AI354" s="1" t="str">
        <f t="shared" si="147"/>
        <v>OK</v>
      </c>
      <c r="AJ354" s="1">
        <v>6609.06</v>
      </c>
      <c r="AK354" s="1">
        <v>4946.78</v>
      </c>
      <c r="AL354" s="1">
        <v>1662.28</v>
      </c>
      <c r="AM354" s="13">
        <f t="shared" si="148"/>
        <v>6609.06</v>
      </c>
      <c r="AN354" s="9">
        <f t="shared" si="149"/>
        <v>1662.2800000000007</v>
      </c>
      <c r="AO354" s="9">
        <f t="shared" si="158"/>
        <v>0.25151534408826681</v>
      </c>
      <c r="AP354" s="1" t="s">
        <v>33</v>
      </c>
      <c r="AQ354" s="1" t="str">
        <f t="shared" si="150"/>
        <v>Paid</v>
      </c>
      <c r="AR354" s="1" t="str">
        <f t="shared" si="151"/>
        <v>OK</v>
      </c>
      <c r="AS354" s="1" t="s">
        <v>34</v>
      </c>
      <c r="AT354" s="4" t="str">
        <f t="shared" si="152"/>
        <v>Completed</v>
      </c>
      <c r="AU354" s="3" t="str">
        <f t="shared" si="153"/>
        <v>OK</v>
      </c>
      <c r="AV354" s="3" t="str">
        <f t="shared" si="159"/>
        <v>CLEAN</v>
      </c>
      <c r="AW354" t="str">
        <f t="shared" si="160"/>
        <v>MATCH</v>
      </c>
      <c r="AX354" t="str">
        <f t="shared" si="161"/>
        <v>MATCH</v>
      </c>
    </row>
    <row r="355" spans="1:50" ht="15.6">
      <c r="A355" s="1" t="s">
        <v>2590</v>
      </c>
      <c r="B355" s="1">
        <f t="shared" si="135"/>
        <v>1</v>
      </c>
      <c r="C355" s="16">
        <v>45624</v>
      </c>
      <c r="D355" s="16">
        <v>45624</v>
      </c>
      <c r="E355" s="16" t="str">
        <f t="shared" si="154"/>
        <v>Nov</v>
      </c>
      <c r="F355" s="1">
        <f t="shared" si="155"/>
        <v>2024</v>
      </c>
      <c r="G355" t="s">
        <v>1025</v>
      </c>
      <c r="H355" s="17">
        <v>45715</v>
      </c>
      <c r="I355" s="21">
        <f t="shared" si="156"/>
        <v>91</v>
      </c>
      <c r="J355" s="6" t="str">
        <f t="shared" si="157"/>
        <v>OK</v>
      </c>
      <c r="K355" s="1" t="s">
        <v>2592</v>
      </c>
      <c r="L355" s="1" t="s">
        <v>103</v>
      </c>
      <c r="M355" s="1" t="str">
        <f t="shared" si="136"/>
        <v>Aditi Sen</v>
      </c>
      <c r="N355" s="1" t="s">
        <v>25</v>
      </c>
      <c r="O355" s="1" t="str">
        <f t="shared" si="137"/>
        <v>Consumer</v>
      </c>
      <c r="P355" s="1" t="s">
        <v>71</v>
      </c>
      <c r="Q355" s="1" t="str">
        <f t="shared" si="138"/>
        <v>West</v>
      </c>
      <c r="R355" s="1" t="str">
        <f t="shared" si="139"/>
        <v>OK</v>
      </c>
      <c r="S355" s="1" t="s">
        <v>72</v>
      </c>
      <c r="T355" s="1" t="str">
        <f t="shared" si="140"/>
        <v>Maharashtra</v>
      </c>
      <c r="U355" s="1" t="s">
        <v>73</v>
      </c>
      <c r="V355" s="1" t="str">
        <f t="shared" si="141"/>
        <v>Mumbai</v>
      </c>
      <c r="W355" s="1" t="s">
        <v>44</v>
      </c>
      <c r="X355" s="1" t="str">
        <f t="shared" si="142"/>
        <v>Furniture</v>
      </c>
      <c r="Y355" s="1" t="s">
        <v>74</v>
      </c>
      <c r="Z355" s="1" t="str">
        <f t="shared" si="143"/>
        <v>Chairs</v>
      </c>
      <c r="AA355" s="1" t="s">
        <v>2593</v>
      </c>
      <c r="AB355" s="1" t="s">
        <v>47</v>
      </c>
      <c r="AC355" s="1" t="str">
        <f t="shared" si="144"/>
        <v>Same Day</v>
      </c>
      <c r="AD355" s="1" t="str">
        <f t="shared" si="145"/>
        <v>OK</v>
      </c>
      <c r="AE355" s="1">
        <v>5</v>
      </c>
      <c r="AF355" s="1">
        <v>1092.8399999999999</v>
      </c>
      <c r="AG355" s="9"/>
      <c r="AH355" s="9">
        <f t="shared" si="146"/>
        <v>0</v>
      </c>
      <c r="AI355" s="1" t="str">
        <f t="shared" si="147"/>
        <v>Missing Discount</v>
      </c>
      <c r="AJ355" s="1">
        <v>5464.2</v>
      </c>
      <c r="AK355" s="1">
        <v>3318.09</v>
      </c>
      <c r="AL355" s="1">
        <v>2146.11</v>
      </c>
      <c r="AM355" s="13">
        <f t="shared" si="148"/>
        <v>5464.2</v>
      </c>
      <c r="AN355" s="9">
        <f t="shared" si="149"/>
        <v>2146.1099999999997</v>
      </c>
      <c r="AO355" s="9">
        <f t="shared" si="158"/>
        <v>0.39275831777753373</v>
      </c>
      <c r="AP355" s="1" t="s">
        <v>33</v>
      </c>
      <c r="AQ355" s="1" t="str">
        <f t="shared" si="150"/>
        <v>Paid</v>
      </c>
      <c r="AR355" s="1" t="str">
        <f t="shared" si="151"/>
        <v>OK</v>
      </c>
      <c r="AS355" s="1" t="s">
        <v>34</v>
      </c>
      <c r="AT355" s="4" t="str">
        <f t="shared" si="152"/>
        <v>Completed</v>
      </c>
      <c r="AU355" s="3" t="str">
        <f t="shared" si="153"/>
        <v>OK</v>
      </c>
      <c r="AV355" s="3" t="str">
        <f t="shared" si="159"/>
        <v>INVALID</v>
      </c>
      <c r="AW355" t="str">
        <f t="shared" si="160"/>
        <v>MATCH</v>
      </c>
      <c r="AX355" t="str">
        <f t="shared" si="161"/>
        <v>MATCH</v>
      </c>
    </row>
    <row r="356" spans="1:50" ht="15.6" hidden="1">
      <c r="A356" s="1" t="s">
        <v>2598</v>
      </c>
      <c r="B356" s="1">
        <f t="shared" si="135"/>
        <v>1</v>
      </c>
      <c r="C356" s="16">
        <v>45512</v>
      </c>
      <c r="D356" s="16">
        <v>45512</v>
      </c>
      <c r="E356" s="16" t="str">
        <f t="shared" si="154"/>
        <v>Aug</v>
      </c>
      <c r="F356" s="1">
        <f t="shared" si="155"/>
        <v>2024</v>
      </c>
      <c r="G356" t="s">
        <v>1565</v>
      </c>
      <c r="H356" s="17">
        <v>45657</v>
      </c>
      <c r="I356" s="21">
        <f t="shared" si="156"/>
        <v>145</v>
      </c>
      <c r="J356" s="6" t="str">
        <f t="shared" si="157"/>
        <v>OK</v>
      </c>
      <c r="K356" s="1" t="s">
        <v>2600</v>
      </c>
      <c r="L356" s="1" t="s">
        <v>80</v>
      </c>
      <c r="M356" s="1" t="str">
        <f t="shared" si="136"/>
        <v>Vikram Iyer</v>
      </c>
      <c r="N356" s="1" t="s">
        <v>110</v>
      </c>
      <c r="O356" s="1" t="str">
        <f t="shared" si="137"/>
        <v>Home Office</v>
      </c>
      <c r="P356" s="1" t="s">
        <v>26</v>
      </c>
      <c r="Q356" s="1" t="str">
        <f t="shared" si="138"/>
        <v>North</v>
      </c>
      <c r="R356" s="1" t="str">
        <f t="shared" si="139"/>
        <v>OK</v>
      </c>
      <c r="S356" s="1" t="s">
        <v>146</v>
      </c>
      <c r="T356" s="1" t="str">
        <f t="shared" si="140"/>
        <v>Punjab</v>
      </c>
      <c r="U356" s="1" t="s">
        <v>147</v>
      </c>
      <c r="V356" s="1" t="str">
        <f t="shared" si="141"/>
        <v>Ludhiana</v>
      </c>
      <c r="W356" s="1" t="s">
        <v>29</v>
      </c>
      <c r="X356" s="1" t="str">
        <f t="shared" si="142"/>
        <v>Office Supplies</v>
      </c>
      <c r="Y356" s="1" t="s">
        <v>148</v>
      </c>
      <c r="Z356" s="1" t="str">
        <f t="shared" si="143"/>
        <v>Storage</v>
      </c>
      <c r="AA356" s="1" t="s">
        <v>2601</v>
      </c>
      <c r="AB356" s="1" t="s">
        <v>32</v>
      </c>
      <c r="AC356" s="1" t="str">
        <f t="shared" si="144"/>
        <v>Second Class</v>
      </c>
      <c r="AD356" s="1" t="str">
        <f t="shared" si="145"/>
        <v>OK</v>
      </c>
      <c r="AE356" s="1">
        <v>8</v>
      </c>
      <c r="AF356" s="1">
        <v>1359.19</v>
      </c>
      <c r="AG356" s="9">
        <v>0.05</v>
      </c>
      <c r="AH356" s="9">
        <f t="shared" si="146"/>
        <v>0.05</v>
      </c>
      <c r="AI356" s="1" t="str">
        <f t="shared" si="147"/>
        <v>OK</v>
      </c>
      <c r="AJ356" s="1">
        <v>10329.84</v>
      </c>
      <c r="AK356" s="1">
        <v>7512.22</v>
      </c>
      <c r="AL356" s="1">
        <v>2817.62</v>
      </c>
      <c r="AM356" s="13">
        <f t="shared" si="148"/>
        <v>10329.843999999999</v>
      </c>
      <c r="AN356" s="9">
        <f t="shared" si="149"/>
        <v>2817.6239999999989</v>
      </c>
      <c r="AO356" s="9">
        <f t="shared" si="158"/>
        <v>0.27276539703794161</v>
      </c>
      <c r="AP356" s="1" t="s">
        <v>33</v>
      </c>
      <c r="AQ356" s="1" t="str">
        <f t="shared" si="150"/>
        <v>Paid</v>
      </c>
      <c r="AR356" s="1" t="str">
        <f t="shared" si="151"/>
        <v>OK</v>
      </c>
      <c r="AS356" s="1" t="s">
        <v>34</v>
      </c>
      <c r="AT356" s="4" t="str">
        <f t="shared" si="152"/>
        <v>Completed</v>
      </c>
      <c r="AU356" s="3" t="str">
        <f t="shared" si="153"/>
        <v>OK</v>
      </c>
      <c r="AV356" s="3" t="str">
        <f t="shared" si="159"/>
        <v>CLEAN</v>
      </c>
      <c r="AW356" t="str">
        <f t="shared" si="160"/>
        <v>MATCH</v>
      </c>
      <c r="AX356" t="str">
        <f t="shared" si="161"/>
        <v>MATCH</v>
      </c>
    </row>
    <row r="357" spans="1:50" ht="15.6" hidden="1">
      <c r="A357" s="1" t="s">
        <v>2602</v>
      </c>
      <c r="B357" s="1">
        <f t="shared" si="135"/>
        <v>1</v>
      </c>
      <c r="C357" s="16">
        <v>45321</v>
      </c>
      <c r="D357" s="16">
        <v>45321</v>
      </c>
      <c r="E357" s="16" t="str">
        <f t="shared" si="154"/>
        <v>Jan</v>
      </c>
      <c r="F357" s="1">
        <f t="shared" si="155"/>
        <v>2024</v>
      </c>
      <c r="G357" t="s">
        <v>1571</v>
      </c>
      <c r="H357" s="17">
        <v>45421</v>
      </c>
      <c r="I357" s="21">
        <f t="shared" si="156"/>
        <v>100</v>
      </c>
      <c r="J357" s="6" t="str">
        <f t="shared" si="157"/>
        <v>OK</v>
      </c>
      <c r="K357" s="1" t="s">
        <v>2604</v>
      </c>
      <c r="L357" s="1" t="s">
        <v>90</v>
      </c>
      <c r="M357" s="1" t="str">
        <f t="shared" si="136"/>
        <v>Neha Gupta</v>
      </c>
      <c r="N357" s="1" t="s">
        <v>110</v>
      </c>
      <c r="O357" s="1" t="str">
        <f t="shared" si="137"/>
        <v>Home Office</v>
      </c>
      <c r="P357" s="1" t="s">
        <v>41</v>
      </c>
      <c r="Q357" s="1" t="str">
        <f t="shared" si="138"/>
        <v>East</v>
      </c>
      <c r="R357" s="1" t="str">
        <f t="shared" si="139"/>
        <v>OK</v>
      </c>
      <c r="S357" s="1" t="s">
        <v>201</v>
      </c>
      <c r="T357" s="1" t="str">
        <f t="shared" si="140"/>
        <v>Assam</v>
      </c>
      <c r="U357" s="1" t="s">
        <v>202</v>
      </c>
      <c r="V357" s="1" t="str">
        <f t="shared" si="141"/>
        <v>Guwahati</v>
      </c>
      <c r="W357" s="1" t="s">
        <v>44</v>
      </c>
      <c r="X357" s="1" t="str">
        <f t="shared" si="142"/>
        <v>Furniture</v>
      </c>
      <c r="Y357" s="1" t="s">
        <v>74</v>
      </c>
      <c r="Z357" s="1" t="str">
        <f t="shared" si="143"/>
        <v>Chairs</v>
      </c>
      <c r="AA357" s="1" t="s">
        <v>2605</v>
      </c>
      <c r="AB357" s="1" t="s">
        <v>55</v>
      </c>
      <c r="AC357" s="1" t="str">
        <f t="shared" si="144"/>
        <v>First Class</v>
      </c>
      <c r="AD357" s="1" t="str">
        <f t="shared" si="145"/>
        <v>OK</v>
      </c>
      <c r="AE357" s="1">
        <v>2</v>
      </c>
      <c r="AF357" s="1">
        <v>4451.03</v>
      </c>
      <c r="AG357" s="9">
        <v>0.05</v>
      </c>
      <c r="AH357" s="9">
        <f t="shared" si="146"/>
        <v>0.05</v>
      </c>
      <c r="AI357" s="1" t="str">
        <f t="shared" si="147"/>
        <v>OK</v>
      </c>
      <c r="AJ357" s="1">
        <v>8456.9599999999991</v>
      </c>
      <c r="AK357" s="1">
        <v>5462.85</v>
      </c>
      <c r="AL357" s="1">
        <v>2994.11</v>
      </c>
      <c r="AM357" s="13">
        <f t="shared" si="148"/>
        <v>8456.9569999999985</v>
      </c>
      <c r="AN357" s="9">
        <f t="shared" si="149"/>
        <v>2994.1069999999982</v>
      </c>
      <c r="AO357" s="9">
        <f t="shared" si="158"/>
        <v>0.35404070282017502</v>
      </c>
      <c r="AP357" s="1" t="s">
        <v>33</v>
      </c>
      <c r="AQ357" s="1" t="str">
        <f t="shared" si="150"/>
        <v>Paid</v>
      </c>
      <c r="AR357" s="1" t="str">
        <f t="shared" si="151"/>
        <v>OK</v>
      </c>
      <c r="AS357" s="1" t="s">
        <v>34</v>
      </c>
      <c r="AT357" s="4" t="str">
        <f t="shared" si="152"/>
        <v>Completed</v>
      </c>
      <c r="AU357" s="3" t="str">
        <f t="shared" si="153"/>
        <v>OK</v>
      </c>
      <c r="AV357" s="3" t="str">
        <f t="shared" si="159"/>
        <v>CLEAN</v>
      </c>
      <c r="AW357" t="str">
        <f t="shared" si="160"/>
        <v>MATCH</v>
      </c>
      <c r="AX357" t="str">
        <f t="shared" si="161"/>
        <v>MATCH</v>
      </c>
    </row>
    <row r="358" spans="1:50" ht="15.6" hidden="1">
      <c r="A358" s="1" t="s">
        <v>2606</v>
      </c>
      <c r="B358" s="1">
        <f t="shared" si="135"/>
        <v>1</v>
      </c>
      <c r="C358" s="16">
        <v>45641</v>
      </c>
      <c r="D358" s="16">
        <v>45641</v>
      </c>
      <c r="E358" s="16" t="str">
        <f t="shared" si="154"/>
        <v>Dec</v>
      </c>
      <c r="F358" s="1">
        <f t="shared" si="155"/>
        <v>2024</v>
      </c>
      <c r="G358" t="s">
        <v>1575</v>
      </c>
      <c r="H358" s="17">
        <v>45837</v>
      </c>
      <c r="I358" s="21">
        <f t="shared" si="156"/>
        <v>196</v>
      </c>
      <c r="J358" s="6" t="str">
        <f t="shared" si="157"/>
        <v>OK</v>
      </c>
      <c r="K358" s="1" t="s">
        <v>2607</v>
      </c>
      <c r="L358" s="1" t="s">
        <v>196</v>
      </c>
      <c r="M358" s="1" t="str">
        <f t="shared" si="136"/>
        <v>Diya Patel</v>
      </c>
      <c r="N358" s="1" t="s">
        <v>104</v>
      </c>
      <c r="O358" s="1" t="str">
        <f t="shared" si="137"/>
        <v>Corporate</v>
      </c>
      <c r="P358" s="1" t="s">
        <v>71</v>
      </c>
      <c r="Q358" s="1" t="str">
        <f t="shared" si="138"/>
        <v>West</v>
      </c>
      <c r="R358" s="1" t="str">
        <f t="shared" si="139"/>
        <v>OK</v>
      </c>
      <c r="S358" s="1" t="s">
        <v>27</v>
      </c>
      <c r="T358" s="1" t="str">
        <f t="shared" si="140"/>
        <v>Rajasthan</v>
      </c>
      <c r="U358" s="1" t="s">
        <v>129</v>
      </c>
      <c r="V358" s="1" t="str">
        <f t="shared" si="141"/>
        <v>Udaipur</v>
      </c>
      <c r="W358" s="1" t="s">
        <v>44</v>
      </c>
      <c r="X358" s="1" t="str">
        <f t="shared" si="142"/>
        <v>Furniture</v>
      </c>
      <c r="Y358" s="1" t="s">
        <v>74</v>
      </c>
      <c r="Z358" s="1" t="str">
        <f t="shared" si="143"/>
        <v>Chairs</v>
      </c>
      <c r="AA358" s="1" t="s">
        <v>2608</v>
      </c>
      <c r="AB358" s="1" t="s">
        <v>47</v>
      </c>
      <c r="AC358" s="1" t="str">
        <f t="shared" si="144"/>
        <v>Same Day</v>
      </c>
      <c r="AD358" s="1" t="str">
        <f t="shared" si="145"/>
        <v>OK</v>
      </c>
      <c r="AE358" s="1">
        <v>3</v>
      </c>
      <c r="AF358" s="1">
        <v>527.66999999999996</v>
      </c>
      <c r="AG358" s="9">
        <v>0.2</v>
      </c>
      <c r="AH358" s="9">
        <f t="shared" si="146"/>
        <v>0.2</v>
      </c>
      <c r="AI358" s="1" t="str">
        <f t="shared" si="147"/>
        <v>OK</v>
      </c>
      <c r="AJ358" s="1">
        <v>1266.4100000000001</v>
      </c>
      <c r="AK358" s="1">
        <v>983.92</v>
      </c>
      <c r="AL358" s="1">
        <v>282.49</v>
      </c>
      <c r="AM358" s="13">
        <f t="shared" si="148"/>
        <v>1266.4079999999999</v>
      </c>
      <c r="AN358" s="9">
        <f t="shared" si="149"/>
        <v>282.48799999999994</v>
      </c>
      <c r="AO358" s="9">
        <f t="shared" si="158"/>
        <v>0.22306239379410109</v>
      </c>
      <c r="AP358" s="1" t="s">
        <v>33</v>
      </c>
      <c r="AQ358" s="1" t="str">
        <f t="shared" si="150"/>
        <v>Paid</v>
      </c>
      <c r="AR358" s="1" t="str">
        <f t="shared" si="151"/>
        <v>OK</v>
      </c>
      <c r="AS358" s="1" t="s">
        <v>34</v>
      </c>
      <c r="AT358" s="4" t="str">
        <f t="shared" si="152"/>
        <v>Completed</v>
      </c>
      <c r="AU358" s="3" t="str">
        <f t="shared" si="153"/>
        <v>OK</v>
      </c>
      <c r="AV358" s="3" t="str">
        <f t="shared" si="159"/>
        <v>CLEAN</v>
      </c>
      <c r="AW358" t="str">
        <f t="shared" si="160"/>
        <v>MATCH</v>
      </c>
      <c r="AX358" t="str">
        <f t="shared" si="161"/>
        <v>MATCH</v>
      </c>
    </row>
    <row r="359" spans="1:50" ht="15.6" hidden="1">
      <c r="A359" s="1" t="s">
        <v>2624</v>
      </c>
      <c r="B359" s="1">
        <f t="shared" si="135"/>
        <v>1</v>
      </c>
      <c r="C359" s="16">
        <v>45539</v>
      </c>
      <c r="D359" s="16">
        <v>45539</v>
      </c>
      <c r="E359" s="16" t="str">
        <f t="shared" si="154"/>
        <v>Sep</v>
      </c>
      <c r="F359" s="1">
        <f t="shared" si="155"/>
        <v>2024</v>
      </c>
      <c r="G359" t="s">
        <v>1579</v>
      </c>
      <c r="H359" s="17">
        <v>45686</v>
      </c>
      <c r="I359" s="21">
        <f t="shared" si="156"/>
        <v>147</v>
      </c>
      <c r="J359" s="6" t="str">
        <f t="shared" si="157"/>
        <v>OK</v>
      </c>
      <c r="K359" s="1" t="s">
        <v>2625</v>
      </c>
      <c r="L359" s="1" t="s">
        <v>136</v>
      </c>
      <c r="M359" s="1" t="str">
        <f t="shared" si="136"/>
        <v>Priya Menon</v>
      </c>
      <c r="N359" s="1" t="s">
        <v>104</v>
      </c>
      <c r="O359" s="1" t="str">
        <f t="shared" si="137"/>
        <v>Corporate</v>
      </c>
      <c r="P359" s="1" t="s">
        <v>41</v>
      </c>
      <c r="Q359" s="1" t="str">
        <f t="shared" si="138"/>
        <v>East</v>
      </c>
      <c r="R359" s="1" t="str">
        <f t="shared" si="139"/>
        <v>OK</v>
      </c>
      <c r="S359" s="1" t="s">
        <v>201</v>
      </c>
      <c r="T359" s="1" t="str">
        <f t="shared" si="140"/>
        <v>Assam</v>
      </c>
      <c r="U359" s="1" t="s">
        <v>202</v>
      </c>
      <c r="V359" s="1" t="str">
        <f t="shared" si="141"/>
        <v>Guwahati</v>
      </c>
      <c r="W359" s="1" t="s">
        <v>29</v>
      </c>
      <c r="X359" s="1" t="str">
        <f t="shared" si="142"/>
        <v>Office Supplies</v>
      </c>
      <c r="Y359" s="1" t="s">
        <v>30</v>
      </c>
      <c r="Z359" s="1" t="str">
        <f t="shared" si="143"/>
        <v>Paper</v>
      </c>
      <c r="AA359" s="1" t="s">
        <v>2626</v>
      </c>
      <c r="AB359" s="1" t="s">
        <v>65</v>
      </c>
      <c r="AC359" s="1" t="str">
        <f t="shared" si="144"/>
        <v>Standard Class</v>
      </c>
      <c r="AD359" s="1" t="str">
        <f t="shared" si="145"/>
        <v>OK</v>
      </c>
      <c r="AE359" s="1">
        <v>4</v>
      </c>
      <c r="AF359" s="1">
        <v>3047.05</v>
      </c>
      <c r="AG359" s="9">
        <v>0.1</v>
      </c>
      <c r="AH359" s="9">
        <f t="shared" si="146"/>
        <v>0.1</v>
      </c>
      <c r="AI359" s="1" t="str">
        <f t="shared" si="147"/>
        <v>OK</v>
      </c>
      <c r="AJ359" s="1">
        <v>10969.38</v>
      </c>
      <c r="AK359" s="1">
        <v>9254.4599999999991</v>
      </c>
      <c r="AL359" s="1">
        <v>1714.92</v>
      </c>
      <c r="AM359" s="13">
        <f t="shared" si="148"/>
        <v>10969.380000000001</v>
      </c>
      <c r="AN359" s="9">
        <f t="shared" si="149"/>
        <v>1714.9200000000019</v>
      </c>
      <c r="AO359" s="9">
        <f t="shared" si="158"/>
        <v>0.15633700354988173</v>
      </c>
      <c r="AP359" s="1" t="s">
        <v>33</v>
      </c>
      <c r="AQ359" s="1" t="str">
        <f t="shared" si="150"/>
        <v>Paid</v>
      </c>
      <c r="AR359" s="1" t="str">
        <f t="shared" si="151"/>
        <v>OK</v>
      </c>
      <c r="AS359" s="1" t="s">
        <v>34</v>
      </c>
      <c r="AT359" s="4" t="str">
        <f t="shared" si="152"/>
        <v>Completed</v>
      </c>
      <c r="AU359" s="3" t="str">
        <f t="shared" si="153"/>
        <v>OK</v>
      </c>
      <c r="AV359" s="3" t="str">
        <f t="shared" si="159"/>
        <v>CLEAN</v>
      </c>
      <c r="AW359" t="str">
        <f t="shared" si="160"/>
        <v>MATCH</v>
      </c>
      <c r="AX359" t="str">
        <f t="shared" si="161"/>
        <v>MATCH</v>
      </c>
    </row>
    <row r="360" spans="1:50" ht="15.6" hidden="1">
      <c r="A360" s="1" t="s">
        <v>2627</v>
      </c>
      <c r="B360" s="1">
        <f t="shared" si="135"/>
        <v>1</v>
      </c>
      <c r="C360" s="16">
        <v>45569</v>
      </c>
      <c r="D360" s="16">
        <v>45569</v>
      </c>
      <c r="E360" s="16" t="str">
        <f t="shared" si="154"/>
        <v>Oct</v>
      </c>
      <c r="F360" s="1">
        <f t="shared" si="155"/>
        <v>2024</v>
      </c>
      <c r="G360" t="s">
        <v>1583</v>
      </c>
      <c r="H360" s="17">
        <v>45876</v>
      </c>
      <c r="I360" s="21">
        <f t="shared" si="156"/>
        <v>307</v>
      </c>
      <c r="J360" s="6" t="str">
        <f t="shared" si="157"/>
        <v>OK</v>
      </c>
      <c r="K360" s="1" t="s">
        <v>2628</v>
      </c>
      <c r="L360" s="1" t="s">
        <v>153</v>
      </c>
      <c r="M360" s="1" t="str">
        <f t="shared" si="136"/>
        <v>Aarav Sharma</v>
      </c>
      <c r="N360" s="1" t="s">
        <v>110</v>
      </c>
      <c r="O360" s="1" t="str">
        <f t="shared" si="137"/>
        <v>Home Office</v>
      </c>
      <c r="P360" s="1" t="s">
        <v>71</v>
      </c>
      <c r="Q360" s="1" t="str">
        <f t="shared" si="138"/>
        <v>West</v>
      </c>
      <c r="R360" s="1" t="str">
        <f t="shared" si="139"/>
        <v>OK</v>
      </c>
      <c r="S360" s="1" t="s">
        <v>27</v>
      </c>
      <c r="T360" s="1" t="str">
        <f t="shared" si="140"/>
        <v>Rajasthan</v>
      </c>
      <c r="U360" s="1" t="s">
        <v>129</v>
      </c>
      <c r="V360" s="1" t="str">
        <f t="shared" si="141"/>
        <v>Udaipur</v>
      </c>
      <c r="W360" s="1" t="s">
        <v>44</v>
      </c>
      <c r="X360" s="1" t="str">
        <f t="shared" si="142"/>
        <v>Furniture</v>
      </c>
      <c r="Y360" s="1" t="s">
        <v>74</v>
      </c>
      <c r="Z360" s="1" t="str">
        <f t="shared" si="143"/>
        <v>Chairs</v>
      </c>
      <c r="AA360" s="1" t="s">
        <v>2629</v>
      </c>
      <c r="AB360" s="1" t="s">
        <v>65</v>
      </c>
      <c r="AC360" s="1" t="str">
        <f t="shared" si="144"/>
        <v>Standard Class</v>
      </c>
      <c r="AD360" s="1" t="str">
        <f t="shared" si="145"/>
        <v>OK</v>
      </c>
      <c r="AE360" s="1">
        <v>8</v>
      </c>
      <c r="AF360" s="1">
        <v>4362.4799999999996</v>
      </c>
      <c r="AG360" s="9">
        <v>0.1</v>
      </c>
      <c r="AH360" s="9">
        <f t="shared" si="146"/>
        <v>0.1</v>
      </c>
      <c r="AI360" s="1" t="str">
        <f t="shared" si="147"/>
        <v>OK</v>
      </c>
      <c r="AJ360" s="1">
        <v>31409.86</v>
      </c>
      <c r="AK360" s="1">
        <v>22523.54</v>
      </c>
      <c r="AL360" s="1">
        <v>8886.32</v>
      </c>
      <c r="AM360" s="13">
        <f t="shared" si="148"/>
        <v>31409.855999999996</v>
      </c>
      <c r="AN360" s="9">
        <f t="shared" si="149"/>
        <v>8886.3159999999953</v>
      </c>
      <c r="AO360" s="9">
        <f t="shared" si="158"/>
        <v>0.2829148914277097</v>
      </c>
      <c r="AP360" s="1" t="s">
        <v>33</v>
      </c>
      <c r="AQ360" s="1" t="str">
        <f t="shared" si="150"/>
        <v>Paid</v>
      </c>
      <c r="AR360" s="1" t="str">
        <f t="shared" si="151"/>
        <v>OK</v>
      </c>
      <c r="AS360" s="1" t="s">
        <v>34</v>
      </c>
      <c r="AT360" s="4" t="str">
        <f t="shared" si="152"/>
        <v>Completed</v>
      </c>
      <c r="AU360" s="3" t="str">
        <f t="shared" si="153"/>
        <v>OK</v>
      </c>
      <c r="AV360" s="3" t="str">
        <f t="shared" si="159"/>
        <v>CLEAN</v>
      </c>
      <c r="AW360" t="str">
        <f t="shared" si="160"/>
        <v>MATCH</v>
      </c>
      <c r="AX360" t="str">
        <f t="shared" si="161"/>
        <v>MATCH</v>
      </c>
    </row>
    <row r="361" spans="1:50" ht="15.6" hidden="1">
      <c r="A361" s="1" t="s">
        <v>2642</v>
      </c>
      <c r="B361" s="1">
        <f t="shared" si="135"/>
        <v>1</v>
      </c>
      <c r="C361" s="16">
        <v>45432</v>
      </c>
      <c r="D361" s="16">
        <v>45432</v>
      </c>
      <c r="E361" s="16" t="str">
        <f t="shared" si="154"/>
        <v>May</v>
      </c>
      <c r="F361" s="1">
        <f t="shared" si="155"/>
        <v>2024</v>
      </c>
      <c r="G361" t="s">
        <v>1587</v>
      </c>
      <c r="H361" s="17">
        <v>45526</v>
      </c>
      <c r="I361" s="21">
        <f t="shared" si="156"/>
        <v>94</v>
      </c>
      <c r="J361" s="6" t="str">
        <f t="shared" si="157"/>
        <v>OK</v>
      </c>
      <c r="K361" s="1" t="s">
        <v>2644</v>
      </c>
      <c r="L361" s="1" t="s">
        <v>39</v>
      </c>
      <c r="M361" s="1" t="str">
        <f t="shared" si="136"/>
        <v>Mira Das</v>
      </c>
      <c r="N361" s="1" t="s">
        <v>104</v>
      </c>
      <c r="O361" s="1" t="str">
        <f t="shared" si="137"/>
        <v>Corporate</v>
      </c>
      <c r="P361" s="1" t="s">
        <v>60</v>
      </c>
      <c r="Q361" s="1" t="str">
        <f t="shared" si="138"/>
        <v>South</v>
      </c>
      <c r="R361" s="1" t="str">
        <f t="shared" si="139"/>
        <v>OK</v>
      </c>
      <c r="S361" s="1" t="s">
        <v>97</v>
      </c>
      <c r="T361" s="1" t="str">
        <f t="shared" si="140"/>
        <v>Andhra Pradesh</v>
      </c>
      <c r="U361" s="1" t="s">
        <v>98</v>
      </c>
      <c r="V361" s="1" t="str">
        <f t="shared" si="141"/>
        <v>Vijayawada</v>
      </c>
      <c r="W361" s="1" t="s">
        <v>44</v>
      </c>
      <c r="X361" s="1" t="str">
        <f t="shared" si="142"/>
        <v>Furniture</v>
      </c>
      <c r="Y361" s="1" t="s">
        <v>74</v>
      </c>
      <c r="Z361" s="1" t="str">
        <f t="shared" si="143"/>
        <v>Chairs</v>
      </c>
      <c r="AA361" s="1" t="s">
        <v>2645</v>
      </c>
      <c r="AB361" s="1" t="s">
        <v>47</v>
      </c>
      <c r="AC361" s="1" t="str">
        <f t="shared" si="144"/>
        <v>Same Day</v>
      </c>
      <c r="AD361" s="1" t="str">
        <f t="shared" si="145"/>
        <v>OK</v>
      </c>
      <c r="AE361" s="1">
        <v>7</v>
      </c>
      <c r="AF361" s="1">
        <v>3122.85</v>
      </c>
      <c r="AG361" s="9">
        <v>0.25</v>
      </c>
      <c r="AH361" s="9">
        <f t="shared" si="146"/>
        <v>0.25</v>
      </c>
      <c r="AI361" s="1" t="str">
        <f t="shared" si="147"/>
        <v>OK</v>
      </c>
      <c r="AJ361" s="1">
        <v>16394.96</v>
      </c>
      <c r="AK361" s="1">
        <v>10404.17</v>
      </c>
      <c r="AL361" s="1">
        <v>5990.79</v>
      </c>
      <c r="AM361" s="13">
        <f t="shared" si="148"/>
        <v>16394.962500000001</v>
      </c>
      <c r="AN361" s="9">
        <f t="shared" si="149"/>
        <v>5990.7925000000014</v>
      </c>
      <c r="AO361" s="9">
        <f t="shared" si="158"/>
        <v>0.36540446493854445</v>
      </c>
      <c r="AP361" s="1" t="s">
        <v>33</v>
      </c>
      <c r="AQ361" s="1" t="str">
        <f t="shared" si="150"/>
        <v>Paid</v>
      </c>
      <c r="AR361" s="1" t="str">
        <f t="shared" si="151"/>
        <v>OK</v>
      </c>
      <c r="AS361" s="1" t="s">
        <v>34</v>
      </c>
      <c r="AT361" s="4" t="str">
        <f t="shared" si="152"/>
        <v>Completed</v>
      </c>
      <c r="AU361" s="3" t="str">
        <f t="shared" si="153"/>
        <v>OK</v>
      </c>
      <c r="AV361" s="3" t="str">
        <f t="shared" si="159"/>
        <v>CLEAN</v>
      </c>
      <c r="AW361" t="str">
        <f t="shared" si="160"/>
        <v>MATCH</v>
      </c>
      <c r="AX361" t="str">
        <f t="shared" si="161"/>
        <v>MATCH</v>
      </c>
    </row>
    <row r="362" spans="1:50" ht="15.6" hidden="1">
      <c r="A362" s="1" t="s">
        <v>2646</v>
      </c>
      <c r="B362" s="1">
        <f t="shared" si="135"/>
        <v>1</v>
      </c>
      <c r="C362" s="16">
        <v>45332</v>
      </c>
      <c r="D362" s="16">
        <v>45332</v>
      </c>
      <c r="E362" s="16" t="str">
        <f t="shared" si="154"/>
        <v>Feb</v>
      </c>
      <c r="F362" s="1">
        <f t="shared" si="155"/>
        <v>2024</v>
      </c>
      <c r="G362" t="s">
        <v>1591</v>
      </c>
      <c r="H362" s="17">
        <v>45463</v>
      </c>
      <c r="I362" s="21">
        <f t="shared" si="156"/>
        <v>131</v>
      </c>
      <c r="J362" s="6" t="str">
        <f t="shared" si="157"/>
        <v>OK</v>
      </c>
      <c r="K362" s="1" t="s">
        <v>2648</v>
      </c>
      <c r="L362" s="1" t="s">
        <v>70</v>
      </c>
      <c r="M362" s="1" t="str">
        <f t="shared" si="136"/>
        <v>Ananya Rao</v>
      </c>
      <c r="N362" s="1" t="s">
        <v>25</v>
      </c>
      <c r="O362" s="1" t="str">
        <f t="shared" si="137"/>
        <v>Consumer</v>
      </c>
      <c r="P362" s="1" t="s">
        <v>60</v>
      </c>
      <c r="Q362" s="1" t="str">
        <f t="shared" si="138"/>
        <v>South</v>
      </c>
      <c r="R362" s="1" t="str">
        <f t="shared" si="139"/>
        <v>OK</v>
      </c>
      <c r="S362" s="1" t="s">
        <v>309</v>
      </c>
      <c r="T362" s="1" t="str">
        <f t="shared" si="140"/>
        <v>Tamil Nadu</v>
      </c>
      <c r="U362" s="1" t="s">
        <v>310</v>
      </c>
      <c r="V362" s="1" t="str">
        <f t="shared" si="141"/>
        <v>Chennai</v>
      </c>
      <c r="W362" s="1" t="s">
        <v>29</v>
      </c>
      <c r="X362" s="1" t="str">
        <f t="shared" si="142"/>
        <v>Office Supplies</v>
      </c>
      <c r="Y362" s="1" t="s">
        <v>30</v>
      </c>
      <c r="Z362" s="1" t="str">
        <f t="shared" si="143"/>
        <v>Paper</v>
      </c>
      <c r="AA362" s="1" t="s">
        <v>2649</v>
      </c>
      <c r="AB362" s="1" t="s">
        <v>65</v>
      </c>
      <c r="AC362" s="1" t="str">
        <f t="shared" si="144"/>
        <v>Standard Class</v>
      </c>
      <c r="AD362" s="1" t="str">
        <f t="shared" si="145"/>
        <v>OK</v>
      </c>
      <c r="AE362" s="1">
        <v>8</v>
      </c>
      <c r="AF362" s="1">
        <v>1910.31</v>
      </c>
      <c r="AG362" s="9">
        <v>0.15</v>
      </c>
      <c r="AH362" s="9">
        <f t="shared" si="146"/>
        <v>0.15</v>
      </c>
      <c r="AI362" s="1" t="str">
        <f t="shared" si="147"/>
        <v>OK</v>
      </c>
      <c r="AJ362" s="1">
        <v>12990.11</v>
      </c>
      <c r="AK362" s="1">
        <v>10200.799999999999</v>
      </c>
      <c r="AL362" s="1">
        <v>2789.31</v>
      </c>
      <c r="AM362" s="13">
        <f t="shared" si="148"/>
        <v>12990.108</v>
      </c>
      <c r="AN362" s="9">
        <f t="shared" si="149"/>
        <v>2789.3080000000009</v>
      </c>
      <c r="AO362" s="9">
        <f t="shared" si="158"/>
        <v>0.2147255434673831</v>
      </c>
      <c r="AP362" s="1" t="s">
        <v>33</v>
      </c>
      <c r="AQ362" s="1" t="str">
        <f t="shared" si="150"/>
        <v>Paid</v>
      </c>
      <c r="AR362" s="1" t="str">
        <f t="shared" si="151"/>
        <v>OK</v>
      </c>
      <c r="AS362" s="1" t="s">
        <v>34</v>
      </c>
      <c r="AT362" s="4" t="str">
        <f t="shared" si="152"/>
        <v>Completed</v>
      </c>
      <c r="AU362" s="3" t="str">
        <f t="shared" si="153"/>
        <v>OK</v>
      </c>
      <c r="AV362" s="3" t="str">
        <f t="shared" si="159"/>
        <v>CLEAN</v>
      </c>
      <c r="AW362" t="str">
        <f t="shared" si="160"/>
        <v>MATCH</v>
      </c>
      <c r="AX362" t="str">
        <f t="shared" si="161"/>
        <v>MATCH</v>
      </c>
    </row>
    <row r="363" spans="1:50" ht="15.6" hidden="1">
      <c r="A363" s="1" t="s">
        <v>2650</v>
      </c>
      <c r="B363" s="1">
        <f t="shared" si="135"/>
        <v>1</v>
      </c>
      <c r="C363" s="16">
        <v>45438</v>
      </c>
      <c r="D363" s="16">
        <v>45438</v>
      </c>
      <c r="E363" s="16" t="str">
        <f t="shared" si="154"/>
        <v>May</v>
      </c>
      <c r="F363" s="1">
        <f t="shared" si="155"/>
        <v>2024</v>
      </c>
      <c r="G363" t="s">
        <v>1595</v>
      </c>
      <c r="H363" s="17">
        <v>45749</v>
      </c>
      <c r="I363" s="21">
        <f t="shared" si="156"/>
        <v>311</v>
      </c>
      <c r="J363" s="6" t="str">
        <f t="shared" si="157"/>
        <v>OK</v>
      </c>
      <c r="K363" s="1" t="s">
        <v>2652</v>
      </c>
      <c r="L363" s="1" t="s">
        <v>141</v>
      </c>
      <c r="M363" s="1" t="str">
        <f t="shared" si="136"/>
        <v>Rahul Verma</v>
      </c>
      <c r="N363" s="1" t="s">
        <v>40</v>
      </c>
      <c r="O363" s="1" t="str">
        <f t="shared" si="137"/>
        <v>Small Business</v>
      </c>
      <c r="P363" s="1" t="s">
        <v>71</v>
      </c>
      <c r="Q363" s="1" t="str">
        <f t="shared" si="138"/>
        <v>West</v>
      </c>
      <c r="R363" s="1" t="str">
        <f t="shared" si="139"/>
        <v>OK</v>
      </c>
      <c r="S363" s="1" t="s">
        <v>230</v>
      </c>
      <c r="T363" s="1" t="str">
        <f t="shared" si="140"/>
        <v>Goa</v>
      </c>
      <c r="U363" s="1" t="s">
        <v>231</v>
      </c>
      <c r="V363" s="1" t="str">
        <f t="shared" si="141"/>
        <v>Panaji</v>
      </c>
      <c r="W363" s="1" t="s">
        <v>83</v>
      </c>
      <c r="X363" s="1" t="str">
        <f t="shared" si="142"/>
        <v>Technology</v>
      </c>
      <c r="Y363" s="1" t="s">
        <v>91</v>
      </c>
      <c r="Z363" s="1" t="str">
        <f t="shared" si="143"/>
        <v>Copiers</v>
      </c>
      <c r="AA363" s="1" t="s">
        <v>2653</v>
      </c>
      <c r="AB363" s="1" t="s">
        <v>55</v>
      </c>
      <c r="AC363" s="1" t="str">
        <f t="shared" si="144"/>
        <v>First Class</v>
      </c>
      <c r="AD363" s="1" t="str">
        <f t="shared" si="145"/>
        <v>OK</v>
      </c>
      <c r="AE363" s="1">
        <v>2</v>
      </c>
      <c r="AF363" s="1">
        <v>3192.47</v>
      </c>
      <c r="AG363" s="9">
        <v>0.2</v>
      </c>
      <c r="AH363" s="9">
        <f t="shared" si="146"/>
        <v>0.2</v>
      </c>
      <c r="AI363" s="1" t="str">
        <f t="shared" si="147"/>
        <v>OK</v>
      </c>
      <c r="AJ363" s="1">
        <v>5107.95</v>
      </c>
      <c r="AK363" s="1">
        <v>3133.08</v>
      </c>
      <c r="AL363" s="1">
        <v>1974.87</v>
      </c>
      <c r="AM363" s="13">
        <f t="shared" si="148"/>
        <v>5107.9520000000002</v>
      </c>
      <c r="AN363" s="9">
        <f t="shared" si="149"/>
        <v>1974.8720000000003</v>
      </c>
      <c r="AO363" s="9">
        <f t="shared" si="158"/>
        <v>0.38662696908663202</v>
      </c>
      <c r="AP363" s="1" t="s">
        <v>33</v>
      </c>
      <c r="AQ363" s="1" t="str">
        <f t="shared" si="150"/>
        <v>Paid</v>
      </c>
      <c r="AR363" s="1" t="str">
        <f t="shared" si="151"/>
        <v>OK</v>
      </c>
      <c r="AS363" s="1" t="s">
        <v>34</v>
      </c>
      <c r="AT363" s="4" t="str">
        <f t="shared" si="152"/>
        <v>Completed</v>
      </c>
      <c r="AU363" s="3" t="str">
        <f t="shared" si="153"/>
        <v>OK</v>
      </c>
      <c r="AV363" s="3" t="str">
        <f t="shared" si="159"/>
        <v>CLEAN</v>
      </c>
      <c r="AW363" t="str">
        <f t="shared" si="160"/>
        <v>MATCH</v>
      </c>
      <c r="AX363" t="str">
        <f t="shared" si="161"/>
        <v>MATCH</v>
      </c>
    </row>
    <row r="364" spans="1:50" ht="15.6" hidden="1">
      <c r="A364" s="1" t="s">
        <v>2654</v>
      </c>
      <c r="B364" s="1">
        <f t="shared" si="135"/>
        <v>1</v>
      </c>
      <c r="C364" s="16">
        <v>45317</v>
      </c>
      <c r="D364" s="16">
        <v>45317</v>
      </c>
      <c r="E364" s="16" t="str">
        <f t="shared" si="154"/>
        <v>Jan</v>
      </c>
      <c r="F364" s="1">
        <f t="shared" si="155"/>
        <v>2024</v>
      </c>
      <c r="G364" t="s">
        <v>1599</v>
      </c>
      <c r="H364" s="17">
        <v>45529</v>
      </c>
      <c r="I364" s="21">
        <f t="shared" si="156"/>
        <v>212</v>
      </c>
      <c r="J364" s="6" t="str">
        <f t="shared" si="157"/>
        <v>OK</v>
      </c>
      <c r="K364" s="1" t="s">
        <v>2656</v>
      </c>
      <c r="L364" s="1" t="s">
        <v>24</v>
      </c>
      <c r="M364" s="1" t="str">
        <f t="shared" si="136"/>
        <v>Karan Malhotra</v>
      </c>
      <c r="N364" s="1" t="s">
        <v>104</v>
      </c>
      <c r="O364" s="1" t="str">
        <f t="shared" si="137"/>
        <v>Corporate</v>
      </c>
      <c r="P364" s="1" t="s">
        <v>60</v>
      </c>
      <c r="Q364" s="1" t="str">
        <f t="shared" si="138"/>
        <v>South</v>
      </c>
      <c r="R364" s="1" t="str">
        <f t="shared" si="139"/>
        <v>OK</v>
      </c>
      <c r="S364" s="1" t="s">
        <v>224</v>
      </c>
      <c r="T364" s="1" t="str">
        <f t="shared" si="140"/>
        <v>Kerala</v>
      </c>
      <c r="U364" s="1" t="s">
        <v>225</v>
      </c>
      <c r="V364" s="1" t="str">
        <f t="shared" si="141"/>
        <v>Kochi</v>
      </c>
      <c r="W364" s="1" t="s">
        <v>29</v>
      </c>
      <c r="X364" s="1" t="str">
        <f t="shared" si="142"/>
        <v>Office Supplies</v>
      </c>
      <c r="Y364" s="1" t="s">
        <v>148</v>
      </c>
      <c r="Z364" s="1" t="str">
        <f t="shared" si="143"/>
        <v>Storage</v>
      </c>
      <c r="AA364" s="1" t="s">
        <v>2657</v>
      </c>
      <c r="AB364" s="1" t="s">
        <v>32</v>
      </c>
      <c r="AC364" s="1" t="str">
        <f t="shared" si="144"/>
        <v>Second Class</v>
      </c>
      <c r="AD364" s="1" t="str">
        <f t="shared" si="145"/>
        <v>OK</v>
      </c>
      <c r="AE364" s="1">
        <v>3</v>
      </c>
      <c r="AF364" s="1">
        <v>3224.32</v>
      </c>
      <c r="AG364" s="9">
        <v>0.2</v>
      </c>
      <c r="AH364" s="9">
        <f t="shared" si="146"/>
        <v>0.2</v>
      </c>
      <c r="AI364" s="1" t="str">
        <f t="shared" si="147"/>
        <v>OK</v>
      </c>
      <c r="AJ364" s="1">
        <v>7738.37</v>
      </c>
      <c r="AK364" s="1">
        <v>4626.8500000000004</v>
      </c>
      <c r="AL364" s="1">
        <v>3111.52</v>
      </c>
      <c r="AM364" s="13">
        <f t="shared" si="148"/>
        <v>7738.3680000000013</v>
      </c>
      <c r="AN364" s="9">
        <f t="shared" si="149"/>
        <v>3111.5180000000009</v>
      </c>
      <c r="AO364" s="9">
        <f t="shared" si="158"/>
        <v>0.40208969126306743</v>
      </c>
      <c r="AP364" s="1" t="s">
        <v>186</v>
      </c>
      <c r="AQ364" s="1" t="str">
        <f t="shared" si="150"/>
        <v>Failed</v>
      </c>
      <c r="AR364" s="1" t="str">
        <f t="shared" si="151"/>
        <v>EXCLUDE_FROM_SALES</v>
      </c>
      <c r="AS364" s="1" t="s">
        <v>120</v>
      </c>
      <c r="AT364" s="4" t="str">
        <f t="shared" si="152"/>
        <v>Returned</v>
      </c>
      <c r="AU364" s="3" t="str">
        <f t="shared" si="153"/>
        <v>RETURNED_ORDER</v>
      </c>
      <c r="AV364" s="3" t="str">
        <f t="shared" si="159"/>
        <v>CLEAN</v>
      </c>
      <c r="AW364" t="str">
        <f t="shared" si="160"/>
        <v>MATCH</v>
      </c>
      <c r="AX364" t="str">
        <f t="shared" si="161"/>
        <v>MATCH</v>
      </c>
    </row>
    <row r="365" spans="1:50" ht="15.6" hidden="1">
      <c r="A365" s="1" t="s">
        <v>2658</v>
      </c>
      <c r="B365" s="1">
        <f t="shared" si="135"/>
        <v>1</v>
      </c>
      <c r="C365" s="16">
        <v>45653</v>
      </c>
      <c r="D365" s="16">
        <v>45653</v>
      </c>
      <c r="E365" s="16" t="str">
        <f t="shared" si="154"/>
        <v>Dec</v>
      </c>
      <c r="F365" s="1">
        <f t="shared" si="155"/>
        <v>2024</v>
      </c>
      <c r="G365" t="s">
        <v>1603</v>
      </c>
      <c r="H365" s="17">
        <v>45850</v>
      </c>
      <c r="I365" s="21">
        <f t="shared" si="156"/>
        <v>197</v>
      </c>
      <c r="J365" s="6" t="str">
        <f t="shared" si="157"/>
        <v>OK</v>
      </c>
      <c r="K365" s="1" t="s">
        <v>2659</v>
      </c>
      <c r="L365" s="1" t="s">
        <v>52</v>
      </c>
      <c r="M365" s="1" t="str">
        <f t="shared" si="136"/>
        <v>Isha Nair</v>
      </c>
      <c r="N365" s="1" t="s">
        <v>40</v>
      </c>
      <c r="O365" s="1" t="str">
        <f t="shared" si="137"/>
        <v>Small Business</v>
      </c>
      <c r="P365" s="1" t="s">
        <v>41</v>
      </c>
      <c r="Q365" s="1" t="str">
        <f t="shared" si="138"/>
        <v>East</v>
      </c>
      <c r="R365" s="1" t="str">
        <f t="shared" si="139"/>
        <v>OK</v>
      </c>
      <c r="S365" s="1" t="s">
        <v>42</v>
      </c>
      <c r="T365" s="1" t="str">
        <f t="shared" si="140"/>
        <v>Odisha</v>
      </c>
      <c r="U365" s="1" t="s">
        <v>43</v>
      </c>
      <c r="V365" s="1" t="str">
        <f t="shared" si="141"/>
        <v>Bhubaneswar</v>
      </c>
      <c r="W365" s="1" t="s">
        <v>44</v>
      </c>
      <c r="X365" s="1" t="str">
        <f t="shared" si="142"/>
        <v>Furniture</v>
      </c>
      <c r="Y365" s="1" t="s">
        <v>74</v>
      </c>
      <c r="Z365" s="1" t="str">
        <f t="shared" si="143"/>
        <v>Chairs</v>
      </c>
      <c r="AA365" s="1" t="s">
        <v>2660</v>
      </c>
      <c r="AB365" s="1" t="s">
        <v>32</v>
      </c>
      <c r="AC365" s="1" t="str">
        <f t="shared" si="144"/>
        <v>Second Class</v>
      </c>
      <c r="AD365" s="1" t="str">
        <f t="shared" si="145"/>
        <v>OK</v>
      </c>
      <c r="AE365" s="1">
        <v>1</v>
      </c>
      <c r="AF365" s="1">
        <v>1594.7</v>
      </c>
      <c r="AG365" s="9">
        <v>0.05</v>
      </c>
      <c r="AH365" s="9">
        <f t="shared" si="146"/>
        <v>0.05</v>
      </c>
      <c r="AI365" s="1" t="str">
        <f t="shared" si="147"/>
        <v>OK</v>
      </c>
      <c r="AJ365" s="1">
        <v>1514.96</v>
      </c>
      <c r="AK365" s="1">
        <v>1046.17</v>
      </c>
      <c r="AL365" s="1">
        <v>468.79</v>
      </c>
      <c r="AM365" s="13">
        <f t="shared" si="148"/>
        <v>1514.9649999999999</v>
      </c>
      <c r="AN365" s="9">
        <f t="shared" si="149"/>
        <v>468.79499999999985</v>
      </c>
      <c r="AO365" s="9">
        <f t="shared" si="158"/>
        <v>0.3094427924077453</v>
      </c>
      <c r="AP365" s="1" t="s">
        <v>33</v>
      </c>
      <c r="AQ365" s="1" t="str">
        <f t="shared" si="150"/>
        <v>Paid</v>
      </c>
      <c r="AR365" s="1" t="str">
        <f t="shared" si="151"/>
        <v>OK</v>
      </c>
      <c r="AS365" s="1" t="s">
        <v>34</v>
      </c>
      <c r="AT365" s="4" t="str">
        <f t="shared" si="152"/>
        <v>Completed</v>
      </c>
      <c r="AU365" s="3" t="str">
        <f t="shared" si="153"/>
        <v>OK</v>
      </c>
      <c r="AV365" s="3" t="str">
        <f t="shared" si="159"/>
        <v>CLEAN</v>
      </c>
      <c r="AW365" t="str">
        <f t="shared" si="160"/>
        <v>MISMATCH</v>
      </c>
      <c r="AX365" t="str">
        <f t="shared" si="161"/>
        <v>MISMATCH</v>
      </c>
    </row>
    <row r="366" spans="1:50" ht="15.6" hidden="1">
      <c r="A366" s="1" t="s">
        <v>2668</v>
      </c>
      <c r="B366" s="1">
        <f t="shared" si="135"/>
        <v>1</v>
      </c>
      <c r="C366" s="16">
        <v>45533</v>
      </c>
      <c r="D366" s="16">
        <v>45533</v>
      </c>
      <c r="E366" s="16" t="str">
        <f t="shared" si="154"/>
        <v>Aug</v>
      </c>
      <c r="F366" s="1">
        <f t="shared" si="155"/>
        <v>2024</v>
      </c>
      <c r="G366" t="s">
        <v>1607</v>
      </c>
      <c r="H366" s="17">
        <v>45740</v>
      </c>
      <c r="I366" s="21">
        <f t="shared" si="156"/>
        <v>207</v>
      </c>
      <c r="J366" s="6" t="str">
        <f t="shared" si="157"/>
        <v>OK</v>
      </c>
      <c r="K366" s="1" t="s">
        <v>2669</v>
      </c>
      <c r="L366" s="1" t="s">
        <v>52</v>
      </c>
      <c r="M366" s="1" t="str">
        <f t="shared" si="136"/>
        <v>Isha Nair</v>
      </c>
      <c r="N366" s="1" t="s">
        <v>110</v>
      </c>
      <c r="O366" s="1" t="str">
        <f t="shared" si="137"/>
        <v>Home Office</v>
      </c>
      <c r="P366" s="1" t="s">
        <v>41</v>
      </c>
      <c r="Q366" s="1" t="str">
        <f t="shared" si="138"/>
        <v>East</v>
      </c>
      <c r="R366" s="1" t="str">
        <f t="shared" si="139"/>
        <v>OK</v>
      </c>
      <c r="S366" s="1" t="s">
        <v>201</v>
      </c>
      <c r="T366" s="1" t="str">
        <f t="shared" si="140"/>
        <v>Assam</v>
      </c>
      <c r="U366" s="1" t="s">
        <v>202</v>
      </c>
      <c r="V366" s="1" t="str">
        <f t="shared" si="141"/>
        <v>Guwahati</v>
      </c>
      <c r="W366" s="1" t="s">
        <v>29</v>
      </c>
      <c r="X366" s="1" t="str">
        <f t="shared" si="142"/>
        <v>Office Supplies</v>
      </c>
      <c r="Y366" s="1" t="s">
        <v>2670</v>
      </c>
      <c r="Z366" s="1" t="str">
        <f t="shared" si="143"/>
        <v>Binders</v>
      </c>
      <c r="AA366" s="1" t="s">
        <v>2671</v>
      </c>
      <c r="AB366" s="1" t="s">
        <v>32</v>
      </c>
      <c r="AC366" s="1" t="str">
        <f t="shared" si="144"/>
        <v>Second Class</v>
      </c>
      <c r="AD366" s="1" t="str">
        <f t="shared" si="145"/>
        <v>OK</v>
      </c>
      <c r="AE366" s="1">
        <v>9</v>
      </c>
      <c r="AF366" s="1">
        <v>1275.21</v>
      </c>
      <c r="AG366" s="9">
        <v>0.25</v>
      </c>
      <c r="AH366" s="9">
        <f t="shared" si="146"/>
        <v>0.25</v>
      </c>
      <c r="AI366" s="1" t="str">
        <f t="shared" si="147"/>
        <v>OK</v>
      </c>
      <c r="AJ366" s="1">
        <v>8607.67</v>
      </c>
      <c r="AK366" s="1">
        <v>5337.64</v>
      </c>
      <c r="AL366" s="1">
        <v>3270.03</v>
      </c>
      <c r="AM366" s="13">
        <f t="shared" si="148"/>
        <v>8607.6674999999996</v>
      </c>
      <c r="AN366" s="9">
        <f t="shared" si="149"/>
        <v>3270.0274999999992</v>
      </c>
      <c r="AO366" s="9">
        <f t="shared" si="158"/>
        <v>0.37989705108846261</v>
      </c>
      <c r="AP366" s="1" t="s">
        <v>186</v>
      </c>
      <c r="AQ366" s="1" t="str">
        <f t="shared" si="150"/>
        <v>Failed</v>
      </c>
      <c r="AR366" s="1" t="str">
        <f t="shared" si="151"/>
        <v>EXCLUDE_FROM_SALES</v>
      </c>
      <c r="AS366" s="1" t="s">
        <v>120</v>
      </c>
      <c r="AT366" s="4" t="str">
        <f t="shared" si="152"/>
        <v>Returned</v>
      </c>
      <c r="AU366" s="3" t="str">
        <f t="shared" si="153"/>
        <v>RETURNED_ORDER</v>
      </c>
      <c r="AV366" s="3" t="str">
        <f t="shared" si="159"/>
        <v>CLEAN</v>
      </c>
      <c r="AW366" t="str">
        <f t="shared" si="160"/>
        <v>MATCH</v>
      </c>
      <c r="AX366" t="str">
        <f t="shared" si="161"/>
        <v>MATCH</v>
      </c>
    </row>
    <row r="367" spans="1:50" ht="15.6" hidden="1">
      <c r="A367" s="1" t="s">
        <v>2672</v>
      </c>
      <c r="B367" s="1">
        <f t="shared" si="135"/>
        <v>1</v>
      </c>
      <c r="C367" s="16">
        <v>45327</v>
      </c>
      <c r="D367" s="16">
        <v>45327</v>
      </c>
      <c r="E367" s="16" t="str">
        <f t="shared" si="154"/>
        <v>Feb</v>
      </c>
      <c r="F367" s="1">
        <f t="shared" si="155"/>
        <v>2024</v>
      </c>
      <c r="G367" t="s">
        <v>1611</v>
      </c>
      <c r="H367" s="17">
        <v>45464</v>
      </c>
      <c r="I367" s="21">
        <f t="shared" si="156"/>
        <v>137</v>
      </c>
      <c r="J367" s="6" t="str">
        <f t="shared" si="157"/>
        <v>OK</v>
      </c>
      <c r="K367" s="1" t="s">
        <v>968</v>
      </c>
      <c r="L367" s="1" t="s">
        <v>153</v>
      </c>
      <c r="M367" s="1" t="str">
        <f t="shared" si="136"/>
        <v>Aarav Sharma</v>
      </c>
      <c r="N367" s="1" t="s">
        <v>110</v>
      </c>
      <c r="O367" s="1" t="str">
        <f t="shared" si="137"/>
        <v>Home Office</v>
      </c>
      <c r="P367" s="1" t="s">
        <v>26</v>
      </c>
      <c r="Q367" s="1" t="str">
        <f t="shared" si="138"/>
        <v>North</v>
      </c>
      <c r="R367" s="1" t="str">
        <f t="shared" si="139"/>
        <v>OK</v>
      </c>
      <c r="S367" s="1" t="s">
        <v>163</v>
      </c>
      <c r="T367" s="1" t="str">
        <f t="shared" si="140"/>
        <v>Uttar Pradesh</v>
      </c>
      <c r="U367" s="1" t="s">
        <v>164</v>
      </c>
      <c r="V367" s="1" t="str">
        <f t="shared" si="141"/>
        <v>Noida</v>
      </c>
      <c r="W367" s="1" t="s">
        <v>29</v>
      </c>
      <c r="X367" s="1" t="str">
        <f t="shared" si="142"/>
        <v>Office Supplies</v>
      </c>
      <c r="Y367" s="1" t="s">
        <v>105</v>
      </c>
      <c r="Z367" s="1" t="str">
        <f t="shared" si="143"/>
        <v>Labels</v>
      </c>
      <c r="AA367" s="1" t="s">
        <v>2674</v>
      </c>
      <c r="AB367" s="1" t="s">
        <v>65</v>
      </c>
      <c r="AC367" s="1" t="str">
        <f t="shared" si="144"/>
        <v>Standard Class</v>
      </c>
      <c r="AD367" s="1" t="str">
        <f t="shared" si="145"/>
        <v>OK</v>
      </c>
      <c r="AE367" s="1">
        <v>8</v>
      </c>
      <c r="AF367" s="1">
        <v>3871.18</v>
      </c>
      <c r="AG367" s="9">
        <v>0.15</v>
      </c>
      <c r="AH367" s="9">
        <f t="shared" si="146"/>
        <v>0.15</v>
      </c>
      <c r="AI367" s="1" t="str">
        <f t="shared" si="147"/>
        <v>OK</v>
      </c>
      <c r="AJ367" s="1">
        <v>26324.02</v>
      </c>
      <c r="AK367" s="1">
        <v>16277.96</v>
      </c>
      <c r="AL367" s="1">
        <v>10046.06</v>
      </c>
      <c r="AM367" s="13">
        <f t="shared" si="148"/>
        <v>26324.023999999998</v>
      </c>
      <c r="AN367" s="9">
        <f t="shared" si="149"/>
        <v>10046.063999999998</v>
      </c>
      <c r="AO367" s="9">
        <f t="shared" si="158"/>
        <v>0.3816310150758106</v>
      </c>
      <c r="AP367" s="1" t="s">
        <v>186</v>
      </c>
      <c r="AQ367" s="1" t="str">
        <f t="shared" si="150"/>
        <v>Failed</v>
      </c>
      <c r="AR367" s="1" t="str">
        <f t="shared" si="151"/>
        <v>EXCLUDE_FROM_SALES</v>
      </c>
      <c r="AS367" s="1" t="s">
        <v>120</v>
      </c>
      <c r="AT367" s="4" t="str">
        <f t="shared" si="152"/>
        <v>Returned</v>
      </c>
      <c r="AU367" s="3" t="str">
        <f t="shared" si="153"/>
        <v>RETURNED_ORDER</v>
      </c>
      <c r="AV367" s="3" t="str">
        <f t="shared" si="159"/>
        <v>CLEAN</v>
      </c>
      <c r="AW367" t="str">
        <f t="shared" si="160"/>
        <v>MATCH</v>
      </c>
      <c r="AX367" t="str">
        <f t="shared" si="161"/>
        <v>MATCH</v>
      </c>
    </row>
    <row r="368" spans="1:50" ht="15.6" hidden="1">
      <c r="A368" s="1" t="s">
        <v>2679</v>
      </c>
      <c r="B368" s="1">
        <f t="shared" si="135"/>
        <v>1</v>
      </c>
      <c r="C368" s="16">
        <v>45383</v>
      </c>
      <c r="D368" s="16">
        <v>45383</v>
      </c>
      <c r="E368" s="16" t="str">
        <f t="shared" si="154"/>
        <v>Apr</v>
      </c>
      <c r="F368" s="1">
        <f t="shared" si="155"/>
        <v>2024</v>
      </c>
      <c r="G368" t="s">
        <v>1615</v>
      </c>
      <c r="H368" s="17">
        <v>45679</v>
      </c>
      <c r="I368" s="21">
        <f t="shared" si="156"/>
        <v>296</v>
      </c>
      <c r="J368" s="6" t="str">
        <f t="shared" si="157"/>
        <v>OK</v>
      </c>
      <c r="K368" s="1" t="s">
        <v>2680</v>
      </c>
      <c r="L368" s="1" t="s">
        <v>334</v>
      </c>
      <c r="M368" s="1" t="str">
        <f t="shared" si="136"/>
        <v>Kabir Singh</v>
      </c>
      <c r="N368" s="1" t="s">
        <v>25</v>
      </c>
      <c r="O368" s="1" t="str">
        <f t="shared" si="137"/>
        <v>Consumer</v>
      </c>
      <c r="P368" s="1" t="s">
        <v>41</v>
      </c>
      <c r="Q368" s="1" t="str">
        <f t="shared" si="138"/>
        <v>East</v>
      </c>
      <c r="R368" s="1" t="str">
        <f t="shared" si="139"/>
        <v>OK</v>
      </c>
      <c r="S368" s="1" t="s">
        <v>174</v>
      </c>
      <c r="T368" s="1" t="str">
        <f t="shared" si="140"/>
        <v>Bihar</v>
      </c>
      <c r="U368" s="1" t="s">
        <v>175</v>
      </c>
      <c r="V368" s="1" t="str">
        <f t="shared" si="141"/>
        <v>Patna</v>
      </c>
      <c r="W368" s="1" t="s">
        <v>44</v>
      </c>
      <c r="X368" s="1" t="str">
        <f t="shared" si="142"/>
        <v>Furniture</v>
      </c>
      <c r="Y368" s="1" t="s">
        <v>74</v>
      </c>
      <c r="Z368" s="1" t="str">
        <f t="shared" si="143"/>
        <v>Chairs</v>
      </c>
      <c r="AA368" s="1" t="s">
        <v>2681</v>
      </c>
      <c r="AB368" s="1" t="s">
        <v>32</v>
      </c>
      <c r="AC368" s="1" t="str">
        <f t="shared" si="144"/>
        <v>Second Class</v>
      </c>
      <c r="AD368" s="1" t="str">
        <f t="shared" si="145"/>
        <v>OK</v>
      </c>
      <c r="AE368" s="1">
        <v>6</v>
      </c>
      <c r="AF368" s="1">
        <v>2423.61</v>
      </c>
      <c r="AG368" s="9">
        <v>0.1</v>
      </c>
      <c r="AH368" s="9">
        <f t="shared" si="146"/>
        <v>0.1</v>
      </c>
      <c r="AI368" s="1" t="str">
        <f t="shared" si="147"/>
        <v>OK</v>
      </c>
      <c r="AJ368" s="1">
        <v>13087.49</v>
      </c>
      <c r="AK368" s="1">
        <v>7608.89</v>
      </c>
      <c r="AL368" s="1">
        <v>5133.22</v>
      </c>
      <c r="AM368" s="13">
        <f t="shared" si="148"/>
        <v>13087.494000000001</v>
      </c>
      <c r="AN368" s="9">
        <f t="shared" si="149"/>
        <v>5478.6040000000003</v>
      </c>
      <c r="AO368" s="9">
        <f t="shared" si="158"/>
        <v>0.41861367806548755</v>
      </c>
      <c r="AP368" s="1" t="s">
        <v>33</v>
      </c>
      <c r="AQ368" s="1" t="str">
        <f t="shared" si="150"/>
        <v>Paid</v>
      </c>
      <c r="AR368" s="1" t="str">
        <f t="shared" si="151"/>
        <v>OK</v>
      </c>
      <c r="AS368" s="1" t="s">
        <v>34</v>
      </c>
      <c r="AT368" s="4" t="str">
        <f t="shared" si="152"/>
        <v>Completed</v>
      </c>
      <c r="AU368" s="3" t="str">
        <f t="shared" si="153"/>
        <v>OK</v>
      </c>
      <c r="AV368" s="3" t="str">
        <f t="shared" si="159"/>
        <v>CLEAN</v>
      </c>
      <c r="AW368" t="str">
        <f t="shared" si="160"/>
        <v>MATCH</v>
      </c>
      <c r="AX368" t="str">
        <f t="shared" si="161"/>
        <v>MISMATCH</v>
      </c>
    </row>
    <row r="369" spans="1:50" ht="15.6">
      <c r="A369" s="1" t="s">
        <v>2682</v>
      </c>
      <c r="B369" s="1">
        <f t="shared" si="135"/>
        <v>1</v>
      </c>
      <c r="C369" s="16">
        <v>45553</v>
      </c>
      <c r="D369" s="16">
        <v>45553</v>
      </c>
      <c r="E369" s="16" t="str">
        <f t="shared" si="154"/>
        <v>Sep</v>
      </c>
      <c r="F369" s="1">
        <f t="shared" si="155"/>
        <v>2024</v>
      </c>
      <c r="G369" t="s">
        <v>1619</v>
      </c>
      <c r="H369" s="17">
        <v>45367</v>
      </c>
      <c r="I369" s="21">
        <f t="shared" si="156"/>
        <v>-186</v>
      </c>
      <c r="J369" s="6" t="str">
        <f t="shared" si="157"/>
        <v>INVALID_SHIPPING</v>
      </c>
      <c r="K369" s="1" t="s">
        <v>2684</v>
      </c>
      <c r="L369" s="1" t="s">
        <v>80</v>
      </c>
      <c r="M369" s="1" t="str">
        <f t="shared" si="136"/>
        <v>Vikram Iyer</v>
      </c>
      <c r="N369" s="1" t="s">
        <v>40</v>
      </c>
      <c r="O369" s="1" t="str">
        <f t="shared" si="137"/>
        <v>Small Business</v>
      </c>
      <c r="P369" s="1" t="s">
        <v>41</v>
      </c>
      <c r="Q369" s="1" t="str">
        <f t="shared" si="138"/>
        <v>East</v>
      </c>
      <c r="R369" s="1" t="str">
        <f t="shared" si="139"/>
        <v>OK</v>
      </c>
      <c r="S369" s="1" t="s">
        <v>284</v>
      </c>
      <c r="T369" s="1" t="str">
        <f t="shared" si="140"/>
        <v>Jharkhand</v>
      </c>
      <c r="U369" s="1" t="s">
        <v>285</v>
      </c>
      <c r="V369" s="1" t="str">
        <f t="shared" si="141"/>
        <v>Ranchi</v>
      </c>
      <c r="W369" s="1" t="s">
        <v>83</v>
      </c>
      <c r="X369" s="1" t="str">
        <f t="shared" si="142"/>
        <v>Technology</v>
      </c>
      <c r="Y369" s="1" t="s">
        <v>347</v>
      </c>
      <c r="Z369" s="1" t="str">
        <f t="shared" si="143"/>
        <v>Machines</v>
      </c>
      <c r="AA369" s="1" t="s">
        <v>2685</v>
      </c>
      <c r="AB369" s="1" t="s">
        <v>55</v>
      </c>
      <c r="AC369" s="1" t="str">
        <f t="shared" si="144"/>
        <v>First Class</v>
      </c>
      <c r="AD369" s="1" t="str">
        <f t="shared" si="145"/>
        <v>OK</v>
      </c>
      <c r="AE369" s="1">
        <v>3</v>
      </c>
      <c r="AF369" s="1">
        <v>729.14</v>
      </c>
      <c r="AG369" s="9">
        <v>0.25</v>
      </c>
      <c r="AH369" s="9">
        <f t="shared" si="146"/>
        <v>0.25</v>
      </c>
      <c r="AI369" s="1" t="str">
        <f t="shared" si="147"/>
        <v>OK</v>
      </c>
      <c r="AJ369" s="1">
        <v>1640.57</v>
      </c>
      <c r="AK369" s="1">
        <v>1136.98</v>
      </c>
      <c r="AL369" s="1">
        <v>503.59</v>
      </c>
      <c r="AM369" s="13">
        <f t="shared" si="148"/>
        <v>1640.5650000000001</v>
      </c>
      <c r="AN369" s="9">
        <f t="shared" si="149"/>
        <v>503.58500000000004</v>
      </c>
      <c r="AO369" s="9">
        <f t="shared" si="158"/>
        <v>0.30695827352162214</v>
      </c>
      <c r="AP369" s="1" t="s">
        <v>33</v>
      </c>
      <c r="AQ369" s="1" t="str">
        <f t="shared" si="150"/>
        <v>Paid</v>
      </c>
      <c r="AR369" s="1" t="str">
        <f t="shared" si="151"/>
        <v>OK</v>
      </c>
      <c r="AS369" s="1" t="s">
        <v>34</v>
      </c>
      <c r="AT369" s="4" t="str">
        <f t="shared" si="152"/>
        <v>Completed</v>
      </c>
      <c r="AU369" s="3" t="str">
        <f t="shared" si="153"/>
        <v>OK</v>
      </c>
      <c r="AV369" s="3" t="str">
        <f t="shared" si="159"/>
        <v>INVALID</v>
      </c>
      <c r="AW369" t="str">
        <f t="shared" si="160"/>
        <v>MATCH</v>
      </c>
      <c r="AX369" t="str">
        <f t="shared" si="161"/>
        <v>MATCH</v>
      </c>
    </row>
    <row r="370" spans="1:50" ht="15.6" hidden="1">
      <c r="A370" s="1" t="s">
        <v>2691</v>
      </c>
      <c r="B370" s="1">
        <f t="shared" si="135"/>
        <v>1</v>
      </c>
      <c r="C370" s="16">
        <v>45403</v>
      </c>
      <c r="D370" s="16">
        <v>45403</v>
      </c>
      <c r="E370" s="16" t="str">
        <f t="shared" si="154"/>
        <v>Apr</v>
      </c>
      <c r="F370" s="1">
        <f t="shared" si="155"/>
        <v>2024</v>
      </c>
      <c r="G370" t="s">
        <v>1119</v>
      </c>
      <c r="H370" s="17">
        <v>45815</v>
      </c>
      <c r="I370" s="21">
        <f t="shared" si="156"/>
        <v>412</v>
      </c>
      <c r="J370" s="6" t="str">
        <f t="shared" si="157"/>
        <v>OK</v>
      </c>
      <c r="K370" s="1" t="s">
        <v>2692</v>
      </c>
      <c r="L370" s="1" t="s">
        <v>90</v>
      </c>
      <c r="M370" s="1" t="str">
        <f t="shared" si="136"/>
        <v>Neha Gupta</v>
      </c>
      <c r="N370" s="1" t="s">
        <v>40</v>
      </c>
      <c r="O370" s="1" t="str">
        <f t="shared" si="137"/>
        <v>Small Business</v>
      </c>
      <c r="P370" s="1" t="s">
        <v>60</v>
      </c>
      <c r="Q370" s="1" t="str">
        <f t="shared" si="138"/>
        <v>South</v>
      </c>
      <c r="R370" s="1" t="str">
        <f t="shared" si="139"/>
        <v>OK</v>
      </c>
      <c r="S370" s="1" t="s">
        <v>97</v>
      </c>
      <c r="T370" s="1" t="str">
        <f t="shared" si="140"/>
        <v>Andhra Pradesh</v>
      </c>
      <c r="U370" s="1" t="s">
        <v>98</v>
      </c>
      <c r="V370" s="1" t="str">
        <f t="shared" si="141"/>
        <v>Vijayawada</v>
      </c>
      <c r="W370" s="1" t="s">
        <v>29</v>
      </c>
      <c r="X370" s="1" t="str">
        <f t="shared" si="142"/>
        <v>Office Supplies</v>
      </c>
      <c r="Y370" s="1" t="s">
        <v>53</v>
      </c>
      <c r="Z370" s="1" t="str">
        <f t="shared" si="143"/>
        <v>Art</v>
      </c>
      <c r="AA370" s="1" t="s">
        <v>2693</v>
      </c>
      <c r="AB370" s="1" t="s">
        <v>47</v>
      </c>
      <c r="AC370" s="1" t="str">
        <f t="shared" si="144"/>
        <v>Same Day</v>
      </c>
      <c r="AD370" s="1" t="str">
        <f t="shared" si="145"/>
        <v>OK</v>
      </c>
      <c r="AE370" s="1">
        <v>9</v>
      </c>
      <c r="AF370" s="1">
        <v>703.59</v>
      </c>
      <c r="AG370" s="9">
        <v>0.2</v>
      </c>
      <c r="AH370" s="9">
        <f t="shared" si="146"/>
        <v>0.2</v>
      </c>
      <c r="AI370" s="1" t="str">
        <f t="shared" si="147"/>
        <v>OK</v>
      </c>
      <c r="AJ370" s="1">
        <v>5065.8500000000004</v>
      </c>
      <c r="AK370" s="1">
        <v>3517.23</v>
      </c>
      <c r="AL370" s="1">
        <v>1548.62</v>
      </c>
      <c r="AM370" s="13">
        <f t="shared" si="148"/>
        <v>5065.8480000000009</v>
      </c>
      <c r="AN370" s="9">
        <f t="shared" si="149"/>
        <v>1548.6180000000008</v>
      </c>
      <c r="AO370" s="9">
        <f t="shared" si="158"/>
        <v>0.30569768378364304</v>
      </c>
      <c r="AP370" s="1" t="s">
        <v>186</v>
      </c>
      <c r="AQ370" s="1" t="str">
        <f t="shared" si="150"/>
        <v>Failed</v>
      </c>
      <c r="AR370" s="1" t="str">
        <f t="shared" si="151"/>
        <v>EXCLUDE_FROM_SALES</v>
      </c>
      <c r="AS370" s="1" t="s">
        <v>120</v>
      </c>
      <c r="AT370" s="4" t="str">
        <f t="shared" si="152"/>
        <v>Returned</v>
      </c>
      <c r="AU370" s="3" t="str">
        <f t="shared" si="153"/>
        <v>RETURNED_ORDER</v>
      </c>
      <c r="AV370" s="3" t="str">
        <f t="shared" si="159"/>
        <v>CLEAN</v>
      </c>
      <c r="AW370" t="str">
        <f t="shared" si="160"/>
        <v>MATCH</v>
      </c>
      <c r="AX370" t="str">
        <f t="shared" si="161"/>
        <v>MATCH</v>
      </c>
    </row>
    <row r="371" spans="1:50" ht="15.6" hidden="1">
      <c r="A371" s="1" t="s">
        <v>2698</v>
      </c>
      <c r="B371" s="1">
        <f t="shared" si="135"/>
        <v>1</v>
      </c>
      <c r="C371" s="16">
        <v>45395</v>
      </c>
      <c r="D371" s="16">
        <v>45395</v>
      </c>
      <c r="E371" s="16" t="str">
        <f t="shared" si="154"/>
        <v>Apr</v>
      </c>
      <c r="F371" s="1">
        <f t="shared" si="155"/>
        <v>2024</v>
      </c>
      <c r="G371" t="s">
        <v>178</v>
      </c>
      <c r="H371" s="17">
        <v>45687</v>
      </c>
      <c r="I371" s="21">
        <f t="shared" si="156"/>
        <v>292</v>
      </c>
      <c r="J371" s="6" t="str">
        <f t="shared" si="157"/>
        <v>OK</v>
      </c>
      <c r="K371" s="1" t="s">
        <v>492</v>
      </c>
      <c r="L371" s="1" t="s">
        <v>153</v>
      </c>
      <c r="M371" s="1" t="str">
        <f t="shared" si="136"/>
        <v>Aarav Sharma</v>
      </c>
      <c r="N371" s="1" t="s">
        <v>110</v>
      </c>
      <c r="O371" s="1" t="str">
        <f t="shared" si="137"/>
        <v>Home Office</v>
      </c>
      <c r="P371" s="1" t="s">
        <v>41</v>
      </c>
      <c r="Q371" s="1" t="str">
        <f t="shared" si="138"/>
        <v>East</v>
      </c>
      <c r="R371" s="1" t="str">
        <f t="shared" si="139"/>
        <v>OK</v>
      </c>
      <c r="S371" s="1" t="s">
        <v>174</v>
      </c>
      <c r="T371" s="1" t="str">
        <f t="shared" si="140"/>
        <v>Bihar</v>
      </c>
      <c r="U371" s="1" t="s">
        <v>175</v>
      </c>
      <c r="V371" s="1" t="str">
        <f t="shared" si="141"/>
        <v>Patna</v>
      </c>
      <c r="W371" s="1" t="s">
        <v>83</v>
      </c>
      <c r="X371" s="1" t="str">
        <f t="shared" si="142"/>
        <v>Technology</v>
      </c>
      <c r="Y371" s="1" t="s">
        <v>84</v>
      </c>
      <c r="Z371" s="1" t="str">
        <f t="shared" si="143"/>
        <v>Accessories</v>
      </c>
      <c r="AA371" s="1" t="s">
        <v>2700</v>
      </c>
      <c r="AB371" s="1" t="s">
        <v>47</v>
      </c>
      <c r="AC371" s="1" t="str">
        <f t="shared" si="144"/>
        <v>Same Day</v>
      </c>
      <c r="AD371" s="1" t="str">
        <f t="shared" si="145"/>
        <v>OK</v>
      </c>
      <c r="AE371" s="1">
        <v>7</v>
      </c>
      <c r="AF371" s="1">
        <v>2648.76</v>
      </c>
      <c r="AG371" s="9">
        <v>0.15</v>
      </c>
      <c r="AH371" s="9">
        <f t="shared" si="146"/>
        <v>0.15</v>
      </c>
      <c r="AI371" s="1" t="str">
        <f t="shared" si="147"/>
        <v>OK</v>
      </c>
      <c r="AJ371" s="1">
        <v>15760.12</v>
      </c>
      <c r="AK371" s="1">
        <v>9931.5300000000007</v>
      </c>
      <c r="AL371" s="1">
        <v>5828.59</v>
      </c>
      <c r="AM371" s="13">
        <f t="shared" si="148"/>
        <v>15760.121999999999</v>
      </c>
      <c r="AN371" s="9">
        <f t="shared" si="149"/>
        <v>5828.5919999999987</v>
      </c>
      <c r="AO371" s="9">
        <f t="shared" si="158"/>
        <v>0.36983165485647884</v>
      </c>
      <c r="AP371" s="1" t="s">
        <v>186</v>
      </c>
      <c r="AQ371" s="1" t="str">
        <f t="shared" si="150"/>
        <v>Failed</v>
      </c>
      <c r="AR371" s="1" t="str">
        <f t="shared" si="151"/>
        <v>EXCLUDE_FROM_SALES</v>
      </c>
      <c r="AS371" s="1" t="s">
        <v>120</v>
      </c>
      <c r="AT371" s="4" t="str">
        <f t="shared" si="152"/>
        <v>Returned</v>
      </c>
      <c r="AU371" s="3" t="str">
        <f t="shared" si="153"/>
        <v>RETURNED_ORDER</v>
      </c>
      <c r="AV371" s="3" t="str">
        <f t="shared" si="159"/>
        <v>CLEAN</v>
      </c>
      <c r="AW371" t="str">
        <f t="shared" si="160"/>
        <v>MATCH</v>
      </c>
      <c r="AX371" t="str">
        <f t="shared" si="161"/>
        <v>MATCH</v>
      </c>
    </row>
    <row r="372" spans="1:50" ht="15.6">
      <c r="A372" s="1" t="s">
        <v>2717</v>
      </c>
      <c r="B372" s="1">
        <f t="shared" si="135"/>
        <v>1</v>
      </c>
      <c r="C372" s="16">
        <v>45419</v>
      </c>
      <c r="D372" s="16">
        <v>45419</v>
      </c>
      <c r="E372" s="16" t="str">
        <f t="shared" si="154"/>
        <v>May</v>
      </c>
      <c r="F372" s="1">
        <f t="shared" si="155"/>
        <v>2024</v>
      </c>
      <c r="G372" t="s">
        <v>1431</v>
      </c>
      <c r="H372" s="17">
        <v>45525</v>
      </c>
      <c r="I372" s="21">
        <f t="shared" si="156"/>
        <v>106</v>
      </c>
      <c r="J372" s="6" t="str">
        <f t="shared" si="157"/>
        <v>OK</v>
      </c>
      <c r="K372" s="1" t="s">
        <v>2718</v>
      </c>
      <c r="L372" s="1" t="s">
        <v>90</v>
      </c>
      <c r="M372" s="1" t="str">
        <f t="shared" si="136"/>
        <v>Neha Gupta</v>
      </c>
      <c r="N372" s="1" t="s">
        <v>40</v>
      </c>
      <c r="O372" s="1" t="str">
        <f t="shared" si="137"/>
        <v>Small Business</v>
      </c>
      <c r="P372" s="1" t="s">
        <v>26</v>
      </c>
      <c r="Q372" s="1" t="str">
        <f t="shared" si="138"/>
        <v>North</v>
      </c>
      <c r="R372" s="1" t="str">
        <f t="shared" si="139"/>
        <v>OK</v>
      </c>
      <c r="S372" s="1" t="s">
        <v>294</v>
      </c>
      <c r="T372" s="1" t="str">
        <f t="shared" si="140"/>
        <v>Haryana</v>
      </c>
      <c r="U372" s="1" t="s">
        <v>295</v>
      </c>
      <c r="V372" s="1" t="str">
        <f t="shared" si="141"/>
        <v>Gurugram</v>
      </c>
      <c r="W372" s="1" t="s">
        <v>83</v>
      </c>
      <c r="X372" s="1" t="str">
        <f t="shared" si="142"/>
        <v>Technology</v>
      </c>
      <c r="Y372" s="1" t="s">
        <v>347</v>
      </c>
      <c r="Z372" s="1" t="str">
        <f t="shared" si="143"/>
        <v>Machines</v>
      </c>
      <c r="AA372" s="1" t="s">
        <v>2719</v>
      </c>
      <c r="AB372" s="1" t="s">
        <v>47</v>
      </c>
      <c r="AC372" s="1" t="str">
        <f t="shared" si="144"/>
        <v>Same Day</v>
      </c>
      <c r="AD372" s="1" t="str">
        <f t="shared" si="145"/>
        <v>OK</v>
      </c>
      <c r="AE372" s="1">
        <v>4</v>
      </c>
      <c r="AF372" s="1">
        <v>2751.1</v>
      </c>
      <c r="AG372" s="9">
        <v>-0.05</v>
      </c>
      <c r="AH372" s="9">
        <f t="shared" si="146"/>
        <v>-0.05</v>
      </c>
      <c r="AI372" s="1" t="str">
        <f t="shared" si="147"/>
        <v>Invalid Negative Discount</v>
      </c>
      <c r="AJ372" s="1">
        <v>9903.9599999999991</v>
      </c>
      <c r="AK372" s="1">
        <v>7696.28</v>
      </c>
      <c r="AL372" s="1">
        <v>2207.6799999999998</v>
      </c>
      <c r="AM372" s="13" t="str">
        <f t="shared" si="148"/>
        <v>INVALID</v>
      </c>
      <c r="AN372" s="9" t="str">
        <f t="shared" si="149"/>
        <v>INVALID</v>
      </c>
      <c r="AO372" s="9" t="str">
        <f t="shared" si="158"/>
        <v/>
      </c>
      <c r="AP372" s="1" t="s">
        <v>33</v>
      </c>
      <c r="AQ372" s="1" t="str">
        <f t="shared" si="150"/>
        <v>Paid</v>
      </c>
      <c r="AR372" s="1" t="str">
        <f t="shared" si="151"/>
        <v>OK</v>
      </c>
      <c r="AS372" s="1" t="s">
        <v>34</v>
      </c>
      <c r="AT372" s="4" t="str">
        <f t="shared" si="152"/>
        <v>Completed</v>
      </c>
      <c r="AU372" s="3" t="str">
        <f t="shared" si="153"/>
        <v>OK</v>
      </c>
      <c r="AV372" s="3" t="str">
        <f t="shared" si="159"/>
        <v>INVALID</v>
      </c>
      <c r="AW372" t="str">
        <f t="shared" si="160"/>
        <v>INVALID</v>
      </c>
      <c r="AX372" t="str">
        <f t="shared" si="161"/>
        <v>INVALID</v>
      </c>
    </row>
    <row r="373" spans="1:50" ht="15.6">
      <c r="A373" s="1" t="s">
        <v>2734</v>
      </c>
      <c r="B373" s="1">
        <f t="shared" si="135"/>
        <v>1</v>
      </c>
      <c r="C373" s="16">
        <v>45429</v>
      </c>
      <c r="D373" s="16">
        <v>45429</v>
      </c>
      <c r="E373" s="16" t="str">
        <f t="shared" si="154"/>
        <v>May</v>
      </c>
      <c r="F373" s="1">
        <f t="shared" si="155"/>
        <v>2024</v>
      </c>
      <c r="G373" t="s">
        <v>1632</v>
      </c>
      <c r="H373" s="17">
        <v>45315</v>
      </c>
      <c r="I373" s="21">
        <f t="shared" si="156"/>
        <v>-114</v>
      </c>
      <c r="J373" s="6" t="str">
        <f t="shared" si="157"/>
        <v>INVALID_SHIPPING</v>
      </c>
      <c r="K373" s="1" t="s">
        <v>2736</v>
      </c>
      <c r="L373" s="1" t="s">
        <v>158</v>
      </c>
      <c r="M373" s="1" t="str">
        <f t="shared" si="136"/>
        <v>Sneha Kapoor</v>
      </c>
      <c r="N373" s="1" t="s">
        <v>25</v>
      </c>
      <c r="O373" s="1" t="str">
        <f t="shared" si="137"/>
        <v>Consumer</v>
      </c>
      <c r="P373" s="1" t="s">
        <v>60</v>
      </c>
      <c r="Q373" s="1" t="str">
        <f t="shared" si="138"/>
        <v>South</v>
      </c>
      <c r="R373" s="1" t="str">
        <f t="shared" si="139"/>
        <v>OK</v>
      </c>
      <c r="S373" s="1" t="s">
        <v>97</v>
      </c>
      <c r="T373" s="1" t="str">
        <f t="shared" si="140"/>
        <v>Andhra Pradesh</v>
      </c>
      <c r="U373" s="1" t="s">
        <v>98</v>
      </c>
      <c r="V373" s="1" t="str">
        <f t="shared" si="141"/>
        <v>Vijayawada</v>
      </c>
      <c r="W373" s="1" t="s">
        <v>83</v>
      </c>
      <c r="X373" s="1" t="str">
        <f t="shared" si="142"/>
        <v>Technology</v>
      </c>
      <c r="Y373" s="1" t="s">
        <v>347</v>
      </c>
      <c r="Z373" s="1" t="str">
        <f t="shared" si="143"/>
        <v>Machines</v>
      </c>
      <c r="AA373" s="1" t="s">
        <v>2737</v>
      </c>
      <c r="AB373" s="1" t="s">
        <v>32</v>
      </c>
      <c r="AC373" s="1" t="str">
        <f t="shared" si="144"/>
        <v>Second Class</v>
      </c>
      <c r="AD373" s="1" t="str">
        <f t="shared" si="145"/>
        <v>OK</v>
      </c>
      <c r="AE373" s="1">
        <v>7</v>
      </c>
      <c r="AF373" s="1">
        <v>232.5</v>
      </c>
      <c r="AG373" s="9">
        <v>0</v>
      </c>
      <c r="AH373" s="9">
        <f t="shared" si="146"/>
        <v>0</v>
      </c>
      <c r="AI373" s="1" t="str">
        <f t="shared" si="147"/>
        <v>OK</v>
      </c>
      <c r="AJ373" s="1">
        <v>1627.5</v>
      </c>
      <c r="AK373" s="1">
        <v>939.9</v>
      </c>
      <c r="AL373" s="1">
        <v>687.6</v>
      </c>
      <c r="AM373" s="13">
        <f t="shared" si="148"/>
        <v>1627.5</v>
      </c>
      <c r="AN373" s="9">
        <f t="shared" si="149"/>
        <v>687.6</v>
      </c>
      <c r="AO373" s="9">
        <f t="shared" si="158"/>
        <v>0.4224884792626728</v>
      </c>
      <c r="AP373" s="1" t="s">
        <v>33</v>
      </c>
      <c r="AQ373" s="1" t="str">
        <f t="shared" si="150"/>
        <v>Paid</v>
      </c>
      <c r="AR373" s="1" t="str">
        <f t="shared" si="151"/>
        <v>OK</v>
      </c>
      <c r="AS373" s="1" t="s">
        <v>34</v>
      </c>
      <c r="AT373" s="4" t="str">
        <f t="shared" si="152"/>
        <v>Completed</v>
      </c>
      <c r="AU373" s="3" t="str">
        <f t="shared" si="153"/>
        <v>OK</v>
      </c>
      <c r="AV373" s="3" t="str">
        <f t="shared" si="159"/>
        <v>INVALID</v>
      </c>
      <c r="AW373" t="str">
        <f t="shared" si="160"/>
        <v>MATCH</v>
      </c>
      <c r="AX373" t="str">
        <f t="shared" si="161"/>
        <v>MATCH</v>
      </c>
    </row>
    <row r="374" spans="1:50" ht="15.6" hidden="1">
      <c r="A374" s="1" t="s">
        <v>2738</v>
      </c>
      <c r="B374" s="1">
        <f t="shared" si="135"/>
        <v>1</v>
      </c>
      <c r="C374" s="16">
        <v>45305</v>
      </c>
      <c r="D374" s="16">
        <v>45305</v>
      </c>
      <c r="E374" s="16" t="str">
        <f t="shared" si="154"/>
        <v>Jan</v>
      </c>
      <c r="F374" s="1">
        <f t="shared" si="155"/>
        <v>2024</v>
      </c>
      <c r="G374" t="s">
        <v>816</v>
      </c>
      <c r="H374" s="17">
        <v>45887</v>
      </c>
      <c r="I374" s="21">
        <f t="shared" si="156"/>
        <v>582</v>
      </c>
      <c r="J374" s="6" t="str">
        <f t="shared" si="157"/>
        <v>OK</v>
      </c>
      <c r="K374" s="1" t="s">
        <v>2740</v>
      </c>
      <c r="L374" s="1" t="s">
        <v>39</v>
      </c>
      <c r="M374" s="1" t="str">
        <f t="shared" si="136"/>
        <v>Mira Das</v>
      </c>
      <c r="N374" s="1" t="s">
        <v>110</v>
      </c>
      <c r="O374" s="1" t="str">
        <f t="shared" si="137"/>
        <v>Home Office</v>
      </c>
      <c r="P374" s="1" t="s">
        <v>71</v>
      </c>
      <c r="Q374" s="1" t="str">
        <f t="shared" si="138"/>
        <v>West</v>
      </c>
      <c r="R374" s="1" t="str">
        <f t="shared" si="139"/>
        <v>OK</v>
      </c>
      <c r="S374" s="1" t="s">
        <v>27</v>
      </c>
      <c r="T374" s="1" t="str">
        <f t="shared" si="140"/>
        <v>Rajasthan</v>
      </c>
      <c r="U374" s="1" t="s">
        <v>129</v>
      </c>
      <c r="V374" s="1" t="str">
        <f t="shared" si="141"/>
        <v>Udaipur</v>
      </c>
      <c r="W374" s="1" t="s">
        <v>83</v>
      </c>
      <c r="X374" s="1" t="str">
        <f t="shared" si="142"/>
        <v>Technology</v>
      </c>
      <c r="Y374" s="1" t="s">
        <v>347</v>
      </c>
      <c r="Z374" s="1" t="str">
        <f t="shared" si="143"/>
        <v>Machines</v>
      </c>
      <c r="AA374" s="1" t="s">
        <v>2741</v>
      </c>
      <c r="AB374" s="1" t="s">
        <v>47</v>
      </c>
      <c r="AC374" s="1" t="str">
        <f t="shared" si="144"/>
        <v>Same Day</v>
      </c>
      <c r="AD374" s="1" t="str">
        <f t="shared" si="145"/>
        <v>OK</v>
      </c>
      <c r="AE374" s="1">
        <v>6</v>
      </c>
      <c r="AF374" s="1">
        <v>1784.8</v>
      </c>
      <c r="AG374" s="9">
        <v>0.1</v>
      </c>
      <c r="AH374" s="9">
        <f t="shared" si="146"/>
        <v>0.1</v>
      </c>
      <c r="AI374" s="1" t="str">
        <f t="shared" si="147"/>
        <v>OK</v>
      </c>
      <c r="AJ374" s="1">
        <v>9637.92</v>
      </c>
      <c r="AK374" s="1">
        <v>7329.29</v>
      </c>
      <c r="AL374" s="1">
        <v>2308.63</v>
      </c>
      <c r="AM374" s="13">
        <f t="shared" si="148"/>
        <v>9637.92</v>
      </c>
      <c r="AN374" s="9">
        <f t="shared" si="149"/>
        <v>2308.63</v>
      </c>
      <c r="AO374" s="9">
        <f t="shared" si="158"/>
        <v>0.2395361239769577</v>
      </c>
      <c r="AP374" s="1" t="s">
        <v>33</v>
      </c>
      <c r="AQ374" s="1" t="str">
        <f t="shared" si="150"/>
        <v>Paid</v>
      </c>
      <c r="AR374" s="1" t="str">
        <f t="shared" si="151"/>
        <v>OK</v>
      </c>
      <c r="AS374" s="1" t="s">
        <v>34</v>
      </c>
      <c r="AT374" s="4" t="str">
        <f t="shared" si="152"/>
        <v>Completed</v>
      </c>
      <c r="AU374" s="3" t="str">
        <f t="shared" si="153"/>
        <v>OK</v>
      </c>
      <c r="AV374" s="3" t="str">
        <f t="shared" si="159"/>
        <v>CLEAN</v>
      </c>
      <c r="AW374" t="str">
        <f t="shared" si="160"/>
        <v>MATCH</v>
      </c>
      <c r="AX374" t="str">
        <f t="shared" si="161"/>
        <v>MATCH</v>
      </c>
    </row>
    <row r="375" spans="1:50" ht="15.6">
      <c r="A375" s="1" t="s">
        <v>2742</v>
      </c>
      <c r="B375" s="1">
        <f t="shared" si="135"/>
        <v>1</v>
      </c>
      <c r="C375" s="16">
        <v>45327</v>
      </c>
      <c r="D375" s="16">
        <v>45327</v>
      </c>
      <c r="E375" s="16" t="str">
        <f t="shared" si="154"/>
        <v>Feb</v>
      </c>
      <c r="F375" s="1">
        <f t="shared" si="155"/>
        <v>2024</v>
      </c>
      <c r="G375" t="s">
        <v>1639</v>
      </c>
      <c r="H375" s="17">
        <v>45760</v>
      </c>
      <c r="I375" s="21">
        <f t="shared" si="156"/>
        <v>433</v>
      </c>
      <c r="J375" s="6" t="str">
        <f t="shared" si="157"/>
        <v>OK</v>
      </c>
      <c r="K375" s="1" t="s">
        <v>2743</v>
      </c>
      <c r="L375" s="1" t="s">
        <v>141</v>
      </c>
      <c r="M375" s="1" t="str">
        <f t="shared" si="136"/>
        <v>Rahul Verma</v>
      </c>
      <c r="N375" s="1" t="s">
        <v>110</v>
      </c>
      <c r="O375" s="1" t="str">
        <f t="shared" si="137"/>
        <v>Home Office</v>
      </c>
      <c r="P375" s="1" t="s">
        <v>41</v>
      </c>
      <c r="Q375" s="1" t="str">
        <f t="shared" si="138"/>
        <v>East</v>
      </c>
      <c r="R375" s="1" t="str">
        <f t="shared" si="139"/>
        <v>OK</v>
      </c>
      <c r="S375" s="1" t="s">
        <v>284</v>
      </c>
      <c r="T375" s="1" t="str">
        <f t="shared" si="140"/>
        <v>Jharkhand</v>
      </c>
      <c r="U375" s="1" t="s">
        <v>285</v>
      </c>
      <c r="V375" s="1" t="str">
        <f t="shared" si="141"/>
        <v>Ranchi</v>
      </c>
      <c r="W375" s="1" t="s">
        <v>83</v>
      </c>
      <c r="X375" s="1" t="str">
        <f t="shared" si="142"/>
        <v>Technology</v>
      </c>
      <c r="Y375" s="1" t="s">
        <v>91</v>
      </c>
      <c r="Z375" s="1" t="str">
        <f t="shared" si="143"/>
        <v>Copiers</v>
      </c>
      <c r="AA375" s="1" t="s">
        <v>2744</v>
      </c>
      <c r="AB375" s="1" t="s">
        <v>32</v>
      </c>
      <c r="AC375" s="1" t="str">
        <f t="shared" si="144"/>
        <v>Second Class</v>
      </c>
      <c r="AD375" s="1" t="str">
        <f t="shared" si="145"/>
        <v>OK</v>
      </c>
      <c r="AE375" s="1">
        <v>2</v>
      </c>
      <c r="AF375" s="1">
        <v>3185.01</v>
      </c>
      <c r="AG375" s="9">
        <v>-0.24</v>
      </c>
      <c r="AH375" s="9">
        <f t="shared" si="146"/>
        <v>-0.24</v>
      </c>
      <c r="AI375" s="1" t="str">
        <f t="shared" si="147"/>
        <v>Invalid Negative Discount</v>
      </c>
      <c r="AJ375" s="1">
        <v>4777.5200000000004</v>
      </c>
      <c r="AK375" s="1">
        <v>3152.98</v>
      </c>
      <c r="AL375" s="1">
        <v>1624.54</v>
      </c>
      <c r="AM375" s="13" t="str">
        <f t="shared" si="148"/>
        <v>INVALID</v>
      </c>
      <c r="AN375" s="9" t="str">
        <f t="shared" si="149"/>
        <v>INVALID</v>
      </c>
      <c r="AO375" s="9" t="str">
        <f t="shared" si="158"/>
        <v/>
      </c>
      <c r="AP375" s="1" t="s">
        <v>33</v>
      </c>
      <c r="AQ375" s="1" t="str">
        <f t="shared" si="150"/>
        <v>Paid</v>
      </c>
      <c r="AR375" s="1" t="str">
        <f t="shared" si="151"/>
        <v>OK</v>
      </c>
      <c r="AS375" s="1" t="s">
        <v>34</v>
      </c>
      <c r="AT375" s="4" t="str">
        <f t="shared" si="152"/>
        <v>Completed</v>
      </c>
      <c r="AU375" s="3" t="str">
        <f t="shared" si="153"/>
        <v>OK</v>
      </c>
      <c r="AV375" s="3" t="str">
        <f t="shared" si="159"/>
        <v>INVALID</v>
      </c>
      <c r="AW375" t="str">
        <f t="shared" si="160"/>
        <v>INVALID</v>
      </c>
      <c r="AX375" t="str">
        <f t="shared" si="161"/>
        <v>INVALID</v>
      </c>
    </row>
    <row r="376" spans="1:50" ht="15.6" hidden="1">
      <c r="A376" s="1" t="s">
        <v>2745</v>
      </c>
      <c r="B376" s="1">
        <f t="shared" si="135"/>
        <v>1</v>
      </c>
      <c r="C376" s="16">
        <v>45485</v>
      </c>
      <c r="D376" s="16">
        <v>45485</v>
      </c>
      <c r="E376" s="16" t="str">
        <f t="shared" si="154"/>
        <v>Jul</v>
      </c>
      <c r="F376" s="1">
        <f t="shared" si="155"/>
        <v>2024</v>
      </c>
      <c r="G376" t="s">
        <v>1643</v>
      </c>
      <c r="H376" s="17">
        <v>45716</v>
      </c>
      <c r="I376" s="21">
        <f t="shared" si="156"/>
        <v>231</v>
      </c>
      <c r="J376" s="6" t="str">
        <f t="shared" si="157"/>
        <v>OK</v>
      </c>
      <c r="K376" s="1" t="s">
        <v>2747</v>
      </c>
      <c r="L376" s="1" t="s">
        <v>39</v>
      </c>
      <c r="M376" s="1" t="str">
        <f t="shared" si="136"/>
        <v>Mira Das</v>
      </c>
      <c r="N376" s="1" t="s">
        <v>110</v>
      </c>
      <c r="O376" s="1" t="str">
        <f t="shared" si="137"/>
        <v>Home Office</v>
      </c>
      <c r="P376" s="1" t="s">
        <v>60</v>
      </c>
      <c r="Q376" s="1" t="str">
        <f t="shared" si="138"/>
        <v>South</v>
      </c>
      <c r="R376" s="1" t="str">
        <f t="shared" si="139"/>
        <v>OK</v>
      </c>
      <c r="S376" s="1" t="s">
        <v>61</v>
      </c>
      <c r="T376" s="1" t="str">
        <f t="shared" si="140"/>
        <v>Telangana</v>
      </c>
      <c r="U376" s="1" t="s">
        <v>62</v>
      </c>
      <c r="V376" s="1" t="str">
        <f t="shared" si="141"/>
        <v>Hyderabad</v>
      </c>
      <c r="W376" s="1" t="s">
        <v>83</v>
      </c>
      <c r="X376" s="1" t="str">
        <f t="shared" si="142"/>
        <v>Technology</v>
      </c>
      <c r="Y376" s="1" t="s">
        <v>84</v>
      </c>
      <c r="Z376" s="1" t="str">
        <f t="shared" si="143"/>
        <v>Accessories</v>
      </c>
      <c r="AA376" s="1" t="s">
        <v>2748</v>
      </c>
      <c r="AB376" s="1" t="s">
        <v>65</v>
      </c>
      <c r="AC376" s="1" t="str">
        <f t="shared" si="144"/>
        <v>Standard Class</v>
      </c>
      <c r="AD376" s="1" t="str">
        <f t="shared" si="145"/>
        <v>OK</v>
      </c>
      <c r="AE376" s="1">
        <v>1</v>
      </c>
      <c r="AF376" s="1">
        <v>1908.83</v>
      </c>
      <c r="AG376" s="9">
        <v>0.2</v>
      </c>
      <c r="AH376" s="9">
        <f t="shared" si="146"/>
        <v>0.2</v>
      </c>
      <c r="AI376" s="1" t="str">
        <f t="shared" si="147"/>
        <v>OK</v>
      </c>
      <c r="AJ376" s="1">
        <v>1527.06</v>
      </c>
      <c r="AK376" s="1">
        <v>1055.8900000000001</v>
      </c>
      <c r="AL376" s="1">
        <v>471.17</v>
      </c>
      <c r="AM376" s="13">
        <f t="shared" si="148"/>
        <v>1527.0640000000001</v>
      </c>
      <c r="AN376" s="9">
        <f t="shared" si="149"/>
        <v>471.17399999999998</v>
      </c>
      <c r="AO376" s="9">
        <f t="shared" si="158"/>
        <v>0.30854895407134209</v>
      </c>
      <c r="AP376" s="1" t="s">
        <v>33</v>
      </c>
      <c r="AQ376" s="1" t="str">
        <f t="shared" si="150"/>
        <v>Paid</v>
      </c>
      <c r="AR376" s="1" t="str">
        <f t="shared" si="151"/>
        <v>OK</v>
      </c>
      <c r="AS376" s="1" t="s">
        <v>34</v>
      </c>
      <c r="AT376" s="4" t="str">
        <f t="shared" si="152"/>
        <v>Completed</v>
      </c>
      <c r="AU376" s="3" t="str">
        <f t="shared" si="153"/>
        <v>OK</v>
      </c>
      <c r="AV376" s="3" t="str">
        <f t="shared" si="159"/>
        <v>CLEAN</v>
      </c>
      <c r="AW376" t="str">
        <f t="shared" si="160"/>
        <v>MATCH</v>
      </c>
      <c r="AX376" t="str">
        <f t="shared" si="161"/>
        <v>MATCH</v>
      </c>
    </row>
    <row r="377" spans="1:50" ht="15.6" hidden="1">
      <c r="A377" s="1" t="s">
        <v>2753</v>
      </c>
      <c r="B377" s="1">
        <f t="shared" si="135"/>
        <v>1</v>
      </c>
      <c r="C377" s="16">
        <v>45464</v>
      </c>
      <c r="D377" s="16">
        <v>45464</v>
      </c>
      <c r="E377" s="16" t="str">
        <f t="shared" si="154"/>
        <v>Jun</v>
      </c>
      <c r="F377" s="1">
        <f t="shared" si="155"/>
        <v>2024</v>
      </c>
      <c r="G377" t="s">
        <v>1648</v>
      </c>
      <c r="H377" s="17">
        <v>45661</v>
      </c>
      <c r="I377" s="21">
        <f t="shared" si="156"/>
        <v>197</v>
      </c>
      <c r="J377" s="6" t="str">
        <f t="shared" si="157"/>
        <v>OK</v>
      </c>
      <c r="K377" s="1" t="s">
        <v>2754</v>
      </c>
      <c r="L377" s="1" t="s">
        <v>169</v>
      </c>
      <c r="M377" s="1" t="str">
        <f t="shared" si="136"/>
        <v>Rohan Mehta</v>
      </c>
      <c r="N377" s="1" t="s">
        <v>40</v>
      </c>
      <c r="O377" s="1" t="str">
        <f t="shared" si="137"/>
        <v>Small Business</v>
      </c>
      <c r="P377" s="1" t="s">
        <v>26</v>
      </c>
      <c r="Q377" s="1" t="str">
        <f t="shared" si="138"/>
        <v>North</v>
      </c>
      <c r="R377" s="1" t="str">
        <f t="shared" si="139"/>
        <v>OK</v>
      </c>
      <c r="S377" s="1" t="s">
        <v>146</v>
      </c>
      <c r="T377" s="1" t="str">
        <f t="shared" si="140"/>
        <v>Punjab</v>
      </c>
      <c r="U377" s="1" t="s">
        <v>147</v>
      </c>
      <c r="V377" s="1" t="str">
        <f t="shared" si="141"/>
        <v>Ludhiana</v>
      </c>
      <c r="W377" s="1" t="s">
        <v>83</v>
      </c>
      <c r="X377" s="1" t="str">
        <f t="shared" si="142"/>
        <v>Technology</v>
      </c>
      <c r="Y377" s="1" t="s">
        <v>91</v>
      </c>
      <c r="Z377" s="1" t="str">
        <f t="shared" si="143"/>
        <v>Copiers</v>
      </c>
      <c r="AA377" s="1" t="s">
        <v>2755</v>
      </c>
      <c r="AB377" s="1" t="s">
        <v>47</v>
      </c>
      <c r="AC377" s="1" t="str">
        <f t="shared" si="144"/>
        <v>Same Day</v>
      </c>
      <c r="AD377" s="1" t="str">
        <f t="shared" si="145"/>
        <v>OK</v>
      </c>
      <c r="AE377" s="1">
        <v>1</v>
      </c>
      <c r="AF377" s="1">
        <v>279.83</v>
      </c>
      <c r="AG377" s="9">
        <v>0.05</v>
      </c>
      <c r="AH377" s="9">
        <f t="shared" si="146"/>
        <v>0.05</v>
      </c>
      <c r="AI377" s="1" t="str">
        <f t="shared" si="147"/>
        <v>OK</v>
      </c>
      <c r="AJ377" s="1">
        <v>265.83999999999997</v>
      </c>
      <c r="AK377" s="1">
        <v>223.49</v>
      </c>
      <c r="AL377" s="1">
        <v>42.35</v>
      </c>
      <c r="AM377" s="13">
        <f t="shared" si="148"/>
        <v>265.83849999999995</v>
      </c>
      <c r="AN377" s="9">
        <f t="shared" si="149"/>
        <v>42.348499999999945</v>
      </c>
      <c r="AO377" s="9">
        <f t="shared" si="158"/>
        <v>0.15930160605028976</v>
      </c>
      <c r="AP377" s="1" t="s">
        <v>33</v>
      </c>
      <c r="AQ377" s="1" t="str">
        <f t="shared" si="150"/>
        <v>Paid</v>
      </c>
      <c r="AR377" s="1" t="str">
        <f t="shared" si="151"/>
        <v>OK</v>
      </c>
      <c r="AS377" s="1" t="s">
        <v>34</v>
      </c>
      <c r="AT377" s="4" t="str">
        <f t="shared" si="152"/>
        <v>Completed</v>
      </c>
      <c r="AU377" s="3" t="str">
        <f t="shared" si="153"/>
        <v>OK</v>
      </c>
      <c r="AV377" s="3" t="str">
        <f t="shared" si="159"/>
        <v>CLEAN</v>
      </c>
      <c r="AW377" t="str">
        <f t="shared" si="160"/>
        <v>MATCH</v>
      </c>
      <c r="AX377" t="str">
        <f t="shared" si="161"/>
        <v>MATCH</v>
      </c>
    </row>
    <row r="378" spans="1:50" ht="15.6" hidden="1">
      <c r="A378" s="1" t="s">
        <v>2760</v>
      </c>
      <c r="B378" s="1">
        <f t="shared" si="135"/>
        <v>1</v>
      </c>
      <c r="C378" s="16">
        <v>45617</v>
      </c>
      <c r="D378" s="16">
        <v>45617</v>
      </c>
      <c r="E378" s="16" t="str">
        <f t="shared" si="154"/>
        <v>Nov</v>
      </c>
      <c r="F378" s="1">
        <f t="shared" si="155"/>
        <v>2024</v>
      </c>
      <c r="G378" t="s">
        <v>1565</v>
      </c>
      <c r="H378" s="17">
        <v>45657</v>
      </c>
      <c r="I378" s="21">
        <f t="shared" si="156"/>
        <v>40</v>
      </c>
      <c r="J378" s="6" t="str">
        <f t="shared" si="157"/>
        <v>OK</v>
      </c>
      <c r="K378" s="1" t="s">
        <v>2761</v>
      </c>
      <c r="L378" s="1" t="s">
        <v>39</v>
      </c>
      <c r="M378" s="1" t="str">
        <f t="shared" si="136"/>
        <v>Mira Das</v>
      </c>
      <c r="N378" s="1" t="s">
        <v>104</v>
      </c>
      <c r="O378" s="1" t="str">
        <f t="shared" si="137"/>
        <v>Corporate</v>
      </c>
      <c r="P378" s="1" t="s">
        <v>71</v>
      </c>
      <c r="Q378" s="1" t="str">
        <f t="shared" si="138"/>
        <v>West</v>
      </c>
      <c r="R378" s="1" t="str">
        <f t="shared" si="139"/>
        <v>OK</v>
      </c>
      <c r="S378" s="1" t="s">
        <v>218</v>
      </c>
      <c r="T378" s="1" t="str">
        <f t="shared" si="140"/>
        <v>Gujarat</v>
      </c>
      <c r="U378" s="1" t="s">
        <v>219</v>
      </c>
      <c r="V378" s="1" t="str">
        <f t="shared" si="141"/>
        <v>Ahmedabad</v>
      </c>
      <c r="W378" s="1" t="s">
        <v>29</v>
      </c>
      <c r="X378" s="1" t="str">
        <f t="shared" si="142"/>
        <v>Office Supplies</v>
      </c>
      <c r="Y378" s="1" t="s">
        <v>30</v>
      </c>
      <c r="Z378" s="1" t="str">
        <f t="shared" si="143"/>
        <v>Paper</v>
      </c>
      <c r="AA378" s="1" t="s">
        <v>2762</v>
      </c>
      <c r="AB378" s="1" t="s">
        <v>32</v>
      </c>
      <c r="AC378" s="1" t="str">
        <f t="shared" si="144"/>
        <v>Second Class</v>
      </c>
      <c r="AD378" s="1" t="str">
        <f t="shared" si="145"/>
        <v>OK</v>
      </c>
      <c r="AE378" s="1">
        <v>5</v>
      </c>
      <c r="AF378" s="1">
        <v>600.46</v>
      </c>
      <c r="AG378" s="9">
        <v>0.2</v>
      </c>
      <c r="AH378" s="9">
        <f t="shared" si="146"/>
        <v>0.2</v>
      </c>
      <c r="AI378" s="1" t="str">
        <f t="shared" si="147"/>
        <v>OK</v>
      </c>
      <c r="AJ378" s="1">
        <v>2401.84</v>
      </c>
      <c r="AK378" s="1">
        <v>1873.11</v>
      </c>
      <c r="AL378" s="1">
        <v>528.73</v>
      </c>
      <c r="AM378" s="13">
        <f t="shared" si="148"/>
        <v>2401.84</v>
      </c>
      <c r="AN378" s="9">
        <f t="shared" si="149"/>
        <v>528.73000000000025</v>
      </c>
      <c r="AO378" s="9">
        <f t="shared" si="158"/>
        <v>0.22013539619624964</v>
      </c>
      <c r="AP378" s="1" t="s">
        <v>33</v>
      </c>
      <c r="AQ378" s="1" t="str">
        <f t="shared" si="150"/>
        <v>Paid</v>
      </c>
      <c r="AR378" s="1" t="str">
        <f t="shared" si="151"/>
        <v>OK</v>
      </c>
      <c r="AS378" s="1" t="s">
        <v>34</v>
      </c>
      <c r="AT378" s="4" t="str">
        <f t="shared" si="152"/>
        <v>Completed</v>
      </c>
      <c r="AU378" s="3" t="str">
        <f t="shared" si="153"/>
        <v>OK</v>
      </c>
      <c r="AV378" s="3" t="str">
        <f t="shared" si="159"/>
        <v>CLEAN</v>
      </c>
      <c r="AW378" t="str">
        <f t="shared" si="160"/>
        <v>MATCH</v>
      </c>
      <c r="AX378" t="str">
        <f t="shared" si="161"/>
        <v>MATCH</v>
      </c>
    </row>
    <row r="379" spans="1:50" ht="15.6" hidden="1">
      <c r="A379" s="1" t="s">
        <v>2763</v>
      </c>
      <c r="B379" s="1">
        <f t="shared" si="135"/>
        <v>1</v>
      </c>
      <c r="C379" s="16">
        <v>45375</v>
      </c>
      <c r="D379" s="16">
        <v>45375</v>
      </c>
      <c r="E379" s="16" t="str">
        <f t="shared" si="154"/>
        <v>Mar</v>
      </c>
      <c r="F379" s="1">
        <f t="shared" si="155"/>
        <v>2024</v>
      </c>
      <c r="G379" t="s">
        <v>1655</v>
      </c>
      <c r="H379" s="17">
        <v>45807</v>
      </c>
      <c r="I379" s="21">
        <f t="shared" si="156"/>
        <v>432</v>
      </c>
      <c r="J379" s="6" t="str">
        <f t="shared" si="157"/>
        <v>OK</v>
      </c>
      <c r="K379" s="1" t="s">
        <v>2765</v>
      </c>
      <c r="L379" s="1" t="s">
        <v>70</v>
      </c>
      <c r="M379" s="1" t="str">
        <f t="shared" si="136"/>
        <v>Ananya Rao</v>
      </c>
      <c r="N379" s="1" t="s">
        <v>110</v>
      </c>
      <c r="O379" s="1" t="str">
        <f t="shared" si="137"/>
        <v>Home Office</v>
      </c>
      <c r="P379" s="1" t="s">
        <v>71</v>
      </c>
      <c r="Q379" s="1" t="str">
        <f t="shared" si="138"/>
        <v>West</v>
      </c>
      <c r="R379" s="1" t="str">
        <f t="shared" si="139"/>
        <v>OK</v>
      </c>
      <c r="S379" s="1" t="s">
        <v>72</v>
      </c>
      <c r="T379" s="1" t="str">
        <f t="shared" si="140"/>
        <v>Maharashtra</v>
      </c>
      <c r="U379" s="1" t="s">
        <v>73</v>
      </c>
      <c r="V379" s="1" t="str">
        <f t="shared" si="141"/>
        <v>Mumbai</v>
      </c>
      <c r="W379" s="1" t="s">
        <v>44</v>
      </c>
      <c r="X379" s="1" t="str">
        <f t="shared" si="142"/>
        <v>Furniture</v>
      </c>
      <c r="Y379" s="1" t="s">
        <v>45</v>
      </c>
      <c r="Z379" s="1" t="str">
        <f t="shared" si="143"/>
        <v>Tables</v>
      </c>
      <c r="AA379" s="1" t="s">
        <v>2766</v>
      </c>
      <c r="AB379" s="1" t="s">
        <v>32</v>
      </c>
      <c r="AC379" s="1" t="str">
        <f t="shared" si="144"/>
        <v>Second Class</v>
      </c>
      <c r="AD379" s="1" t="str">
        <f t="shared" si="145"/>
        <v>OK</v>
      </c>
      <c r="AE379" s="1">
        <v>4</v>
      </c>
      <c r="AF379" s="1">
        <v>1700.72</v>
      </c>
      <c r="AG379" s="9">
        <v>0.25</v>
      </c>
      <c r="AH379" s="9">
        <f t="shared" si="146"/>
        <v>0.25</v>
      </c>
      <c r="AI379" s="1" t="str">
        <f t="shared" si="147"/>
        <v>OK</v>
      </c>
      <c r="AJ379" s="1">
        <v>5102.16</v>
      </c>
      <c r="AK379" s="1">
        <v>3226.45</v>
      </c>
      <c r="AL379" s="1">
        <v>1875.71</v>
      </c>
      <c r="AM379" s="13">
        <f t="shared" si="148"/>
        <v>5102.16</v>
      </c>
      <c r="AN379" s="9">
        <f t="shared" si="149"/>
        <v>1875.71</v>
      </c>
      <c r="AO379" s="9">
        <f t="shared" si="158"/>
        <v>0.36763057214983458</v>
      </c>
      <c r="AP379" s="1" t="s">
        <v>33</v>
      </c>
      <c r="AQ379" s="1" t="str">
        <f t="shared" si="150"/>
        <v>Paid</v>
      </c>
      <c r="AR379" s="1" t="str">
        <f t="shared" si="151"/>
        <v>OK</v>
      </c>
      <c r="AS379" s="1" t="s">
        <v>34</v>
      </c>
      <c r="AT379" s="4" t="str">
        <f t="shared" si="152"/>
        <v>Completed</v>
      </c>
      <c r="AU379" s="3" t="str">
        <f t="shared" si="153"/>
        <v>OK</v>
      </c>
      <c r="AV379" s="3" t="str">
        <f t="shared" si="159"/>
        <v>CLEAN</v>
      </c>
      <c r="AW379" t="str">
        <f t="shared" si="160"/>
        <v>MATCH</v>
      </c>
      <c r="AX379" t="str">
        <f t="shared" si="161"/>
        <v>MATCH</v>
      </c>
    </row>
    <row r="380" spans="1:50" ht="15.6" hidden="1">
      <c r="A380" s="1" t="s">
        <v>2769</v>
      </c>
      <c r="B380" s="1">
        <f t="shared" si="135"/>
        <v>1</v>
      </c>
      <c r="C380" s="16">
        <v>45373</v>
      </c>
      <c r="D380" s="16">
        <v>45373</v>
      </c>
      <c r="E380" s="16" t="str">
        <f t="shared" si="154"/>
        <v>Mar</v>
      </c>
      <c r="F380" s="1">
        <f t="shared" si="155"/>
        <v>2024</v>
      </c>
      <c r="G380" t="s">
        <v>1660</v>
      </c>
      <c r="H380" s="17">
        <v>45799</v>
      </c>
      <c r="I380" s="21">
        <f t="shared" si="156"/>
        <v>426</v>
      </c>
      <c r="J380" s="6" t="str">
        <f t="shared" si="157"/>
        <v>OK</v>
      </c>
      <c r="K380" s="1" t="s">
        <v>2771</v>
      </c>
      <c r="L380" s="1" t="s">
        <v>103</v>
      </c>
      <c r="M380" s="1" t="str">
        <f t="shared" si="136"/>
        <v>Aditi Sen</v>
      </c>
      <c r="N380" s="1" t="s">
        <v>110</v>
      </c>
      <c r="O380" s="1" t="str">
        <f t="shared" si="137"/>
        <v>Home Office</v>
      </c>
      <c r="P380" s="1" t="s">
        <v>71</v>
      </c>
      <c r="Q380" s="1" t="str">
        <f t="shared" si="138"/>
        <v>West</v>
      </c>
      <c r="R380" s="1" t="str">
        <f t="shared" si="139"/>
        <v>OK</v>
      </c>
      <c r="S380" s="1" t="s">
        <v>230</v>
      </c>
      <c r="T380" s="1" t="str">
        <f t="shared" si="140"/>
        <v>Goa</v>
      </c>
      <c r="U380" s="1" t="s">
        <v>231</v>
      </c>
      <c r="V380" s="1" t="str">
        <f t="shared" si="141"/>
        <v>Panaji</v>
      </c>
      <c r="W380" s="1" t="s">
        <v>83</v>
      </c>
      <c r="X380" s="1" t="str">
        <f t="shared" si="142"/>
        <v>Technology</v>
      </c>
      <c r="Y380" s="1" t="s">
        <v>2772</v>
      </c>
      <c r="Z380" s="1" t="str">
        <f t="shared" si="143"/>
        <v>Copiers</v>
      </c>
      <c r="AA380" s="1" t="s">
        <v>2773</v>
      </c>
      <c r="AB380" s="1" t="s">
        <v>32</v>
      </c>
      <c r="AC380" s="1" t="str">
        <f t="shared" si="144"/>
        <v>Second Class</v>
      </c>
      <c r="AD380" s="1" t="str">
        <f t="shared" si="145"/>
        <v>OK</v>
      </c>
      <c r="AE380" s="1">
        <v>9</v>
      </c>
      <c r="AF380" s="1">
        <v>3649.51</v>
      </c>
      <c r="AG380" s="9">
        <v>0.05</v>
      </c>
      <c r="AH380" s="9">
        <f t="shared" si="146"/>
        <v>0.05</v>
      </c>
      <c r="AI380" s="1" t="str">
        <f t="shared" si="147"/>
        <v>OK</v>
      </c>
      <c r="AJ380" s="1">
        <v>31203.31</v>
      </c>
      <c r="AK380" s="1">
        <v>17738.13</v>
      </c>
      <c r="AL380" s="1">
        <v>13465.18</v>
      </c>
      <c r="AM380" s="13">
        <f t="shared" si="148"/>
        <v>31203.310500000003</v>
      </c>
      <c r="AN380" s="9">
        <f t="shared" si="149"/>
        <v>13465.180500000002</v>
      </c>
      <c r="AO380" s="9">
        <f t="shared" si="158"/>
        <v>0.43153051020019179</v>
      </c>
      <c r="AP380" s="1" t="s">
        <v>33</v>
      </c>
      <c r="AQ380" s="1" t="str">
        <f t="shared" si="150"/>
        <v>Paid</v>
      </c>
      <c r="AR380" s="1" t="str">
        <f t="shared" si="151"/>
        <v>OK</v>
      </c>
      <c r="AS380" s="1" t="s">
        <v>34</v>
      </c>
      <c r="AT380" s="4" t="str">
        <f t="shared" si="152"/>
        <v>Completed</v>
      </c>
      <c r="AU380" s="3" t="str">
        <f t="shared" si="153"/>
        <v>OK</v>
      </c>
      <c r="AV380" s="3" t="str">
        <f t="shared" si="159"/>
        <v>CLEAN</v>
      </c>
      <c r="AW380" t="str">
        <f t="shared" si="160"/>
        <v>MATCH</v>
      </c>
      <c r="AX380" t="str">
        <f t="shared" si="161"/>
        <v>MATCH</v>
      </c>
    </row>
    <row r="381" spans="1:50" ht="15.6" hidden="1">
      <c r="A381" s="1" t="s">
        <v>2774</v>
      </c>
      <c r="B381" s="1">
        <f t="shared" si="135"/>
        <v>1</v>
      </c>
      <c r="C381" s="16">
        <v>45391</v>
      </c>
      <c r="D381" s="16">
        <v>45391</v>
      </c>
      <c r="E381" s="16" t="str">
        <f t="shared" si="154"/>
        <v>Apr</v>
      </c>
      <c r="F381" s="1">
        <f t="shared" si="155"/>
        <v>2024</v>
      </c>
      <c r="G381" t="s">
        <v>1665</v>
      </c>
      <c r="H381" s="17">
        <v>45558</v>
      </c>
      <c r="I381" s="21">
        <f t="shared" si="156"/>
        <v>167</v>
      </c>
      <c r="J381" s="6" t="str">
        <f t="shared" si="157"/>
        <v>OK</v>
      </c>
      <c r="K381" s="1" t="s">
        <v>2776</v>
      </c>
      <c r="L381" s="1" t="s">
        <v>103</v>
      </c>
      <c r="M381" s="1" t="str">
        <f t="shared" si="136"/>
        <v>Aditi Sen</v>
      </c>
      <c r="N381" s="1" t="s">
        <v>104</v>
      </c>
      <c r="O381" s="1" t="str">
        <f t="shared" si="137"/>
        <v>Corporate</v>
      </c>
      <c r="P381" s="1" t="s">
        <v>71</v>
      </c>
      <c r="Q381" s="1" t="str">
        <f t="shared" si="138"/>
        <v>West</v>
      </c>
      <c r="R381" s="1" t="str">
        <f t="shared" si="139"/>
        <v>OK</v>
      </c>
      <c r="S381" s="1" t="s">
        <v>81</v>
      </c>
      <c r="T381" s="1" t="str">
        <f t="shared" si="140"/>
        <v>Madhya Pradesh</v>
      </c>
      <c r="U381" s="1" t="s">
        <v>82</v>
      </c>
      <c r="V381" s="1" t="str">
        <f t="shared" si="141"/>
        <v>Indore</v>
      </c>
      <c r="W381" s="1" t="s">
        <v>44</v>
      </c>
      <c r="X381" s="1" t="str">
        <f t="shared" si="142"/>
        <v>Furniture</v>
      </c>
      <c r="Y381" s="1" t="s">
        <v>74</v>
      </c>
      <c r="Z381" s="1" t="str">
        <f t="shared" si="143"/>
        <v>Chairs</v>
      </c>
      <c r="AA381" s="1" t="s">
        <v>2777</v>
      </c>
      <c r="AB381" s="1" t="s">
        <v>65</v>
      </c>
      <c r="AC381" s="1" t="str">
        <f t="shared" si="144"/>
        <v>Standard Class</v>
      </c>
      <c r="AD381" s="1" t="str">
        <f t="shared" si="145"/>
        <v>OK</v>
      </c>
      <c r="AE381" s="1">
        <v>5</v>
      </c>
      <c r="AF381" s="1">
        <v>2528.5300000000002</v>
      </c>
      <c r="AG381" s="9">
        <v>0.05</v>
      </c>
      <c r="AH381" s="9">
        <f t="shared" si="146"/>
        <v>0.05</v>
      </c>
      <c r="AI381" s="1" t="str">
        <f t="shared" si="147"/>
        <v>OK</v>
      </c>
      <c r="AJ381" s="1">
        <v>12010.52</v>
      </c>
      <c r="AK381" s="1">
        <v>7864.61</v>
      </c>
      <c r="AL381" s="1">
        <v>4145.91</v>
      </c>
      <c r="AM381" s="13">
        <f t="shared" si="148"/>
        <v>12010.5175</v>
      </c>
      <c r="AN381" s="9">
        <f t="shared" si="149"/>
        <v>4145.9075000000003</v>
      </c>
      <c r="AO381" s="9">
        <f t="shared" si="158"/>
        <v>0.34518974723612039</v>
      </c>
      <c r="AP381" s="1" t="s">
        <v>33</v>
      </c>
      <c r="AQ381" s="1" t="str">
        <f t="shared" si="150"/>
        <v>Paid</v>
      </c>
      <c r="AR381" s="1" t="str">
        <f t="shared" si="151"/>
        <v>OK</v>
      </c>
      <c r="AS381" s="1" t="s">
        <v>120</v>
      </c>
      <c r="AT381" s="4" t="str">
        <f t="shared" si="152"/>
        <v>Returned</v>
      </c>
      <c r="AU381" s="3" t="str">
        <f t="shared" si="153"/>
        <v>RETURNED_ORDER</v>
      </c>
      <c r="AV381" s="3" t="str">
        <f t="shared" si="159"/>
        <v>CLEAN</v>
      </c>
      <c r="AW381" t="str">
        <f t="shared" si="160"/>
        <v>MATCH</v>
      </c>
      <c r="AX381" t="str">
        <f t="shared" si="161"/>
        <v>MATCH</v>
      </c>
    </row>
    <row r="382" spans="1:50" ht="15.6">
      <c r="A382" s="1" t="s">
        <v>2782</v>
      </c>
      <c r="B382" s="1">
        <f t="shared" si="135"/>
        <v>1</v>
      </c>
      <c r="C382" s="16">
        <v>45430</v>
      </c>
      <c r="D382" s="16">
        <v>45430</v>
      </c>
      <c r="E382" s="16" t="str">
        <f t="shared" si="154"/>
        <v>May</v>
      </c>
      <c r="F382" s="1">
        <f t="shared" si="155"/>
        <v>2024</v>
      </c>
      <c r="G382" t="s">
        <v>1248</v>
      </c>
      <c r="H382" s="17">
        <v>45396</v>
      </c>
      <c r="I382" s="21">
        <f t="shared" si="156"/>
        <v>-34</v>
      </c>
      <c r="J382" s="6" t="str">
        <f t="shared" si="157"/>
        <v>INVALID_SHIPPING</v>
      </c>
      <c r="K382" s="1" t="s">
        <v>2784</v>
      </c>
      <c r="L382" s="1" t="s">
        <v>80</v>
      </c>
      <c r="M382" s="1" t="str">
        <f t="shared" si="136"/>
        <v>Vikram Iyer</v>
      </c>
      <c r="N382" s="1" t="s">
        <v>104</v>
      </c>
      <c r="O382" s="1" t="str">
        <f t="shared" si="137"/>
        <v>Corporate</v>
      </c>
      <c r="P382" s="1" t="s">
        <v>41</v>
      </c>
      <c r="Q382" s="1" t="str">
        <f t="shared" si="138"/>
        <v>East</v>
      </c>
      <c r="R382" s="1" t="str">
        <f t="shared" si="139"/>
        <v>OK</v>
      </c>
      <c r="S382" s="1" t="s">
        <v>284</v>
      </c>
      <c r="T382" s="1" t="str">
        <f t="shared" si="140"/>
        <v>Jharkhand</v>
      </c>
      <c r="U382" s="1" t="s">
        <v>285</v>
      </c>
      <c r="V382" s="1" t="str">
        <f t="shared" si="141"/>
        <v>Ranchi</v>
      </c>
      <c r="W382" s="1" t="s">
        <v>83</v>
      </c>
      <c r="X382" s="1" t="str">
        <f t="shared" si="142"/>
        <v>Technology</v>
      </c>
      <c r="Y382" s="1" t="s">
        <v>84</v>
      </c>
      <c r="Z382" s="1" t="str">
        <f t="shared" si="143"/>
        <v>Accessories</v>
      </c>
      <c r="AA382" s="1" t="s">
        <v>2785</v>
      </c>
      <c r="AB382" s="1" t="s">
        <v>32</v>
      </c>
      <c r="AC382" s="1" t="str">
        <f t="shared" si="144"/>
        <v>Second Class</v>
      </c>
      <c r="AD382" s="1" t="str">
        <f t="shared" si="145"/>
        <v>OK</v>
      </c>
      <c r="AE382" s="1">
        <v>1</v>
      </c>
      <c r="AF382" s="1">
        <v>1033.71</v>
      </c>
      <c r="AG382" s="9">
        <v>0</v>
      </c>
      <c r="AH382" s="9">
        <f t="shared" si="146"/>
        <v>0</v>
      </c>
      <c r="AI382" s="1" t="str">
        <f t="shared" si="147"/>
        <v>OK</v>
      </c>
      <c r="AJ382" s="1">
        <v>1033.71</v>
      </c>
      <c r="AK382" s="1">
        <v>630.82000000000005</v>
      </c>
      <c r="AL382" s="1">
        <v>402.89</v>
      </c>
      <c r="AM382" s="13">
        <f t="shared" si="148"/>
        <v>1033.71</v>
      </c>
      <c r="AN382" s="9">
        <f t="shared" si="149"/>
        <v>402.89</v>
      </c>
      <c r="AO382" s="9">
        <f t="shared" si="158"/>
        <v>0.38975147768716562</v>
      </c>
      <c r="AP382" s="1" t="s">
        <v>131</v>
      </c>
      <c r="AQ382" s="1" t="str">
        <f t="shared" si="150"/>
        <v>Pending</v>
      </c>
      <c r="AR382" s="1" t="str">
        <f t="shared" si="151"/>
        <v>OK</v>
      </c>
      <c r="AS382" s="1" t="s">
        <v>120</v>
      </c>
      <c r="AT382" s="4" t="str">
        <f t="shared" si="152"/>
        <v>Returned</v>
      </c>
      <c r="AU382" s="3" t="str">
        <f t="shared" si="153"/>
        <v>RETURNED_ORDER</v>
      </c>
      <c r="AV382" s="3" t="str">
        <f t="shared" si="159"/>
        <v>INVALID</v>
      </c>
      <c r="AW382" t="str">
        <f t="shared" si="160"/>
        <v>MATCH</v>
      </c>
      <c r="AX382" t="str">
        <f t="shared" si="161"/>
        <v>MATCH</v>
      </c>
    </row>
    <row r="383" spans="1:50" ht="15.6" hidden="1">
      <c r="A383" s="1" t="s">
        <v>2793</v>
      </c>
      <c r="B383" s="1">
        <f t="shared" si="135"/>
        <v>1</v>
      </c>
      <c r="C383" s="16">
        <v>45465</v>
      </c>
      <c r="D383" s="16">
        <v>45465</v>
      </c>
      <c r="E383" s="16" t="str">
        <f t="shared" si="154"/>
        <v>Jun</v>
      </c>
      <c r="F383" s="1">
        <f t="shared" si="155"/>
        <v>2024</v>
      </c>
      <c r="G383" t="s">
        <v>1673</v>
      </c>
      <c r="H383" s="17">
        <v>45923</v>
      </c>
      <c r="I383" s="21">
        <f t="shared" si="156"/>
        <v>458</v>
      </c>
      <c r="J383" s="6" t="str">
        <f t="shared" si="157"/>
        <v>OK</v>
      </c>
      <c r="K383" s="1" t="s">
        <v>23</v>
      </c>
      <c r="L383" s="1" t="s">
        <v>52</v>
      </c>
      <c r="M383" s="1" t="str">
        <f t="shared" si="136"/>
        <v>Isha Nair</v>
      </c>
      <c r="N383" s="1" t="s">
        <v>110</v>
      </c>
      <c r="O383" s="1" t="str">
        <f t="shared" si="137"/>
        <v>Home Office</v>
      </c>
      <c r="P383" s="1" t="s">
        <v>60</v>
      </c>
      <c r="Q383" s="1" t="str">
        <f t="shared" si="138"/>
        <v>South</v>
      </c>
      <c r="R383" s="1" t="str">
        <f t="shared" si="139"/>
        <v>OK</v>
      </c>
      <c r="S383" s="1" t="s">
        <v>212</v>
      </c>
      <c r="T383" s="1" t="str">
        <f t="shared" si="140"/>
        <v>Karnataka</v>
      </c>
      <c r="U383" s="1" t="s">
        <v>213</v>
      </c>
      <c r="V383" s="1" t="str">
        <f t="shared" si="141"/>
        <v>Bengaluru</v>
      </c>
      <c r="W383" s="1" t="s">
        <v>44</v>
      </c>
      <c r="X383" s="1" t="str">
        <f t="shared" si="142"/>
        <v>Furniture</v>
      </c>
      <c r="Y383" s="1" t="s">
        <v>74</v>
      </c>
      <c r="Z383" s="1" t="str">
        <f t="shared" si="143"/>
        <v>Chairs</v>
      </c>
      <c r="AA383" s="1" t="s">
        <v>2795</v>
      </c>
      <c r="AB383" s="1" t="s">
        <v>47</v>
      </c>
      <c r="AC383" s="1" t="str">
        <f t="shared" si="144"/>
        <v>Same Day</v>
      </c>
      <c r="AD383" s="1" t="str">
        <f t="shared" si="145"/>
        <v>OK</v>
      </c>
      <c r="AE383" s="1">
        <v>7</v>
      </c>
      <c r="AF383" s="1">
        <v>2623.48</v>
      </c>
      <c r="AG383" s="9">
        <v>0</v>
      </c>
      <c r="AH383" s="9">
        <f t="shared" si="146"/>
        <v>0</v>
      </c>
      <c r="AI383" s="1" t="str">
        <f t="shared" si="147"/>
        <v>OK</v>
      </c>
      <c r="AJ383" s="1">
        <v>18364.36</v>
      </c>
      <c r="AK383" s="1">
        <v>15445.81</v>
      </c>
      <c r="AL383" s="1">
        <v>2918.55</v>
      </c>
      <c r="AM383" s="13">
        <f t="shared" si="148"/>
        <v>18364.36</v>
      </c>
      <c r="AN383" s="9">
        <f t="shared" si="149"/>
        <v>2918.5500000000011</v>
      </c>
      <c r="AO383" s="9">
        <f t="shared" si="158"/>
        <v>0.15892467801763857</v>
      </c>
      <c r="AP383" s="1" t="s">
        <v>33</v>
      </c>
      <c r="AQ383" s="1" t="str">
        <f t="shared" si="150"/>
        <v>Paid</v>
      </c>
      <c r="AR383" s="1" t="str">
        <f t="shared" si="151"/>
        <v>OK</v>
      </c>
      <c r="AS383" s="1" t="s">
        <v>34</v>
      </c>
      <c r="AT383" s="4" t="str">
        <f t="shared" si="152"/>
        <v>Completed</v>
      </c>
      <c r="AU383" s="3" t="str">
        <f t="shared" si="153"/>
        <v>OK</v>
      </c>
      <c r="AV383" s="3" t="str">
        <f t="shared" si="159"/>
        <v>CLEAN</v>
      </c>
      <c r="AW383" t="str">
        <f t="shared" si="160"/>
        <v>MATCH</v>
      </c>
      <c r="AX383" t="str">
        <f t="shared" si="161"/>
        <v>MATCH</v>
      </c>
    </row>
    <row r="384" spans="1:50" ht="15.6" hidden="1">
      <c r="A384" s="1" t="s">
        <v>2796</v>
      </c>
      <c r="B384" s="1">
        <f t="shared" si="135"/>
        <v>1</v>
      </c>
      <c r="C384" s="16">
        <v>45620</v>
      </c>
      <c r="D384" s="16">
        <v>45620</v>
      </c>
      <c r="E384" s="16" t="str">
        <f t="shared" si="154"/>
        <v>Nov</v>
      </c>
      <c r="F384" s="1">
        <f t="shared" si="155"/>
        <v>2024</v>
      </c>
      <c r="G384" t="s">
        <v>498</v>
      </c>
      <c r="H384" s="17">
        <v>45724</v>
      </c>
      <c r="I384" s="21">
        <f t="shared" si="156"/>
        <v>104</v>
      </c>
      <c r="J384" s="6" t="str">
        <f t="shared" si="157"/>
        <v>OK</v>
      </c>
      <c r="K384" s="1" t="s">
        <v>2798</v>
      </c>
      <c r="L384" s="1" t="s">
        <v>334</v>
      </c>
      <c r="M384" s="1" t="str">
        <f t="shared" si="136"/>
        <v>Kabir Singh</v>
      </c>
      <c r="N384" s="1" t="s">
        <v>104</v>
      </c>
      <c r="O384" s="1" t="str">
        <f t="shared" si="137"/>
        <v>Corporate</v>
      </c>
      <c r="P384" s="1" t="s">
        <v>60</v>
      </c>
      <c r="Q384" s="1" t="str">
        <f t="shared" si="138"/>
        <v>South</v>
      </c>
      <c r="R384" s="1" t="str">
        <f t="shared" si="139"/>
        <v>OK</v>
      </c>
      <c r="S384" s="1" t="s">
        <v>212</v>
      </c>
      <c r="T384" s="1" t="str">
        <f t="shared" si="140"/>
        <v>Karnataka</v>
      </c>
      <c r="U384" s="1" t="s">
        <v>213</v>
      </c>
      <c r="V384" s="1" t="str">
        <f t="shared" si="141"/>
        <v>Bengaluru</v>
      </c>
      <c r="W384" s="1" t="s">
        <v>44</v>
      </c>
      <c r="X384" s="1" t="str">
        <f t="shared" si="142"/>
        <v>Furniture</v>
      </c>
      <c r="Y384" s="1" t="s">
        <v>45</v>
      </c>
      <c r="Z384" s="1" t="str">
        <f t="shared" si="143"/>
        <v>Tables</v>
      </c>
      <c r="AA384" s="1" t="s">
        <v>2799</v>
      </c>
      <c r="AB384" s="1" t="s">
        <v>32</v>
      </c>
      <c r="AC384" s="1" t="str">
        <f t="shared" si="144"/>
        <v>Second Class</v>
      </c>
      <c r="AD384" s="1" t="str">
        <f t="shared" si="145"/>
        <v>OK</v>
      </c>
      <c r="AE384" s="1">
        <v>9</v>
      </c>
      <c r="AF384" s="1">
        <v>2763.61</v>
      </c>
      <c r="AG384" s="9">
        <v>0.15</v>
      </c>
      <c r="AH384" s="9">
        <f t="shared" si="146"/>
        <v>0.15</v>
      </c>
      <c r="AI384" s="1" t="str">
        <f t="shared" si="147"/>
        <v>OK</v>
      </c>
      <c r="AJ384" s="1">
        <v>21141.62</v>
      </c>
      <c r="AK384" s="1">
        <v>11676.33</v>
      </c>
      <c r="AL384" s="1">
        <v>9465.2900000000009</v>
      </c>
      <c r="AM384" s="13">
        <f t="shared" si="148"/>
        <v>21141.6165</v>
      </c>
      <c r="AN384" s="9">
        <f t="shared" si="149"/>
        <v>9465.2865000000002</v>
      </c>
      <c r="AO384" s="9">
        <f t="shared" si="158"/>
        <v>0.44770874071999178</v>
      </c>
      <c r="AP384" s="1" t="s">
        <v>33</v>
      </c>
      <c r="AQ384" s="1" t="str">
        <f t="shared" si="150"/>
        <v>Paid</v>
      </c>
      <c r="AR384" s="1" t="str">
        <f t="shared" si="151"/>
        <v>OK</v>
      </c>
      <c r="AS384" s="1" t="s">
        <v>34</v>
      </c>
      <c r="AT384" s="4" t="str">
        <f t="shared" si="152"/>
        <v>Completed</v>
      </c>
      <c r="AU384" s="3" t="str">
        <f t="shared" si="153"/>
        <v>OK</v>
      </c>
      <c r="AV384" s="3" t="str">
        <f t="shared" si="159"/>
        <v>CLEAN</v>
      </c>
      <c r="AW384" t="str">
        <f t="shared" si="160"/>
        <v>MATCH</v>
      </c>
      <c r="AX384" t="str">
        <f t="shared" si="161"/>
        <v>MATCH</v>
      </c>
    </row>
    <row r="385" spans="1:50" ht="15.6" hidden="1">
      <c r="A385" s="1" t="s">
        <v>2803</v>
      </c>
      <c r="B385" s="1">
        <f t="shared" si="135"/>
        <v>1</v>
      </c>
      <c r="C385" s="16">
        <v>45441</v>
      </c>
      <c r="D385" s="16">
        <v>45441</v>
      </c>
      <c r="E385" s="16" t="str">
        <f t="shared" si="154"/>
        <v>May</v>
      </c>
      <c r="F385" s="1">
        <f t="shared" si="155"/>
        <v>2024</v>
      </c>
      <c r="G385" t="s">
        <v>951</v>
      </c>
      <c r="H385" s="17">
        <v>45843</v>
      </c>
      <c r="I385" s="21">
        <f t="shared" si="156"/>
        <v>402</v>
      </c>
      <c r="J385" s="6" t="str">
        <f t="shared" si="157"/>
        <v>OK</v>
      </c>
      <c r="K385" s="1" t="s">
        <v>2804</v>
      </c>
      <c r="L385" s="1" t="s">
        <v>334</v>
      </c>
      <c r="M385" s="1" t="str">
        <f t="shared" si="136"/>
        <v>Kabir Singh</v>
      </c>
      <c r="N385" s="1" t="s">
        <v>104</v>
      </c>
      <c r="O385" s="1" t="str">
        <f t="shared" si="137"/>
        <v>Corporate</v>
      </c>
      <c r="P385" s="1" t="s">
        <v>60</v>
      </c>
      <c r="Q385" s="1" t="str">
        <f t="shared" si="138"/>
        <v>South</v>
      </c>
      <c r="R385" s="1" t="str">
        <f t="shared" si="139"/>
        <v>OK</v>
      </c>
      <c r="S385" s="1" t="s">
        <v>309</v>
      </c>
      <c r="T385" s="1" t="str">
        <f t="shared" si="140"/>
        <v>Tamil Nadu</v>
      </c>
      <c r="U385" s="1" t="s">
        <v>310</v>
      </c>
      <c r="V385" s="1" t="str">
        <f t="shared" si="141"/>
        <v>Chennai</v>
      </c>
      <c r="W385" s="1" t="s">
        <v>83</v>
      </c>
      <c r="X385" s="1" t="str">
        <f t="shared" si="142"/>
        <v>Technology</v>
      </c>
      <c r="Y385" s="1" t="s">
        <v>84</v>
      </c>
      <c r="Z385" s="1" t="str">
        <f t="shared" si="143"/>
        <v>Accessories</v>
      </c>
      <c r="AA385" s="1" t="s">
        <v>2805</v>
      </c>
      <c r="AB385" s="1" t="s">
        <v>55</v>
      </c>
      <c r="AC385" s="1" t="str">
        <f t="shared" si="144"/>
        <v>First Class</v>
      </c>
      <c r="AD385" s="1" t="str">
        <f t="shared" si="145"/>
        <v>OK</v>
      </c>
      <c r="AE385" s="1">
        <v>4</v>
      </c>
      <c r="AF385" s="1">
        <v>3700.24</v>
      </c>
      <c r="AG385" s="9">
        <v>0</v>
      </c>
      <c r="AH385" s="9">
        <f t="shared" si="146"/>
        <v>0</v>
      </c>
      <c r="AI385" s="1" t="str">
        <f t="shared" si="147"/>
        <v>OK</v>
      </c>
      <c r="AJ385" s="1">
        <v>14800.96</v>
      </c>
      <c r="AK385" s="1">
        <v>12048.39</v>
      </c>
      <c r="AL385" s="1">
        <v>2752.57</v>
      </c>
      <c r="AM385" s="13">
        <f t="shared" si="148"/>
        <v>14800.96</v>
      </c>
      <c r="AN385" s="9">
        <f t="shared" si="149"/>
        <v>2752.5699999999997</v>
      </c>
      <c r="AO385" s="9">
        <f t="shared" si="158"/>
        <v>0.18597239638509933</v>
      </c>
      <c r="AP385" s="1" t="s">
        <v>33</v>
      </c>
      <c r="AQ385" s="1" t="str">
        <f t="shared" si="150"/>
        <v>Paid</v>
      </c>
      <c r="AR385" s="1" t="str">
        <f t="shared" si="151"/>
        <v>OK</v>
      </c>
      <c r="AS385" s="1" t="s">
        <v>34</v>
      </c>
      <c r="AT385" s="4" t="str">
        <f t="shared" si="152"/>
        <v>Completed</v>
      </c>
      <c r="AU385" s="3" t="str">
        <f t="shared" si="153"/>
        <v>OK</v>
      </c>
      <c r="AV385" s="3" t="str">
        <f t="shared" si="159"/>
        <v>CLEAN</v>
      </c>
      <c r="AW385" t="str">
        <f t="shared" si="160"/>
        <v>MATCH</v>
      </c>
      <c r="AX385" t="str">
        <f t="shared" si="161"/>
        <v>MATCH</v>
      </c>
    </row>
    <row r="386" spans="1:50" ht="15.6">
      <c r="A386" s="1" t="s">
        <v>2806</v>
      </c>
      <c r="B386" s="1">
        <f t="shared" ref="B386:B449" si="162">COUNTIF($A:$A,A386)</f>
        <v>1</v>
      </c>
      <c r="C386" s="16">
        <v>45389</v>
      </c>
      <c r="D386" s="16">
        <v>45389</v>
      </c>
      <c r="E386" s="16" t="str">
        <f t="shared" si="154"/>
        <v>Apr</v>
      </c>
      <c r="F386" s="1">
        <f t="shared" si="155"/>
        <v>2024</v>
      </c>
      <c r="G386" t="s">
        <v>1684</v>
      </c>
      <c r="H386" s="17">
        <v>45371</v>
      </c>
      <c r="I386" s="21">
        <f t="shared" si="156"/>
        <v>-18</v>
      </c>
      <c r="J386" s="6" t="str">
        <f t="shared" si="157"/>
        <v>INVALID_SHIPPING</v>
      </c>
      <c r="K386" s="1" t="s">
        <v>2808</v>
      </c>
      <c r="L386" s="1" t="s">
        <v>80</v>
      </c>
      <c r="M386" s="1" t="str">
        <f t="shared" ref="M386:M449" si="163">PROPER(TRIM(SUBSTITUTE(L386,CHAR(160)," ")))</f>
        <v>Vikram Iyer</v>
      </c>
      <c r="N386" s="1" t="s">
        <v>104</v>
      </c>
      <c r="O386" s="1" t="str">
        <f t="shared" ref="O386:O449" si="164">PROPER(TRIM(SUBSTITUTE(N386,CHAR(160)," ")))</f>
        <v>Corporate</v>
      </c>
      <c r="P386" s="1" t="s">
        <v>26</v>
      </c>
      <c r="Q386" s="1" t="str">
        <f t="shared" ref="Q386:Q449" si="165">IF(TRIM(P386)="","Unknown",PROPER(TRIM(P386)))</f>
        <v>North</v>
      </c>
      <c r="R386" s="1" t="str">
        <f t="shared" ref="R386:R449" si="166">IF(Q386="Unknown","MISSING_REGION","OK")</f>
        <v>OK</v>
      </c>
      <c r="S386" s="1" t="s">
        <v>454</v>
      </c>
      <c r="T386" s="1" t="str">
        <f t="shared" ref="T386:T449" si="167">PROPER(TRIM(SUBSTITUTE(S386,CHAR(160)," ")))</f>
        <v>Delhi</v>
      </c>
      <c r="U386" s="1" t="s">
        <v>455</v>
      </c>
      <c r="V386" s="1" t="str">
        <f t="shared" ref="V386:V449" si="168">PROPER(TRIM(SUBSTITUTE(U386,CHAR(160)," ")))</f>
        <v>New Delhi</v>
      </c>
      <c r="W386" s="1" t="s">
        <v>44</v>
      </c>
      <c r="X386" s="1" t="str">
        <f t="shared" ref="X386:X449" si="169">PROPER(TRIM(SUBSTITUTE(W386,CHAR(160)," ")))</f>
        <v>Furniture</v>
      </c>
      <c r="Y386" s="1" t="s">
        <v>45</v>
      </c>
      <c r="Z386" s="1" t="str">
        <f t="shared" ref="Z386:Z449" si="170">PROPER(TRIM(SUBSTITUTE(Y386,CHAR(160)," ")))</f>
        <v>Tables</v>
      </c>
      <c r="AA386" s="1" t="s">
        <v>2809</v>
      </c>
      <c r="AB386" s="1" t="s">
        <v>32</v>
      </c>
      <c r="AC386" s="1" t="str">
        <f t="shared" ref="AC386:AC449" si="171">IF(TRIM(AB386)="","Unknown",PROPER(TRIM(AB386)))</f>
        <v>Second Class</v>
      </c>
      <c r="AD386" s="1" t="str">
        <f t="shared" ref="AD386:AD449" si="172">IF(AC386="Unknown","MISSING_SHIP_MODE","OK")</f>
        <v>OK</v>
      </c>
      <c r="AE386" s="1">
        <v>5</v>
      </c>
      <c r="AF386" s="1">
        <v>1200.27</v>
      </c>
      <c r="AG386" s="9">
        <v>0</v>
      </c>
      <c r="AH386" s="9">
        <f t="shared" ref="AH386:AH449" si="173">IF(RIGHT(AG386,1)="%",VALUE(SUBSTITUTE(AG386,"%",""))/100,AG386)</f>
        <v>0</v>
      </c>
      <c r="AI386" s="1" t="str">
        <f t="shared" ref="AI386:AI449" si="174">IF(AG386="","Missing Discount",
IF(AG386&lt;0,"Invalid Negative Discount",
"OK"))</f>
        <v>OK</v>
      </c>
      <c r="AJ386" s="1">
        <v>6001.35</v>
      </c>
      <c r="AK386" s="1">
        <v>4182.99</v>
      </c>
      <c r="AL386" s="1">
        <v>1818.36</v>
      </c>
      <c r="AM386" s="13">
        <f t="shared" ref="AM386:AM449" si="175">IF(AH386&lt;0,"INVALID",AE386*AF386*(1-AH386))</f>
        <v>6001.35</v>
      </c>
      <c r="AN386" s="9">
        <f t="shared" ref="AN386:AN449" si="176">IF(AM386="INVALID","INVALID",
AM386-AK386)</f>
        <v>1818.3600000000006</v>
      </c>
      <c r="AO386" s="9">
        <f t="shared" si="158"/>
        <v>0.30299182683896131</v>
      </c>
      <c r="AP386" s="1" t="s">
        <v>33</v>
      </c>
      <c r="AQ386" s="1" t="str">
        <f t="shared" ref="AQ386:AQ449" si="177">PROPER(TRIM(SUBSTITUTE(AP386,CHAR(160)," ")))</f>
        <v>Paid</v>
      </c>
      <c r="AR386" s="1" t="str">
        <f t="shared" ref="AR386:AR449" si="178">IF(AQ386="Failed","EXCLUDE_FROM_SALES",
IF(AQ386="Refunded","REFUNDED_PAYMENT",
"OK"))</f>
        <v>OK</v>
      </c>
      <c r="AS386" s="1" t="s">
        <v>76</v>
      </c>
      <c r="AT386" s="4" t="str">
        <f t="shared" ref="AT386:AT449" si="179">PROPER(TRIM(SUBSTITUTE(AS386,CHAR(160)," ")))</f>
        <v>Cancelled</v>
      </c>
      <c r="AU386" s="3" t="str">
        <f t="shared" ref="AU386:AU449" si="180">IF(AT386="Cancelled","EXCLUDE_FROM_SALES",
IF(AT386="Returned","RETURNED_ORDER",
"OK"))</f>
        <v>EXCLUDE_FROM_SALES</v>
      </c>
      <c r="AV386" s="3" t="str">
        <f t="shared" si="159"/>
        <v>INVALID</v>
      </c>
      <c r="AW386" t="str">
        <f t="shared" si="160"/>
        <v>MATCH</v>
      </c>
      <c r="AX386" t="str">
        <f t="shared" si="161"/>
        <v>MATCH</v>
      </c>
    </row>
    <row r="387" spans="1:50" ht="15.6" hidden="1">
      <c r="A387" s="1" t="s">
        <v>2822</v>
      </c>
      <c r="B387" s="1">
        <f t="shared" si="162"/>
        <v>1</v>
      </c>
      <c r="C387" s="16">
        <v>45376</v>
      </c>
      <c r="D387" s="16">
        <v>45376</v>
      </c>
      <c r="E387" s="16" t="str">
        <f t="shared" ref="E387:E450" si="181">TEXT(D387,"mmm")</f>
        <v>Mar</v>
      </c>
      <c r="F387" s="1">
        <f t="shared" ref="F387:F450" si="182">YEAR(D387)</f>
        <v>2024</v>
      </c>
      <c r="G387" t="s">
        <v>1688</v>
      </c>
      <c r="H387" s="17">
        <v>45838</v>
      </c>
      <c r="I387" s="21">
        <f t="shared" ref="I387:I450" si="183">H387-D387</f>
        <v>462</v>
      </c>
      <c r="J387" s="6" t="str">
        <f t="shared" ref="J387:J450" si="184">IF(I387&lt;0,"INVALID_SHIPPING","OK")</f>
        <v>OK</v>
      </c>
      <c r="K387" s="1" t="s">
        <v>2823</v>
      </c>
      <c r="L387" s="1" t="s">
        <v>158</v>
      </c>
      <c r="M387" s="1" t="str">
        <f t="shared" si="163"/>
        <v>Sneha Kapoor</v>
      </c>
      <c r="N387" s="1" t="s">
        <v>110</v>
      </c>
      <c r="O387" s="1" t="str">
        <f t="shared" si="164"/>
        <v>Home Office</v>
      </c>
      <c r="P387" s="1" t="s">
        <v>60</v>
      </c>
      <c r="Q387" s="1" t="str">
        <f t="shared" si="165"/>
        <v>South</v>
      </c>
      <c r="R387" s="1" t="str">
        <f t="shared" si="166"/>
        <v>OK</v>
      </c>
      <c r="S387" s="1" t="s">
        <v>309</v>
      </c>
      <c r="T387" s="1" t="str">
        <f t="shared" si="167"/>
        <v>Tamil Nadu</v>
      </c>
      <c r="U387" s="1" t="s">
        <v>310</v>
      </c>
      <c r="V387" s="1" t="str">
        <f t="shared" si="168"/>
        <v>Chennai</v>
      </c>
      <c r="W387" s="1" t="s">
        <v>83</v>
      </c>
      <c r="X387" s="1" t="str">
        <f t="shared" si="169"/>
        <v>Technology</v>
      </c>
      <c r="Y387" s="1" t="s">
        <v>91</v>
      </c>
      <c r="Z387" s="1" t="str">
        <f t="shared" si="170"/>
        <v>Copiers</v>
      </c>
      <c r="AA387" s="1" t="s">
        <v>2824</v>
      </c>
      <c r="AB387" s="1" t="s">
        <v>65</v>
      </c>
      <c r="AC387" s="1" t="str">
        <f t="shared" si="171"/>
        <v>Standard Class</v>
      </c>
      <c r="AD387" s="1" t="str">
        <f t="shared" si="172"/>
        <v>OK</v>
      </c>
      <c r="AE387" s="1">
        <v>2</v>
      </c>
      <c r="AF387" s="1">
        <v>2349.13</v>
      </c>
      <c r="AG387" s="9">
        <v>0</v>
      </c>
      <c r="AH387" s="9">
        <f t="shared" si="173"/>
        <v>0</v>
      </c>
      <c r="AI387" s="1" t="str">
        <f t="shared" si="174"/>
        <v>OK</v>
      </c>
      <c r="AJ387" s="1">
        <v>4698.26</v>
      </c>
      <c r="AK387" s="1">
        <v>2654.92</v>
      </c>
      <c r="AL387" s="1">
        <v>2043.34</v>
      </c>
      <c r="AM387" s="13">
        <f t="shared" si="175"/>
        <v>4698.26</v>
      </c>
      <c r="AN387" s="9">
        <f t="shared" si="176"/>
        <v>2043.3400000000001</v>
      </c>
      <c r="AO387" s="9">
        <f t="shared" ref="AO387:AO450" si="185">IF(OR(AM387="INVALID",AN387="INVALID"),"",AN387/AM387)</f>
        <v>0.43491420227914163</v>
      </c>
      <c r="AP387" s="1" t="s">
        <v>33</v>
      </c>
      <c r="AQ387" s="1" t="str">
        <f t="shared" si="177"/>
        <v>Paid</v>
      </c>
      <c r="AR387" s="1" t="str">
        <f t="shared" si="178"/>
        <v>OK</v>
      </c>
      <c r="AS387" s="1" t="s">
        <v>34</v>
      </c>
      <c r="AT387" s="4" t="str">
        <f t="shared" si="179"/>
        <v>Completed</v>
      </c>
      <c r="AU387" s="3" t="str">
        <f t="shared" si="180"/>
        <v>OK</v>
      </c>
      <c r="AV387" s="3" t="str">
        <f t="shared" ref="AV387:AV450" si="186">IF(OR(AI387&lt;&gt;"OK",J387="INVALID_SHIPPING"),
"INVALID",
IF(OR(R387&lt;&gt;"OK",AD387&lt;&gt;"OK"),
"WARNING",
"CLEAN"))</f>
        <v>CLEAN</v>
      </c>
      <c r="AW387" t="str">
        <f t="shared" ref="AW387:AW450" si="187">IF(AM387="INVALID","INVALID",
IF(ROUND(AJ387,2)=ROUND(AM387,2),"MATCH","MISMATCH"))</f>
        <v>MATCH</v>
      </c>
      <c r="AX387" t="str">
        <f t="shared" ref="AX387:AX450" si="188">IF(AN387="INVALID","INVALID",IF(ROUND(AL387,2)=ROUND(AN387,2),"MATCH","MISMATCH"))</f>
        <v>MATCH</v>
      </c>
    </row>
    <row r="388" spans="1:50" ht="15.6" hidden="1">
      <c r="A388" s="1" t="s">
        <v>2833</v>
      </c>
      <c r="B388" s="1">
        <f t="shared" si="162"/>
        <v>1</v>
      </c>
      <c r="C388" s="16">
        <v>45570</v>
      </c>
      <c r="D388" s="16">
        <v>45570</v>
      </c>
      <c r="E388" s="16" t="str">
        <f t="shared" si="181"/>
        <v>Oct</v>
      </c>
      <c r="F388" s="1">
        <f t="shared" si="182"/>
        <v>2024</v>
      </c>
      <c r="G388" t="s">
        <v>1692</v>
      </c>
      <c r="H388" s="17">
        <v>45702</v>
      </c>
      <c r="I388" s="21">
        <f t="shared" si="183"/>
        <v>132</v>
      </c>
      <c r="J388" s="6" t="str">
        <f t="shared" si="184"/>
        <v>OK</v>
      </c>
      <c r="K388" s="1" t="s">
        <v>2836</v>
      </c>
      <c r="L388" s="1" t="s">
        <v>169</v>
      </c>
      <c r="M388" s="1" t="str">
        <f t="shared" si="163"/>
        <v>Rohan Mehta</v>
      </c>
      <c r="N388" s="1" t="s">
        <v>40</v>
      </c>
      <c r="O388" s="1" t="str">
        <f t="shared" si="164"/>
        <v>Small Business</v>
      </c>
      <c r="P388" s="1" t="s">
        <v>26</v>
      </c>
      <c r="Q388" s="1" t="str">
        <f t="shared" si="165"/>
        <v>North</v>
      </c>
      <c r="R388" s="1" t="str">
        <f t="shared" si="166"/>
        <v>OK</v>
      </c>
      <c r="S388" s="1" t="s">
        <v>146</v>
      </c>
      <c r="T388" s="1" t="str">
        <f t="shared" si="167"/>
        <v>Punjab</v>
      </c>
      <c r="U388" s="1" t="s">
        <v>147</v>
      </c>
      <c r="V388" s="1" t="str">
        <f t="shared" si="168"/>
        <v>Ludhiana</v>
      </c>
      <c r="W388" s="1" t="s">
        <v>44</v>
      </c>
      <c r="X388" s="1" t="str">
        <f t="shared" si="169"/>
        <v>Furniture</v>
      </c>
      <c r="Y388" s="1" t="s">
        <v>45</v>
      </c>
      <c r="Z388" s="1" t="str">
        <f t="shared" si="170"/>
        <v>Tables</v>
      </c>
      <c r="AA388" s="1" t="s">
        <v>2837</v>
      </c>
      <c r="AB388" s="1" t="s">
        <v>65</v>
      </c>
      <c r="AC388" s="1" t="str">
        <f t="shared" si="171"/>
        <v>Standard Class</v>
      </c>
      <c r="AD388" s="1" t="str">
        <f t="shared" si="172"/>
        <v>OK</v>
      </c>
      <c r="AE388" s="1">
        <v>9</v>
      </c>
      <c r="AF388" s="1">
        <v>489.58</v>
      </c>
      <c r="AG388" s="9">
        <v>0.15</v>
      </c>
      <c r="AH388" s="9">
        <f t="shared" si="173"/>
        <v>0.15</v>
      </c>
      <c r="AI388" s="1" t="str">
        <f t="shared" si="174"/>
        <v>OK</v>
      </c>
      <c r="AJ388" s="1">
        <v>3745.29</v>
      </c>
      <c r="AK388" s="1">
        <v>2302.65</v>
      </c>
      <c r="AL388" s="1">
        <v>1442.64</v>
      </c>
      <c r="AM388" s="13">
        <f t="shared" si="175"/>
        <v>3745.2870000000003</v>
      </c>
      <c r="AN388" s="9">
        <f t="shared" si="176"/>
        <v>1442.6370000000002</v>
      </c>
      <c r="AO388" s="9">
        <f t="shared" si="185"/>
        <v>0.38518730340291679</v>
      </c>
      <c r="AP388" s="1" t="s">
        <v>186</v>
      </c>
      <c r="AQ388" s="1" t="str">
        <f t="shared" si="177"/>
        <v>Failed</v>
      </c>
      <c r="AR388" s="1" t="str">
        <f t="shared" si="178"/>
        <v>EXCLUDE_FROM_SALES</v>
      </c>
      <c r="AS388" s="1" t="s">
        <v>76</v>
      </c>
      <c r="AT388" s="4" t="str">
        <f t="shared" si="179"/>
        <v>Cancelled</v>
      </c>
      <c r="AU388" s="3" t="str">
        <f t="shared" si="180"/>
        <v>EXCLUDE_FROM_SALES</v>
      </c>
      <c r="AV388" s="3" t="str">
        <f t="shared" si="186"/>
        <v>CLEAN</v>
      </c>
      <c r="AW388" t="str">
        <f t="shared" si="187"/>
        <v>MATCH</v>
      </c>
      <c r="AX388" t="str">
        <f t="shared" si="188"/>
        <v>MATCH</v>
      </c>
    </row>
    <row r="389" spans="1:50" ht="15.6" hidden="1">
      <c r="A389" s="1" t="s">
        <v>2838</v>
      </c>
      <c r="B389" s="1">
        <f t="shared" si="162"/>
        <v>1</v>
      </c>
      <c r="C389" s="16">
        <v>45605</v>
      </c>
      <c r="D389" s="16">
        <v>45605</v>
      </c>
      <c r="E389" s="16" t="str">
        <f t="shared" si="181"/>
        <v>Nov</v>
      </c>
      <c r="F389" s="1">
        <f t="shared" si="182"/>
        <v>2024</v>
      </c>
      <c r="G389" t="s">
        <v>986</v>
      </c>
      <c r="H389" s="17">
        <v>45882</v>
      </c>
      <c r="I389" s="21">
        <f t="shared" si="183"/>
        <v>277</v>
      </c>
      <c r="J389" s="6" t="str">
        <f t="shared" si="184"/>
        <v>OK</v>
      </c>
      <c r="K389" s="1" t="s">
        <v>2840</v>
      </c>
      <c r="L389" s="1" t="s">
        <v>158</v>
      </c>
      <c r="M389" s="1" t="str">
        <f t="shared" si="163"/>
        <v>Sneha Kapoor</v>
      </c>
      <c r="N389" s="1" t="s">
        <v>104</v>
      </c>
      <c r="O389" s="1" t="str">
        <f t="shared" si="164"/>
        <v>Corporate</v>
      </c>
      <c r="P389" s="1" t="s">
        <v>60</v>
      </c>
      <c r="Q389" s="1" t="str">
        <f t="shared" si="165"/>
        <v>South</v>
      </c>
      <c r="R389" s="1" t="str">
        <f t="shared" si="166"/>
        <v>OK</v>
      </c>
      <c r="S389" s="1" t="s">
        <v>309</v>
      </c>
      <c r="T389" s="1" t="str">
        <f t="shared" si="167"/>
        <v>Tamil Nadu</v>
      </c>
      <c r="U389" s="1" t="s">
        <v>310</v>
      </c>
      <c r="V389" s="1" t="str">
        <f t="shared" si="168"/>
        <v>Chennai</v>
      </c>
      <c r="W389" s="1" t="s">
        <v>29</v>
      </c>
      <c r="X389" s="1" t="str">
        <f t="shared" si="169"/>
        <v>Office Supplies</v>
      </c>
      <c r="Y389" s="1" t="s">
        <v>53</v>
      </c>
      <c r="Z389" s="1" t="str">
        <f t="shared" si="170"/>
        <v>Art</v>
      </c>
      <c r="AA389" s="1" t="s">
        <v>2841</v>
      </c>
      <c r="AB389" s="1" t="s">
        <v>65</v>
      </c>
      <c r="AC389" s="1" t="str">
        <f t="shared" si="171"/>
        <v>Standard Class</v>
      </c>
      <c r="AD389" s="1" t="str">
        <f t="shared" si="172"/>
        <v>OK</v>
      </c>
      <c r="AE389" s="1">
        <v>4</v>
      </c>
      <c r="AF389" s="1">
        <v>865.63</v>
      </c>
      <c r="AG389" s="9">
        <v>0</v>
      </c>
      <c r="AH389" s="9">
        <f t="shared" si="173"/>
        <v>0</v>
      </c>
      <c r="AI389" s="1" t="str">
        <f t="shared" si="174"/>
        <v>OK</v>
      </c>
      <c r="AJ389" s="1">
        <v>3462.52</v>
      </c>
      <c r="AK389" s="1">
        <v>2797.29</v>
      </c>
      <c r="AL389" s="1">
        <v>665.23</v>
      </c>
      <c r="AM389" s="13">
        <f t="shared" si="175"/>
        <v>3462.52</v>
      </c>
      <c r="AN389" s="9">
        <f t="shared" si="176"/>
        <v>665.23</v>
      </c>
      <c r="AO389" s="9">
        <f t="shared" si="185"/>
        <v>0.19212307798944123</v>
      </c>
      <c r="AP389" s="1" t="s">
        <v>186</v>
      </c>
      <c r="AQ389" s="1" t="str">
        <f t="shared" si="177"/>
        <v>Failed</v>
      </c>
      <c r="AR389" s="1" t="str">
        <f t="shared" si="178"/>
        <v>EXCLUDE_FROM_SALES</v>
      </c>
      <c r="AS389" s="1" t="s">
        <v>120</v>
      </c>
      <c r="AT389" s="4" t="str">
        <f t="shared" si="179"/>
        <v>Returned</v>
      </c>
      <c r="AU389" s="3" t="str">
        <f t="shared" si="180"/>
        <v>RETURNED_ORDER</v>
      </c>
      <c r="AV389" s="3" t="str">
        <f t="shared" si="186"/>
        <v>CLEAN</v>
      </c>
      <c r="AW389" t="str">
        <f t="shared" si="187"/>
        <v>MATCH</v>
      </c>
      <c r="AX389" t="str">
        <f t="shared" si="188"/>
        <v>MATCH</v>
      </c>
    </row>
    <row r="390" spans="1:50" ht="15.6">
      <c r="A390" s="1" t="s">
        <v>2842</v>
      </c>
      <c r="B390" s="1">
        <f t="shared" si="162"/>
        <v>1</v>
      </c>
      <c r="C390" s="16">
        <v>45641</v>
      </c>
      <c r="D390" s="16">
        <v>45641</v>
      </c>
      <c r="E390" s="16" t="str">
        <f t="shared" si="181"/>
        <v>Dec</v>
      </c>
      <c r="F390" s="1">
        <f t="shared" si="182"/>
        <v>2024</v>
      </c>
      <c r="G390" t="s">
        <v>1699</v>
      </c>
      <c r="H390" s="17">
        <v>45430</v>
      </c>
      <c r="I390" s="21">
        <f t="shared" si="183"/>
        <v>-211</v>
      </c>
      <c r="J390" s="6" t="str">
        <f t="shared" si="184"/>
        <v>INVALID_SHIPPING</v>
      </c>
      <c r="K390" s="1" t="s">
        <v>2844</v>
      </c>
      <c r="L390" s="1" t="s">
        <v>169</v>
      </c>
      <c r="M390" s="1" t="str">
        <f t="shared" si="163"/>
        <v>Rohan Mehta</v>
      </c>
      <c r="N390" s="1" t="s">
        <v>25</v>
      </c>
      <c r="O390" s="1" t="str">
        <f t="shared" si="164"/>
        <v>Consumer</v>
      </c>
      <c r="P390" s="1" t="s">
        <v>41</v>
      </c>
      <c r="Q390" s="1" t="str">
        <f t="shared" si="165"/>
        <v>East</v>
      </c>
      <c r="R390" s="1" t="str">
        <f t="shared" si="166"/>
        <v>OK</v>
      </c>
      <c r="S390" s="1" t="s">
        <v>42</v>
      </c>
      <c r="T390" s="1" t="str">
        <f t="shared" si="167"/>
        <v>Odisha</v>
      </c>
      <c r="U390" s="1" t="s">
        <v>43</v>
      </c>
      <c r="V390" s="1" t="str">
        <f t="shared" si="168"/>
        <v>Bhubaneswar</v>
      </c>
      <c r="W390" s="1" t="s">
        <v>83</v>
      </c>
      <c r="X390" s="1" t="str">
        <f t="shared" si="169"/>
        <v>Technology</v>
      </c>
      <c r="Y390" s="1" t="s">
        <v>91</v>
      </c>
      <c r="Z390" s="1" t="str">
        <f t="shared" si="170"/>
        <v>Copiers</v>
      </c>
      <c r="AA390" s="1" t="s">
        <v>2845</v>
      </c>
      <c r="AB390" s="1" t="s">
        <v>32</v>
      </c>
      <c r="AC390" s="1" t="str">
        <f t="shared" si="171"/>
        <v>Second Class</v>
      </c>
      <c r="AD390" s="1" t="str">
        <f t="shared" si="172"/>
        <v>OK</v>
      </c>
      <c r="AE390" s="1">
        <v>6</v>
      </c>
      <c r="AF390" s="1">
        <v>1538.1</v>
      </c>
      <c r="AG390" s="9">
        <v>0.05</v>
      </c>
      <c r="AH390" s="9">
        <f t="shared" si="173"/>
        <v>0.05</v>
      </c>
      <c r="AI390" s="1" t="str">
        <f t="shared" si="174"/>
        <v>OK</v>
      </c>
      <c r="AJ390" s="1">
        <v>8767.17</v>
      </c>
      <c r="AK390" s="1">
        <v>5098.2</v>
      </c>
      <c r="AL390" s="1">
        <v>3668.97</v>
      </c>
      <c r="AM390" s="13">
        <f t="shared" si="175"/>
        <v>8767.1699999999983</v>
      </c>
      <c r="AN390" s="9">
        <f t="shared" si="176"/>
        <v>3668.9699999999984</v>
      </c>
      <c r="AO390" s="9">
        <f t="shared" si="185"/>
        <v>0.41848966085977563</v>
      </c>
      <c r="AP390" s="1" t="s">
        <v>33</v>
      </c>
      <c r="AQ390" s="1" t="str">
        <f t="shared" si="177"/>
        <v>Paid</v>
      </c>
      <c r="AR390" s="1" t="str">
        <f t="shared" si="178"/>
        <v>OK</v>
      </c>
      <c r="AS390" s="1" t="s">
        <v>34</v>
      </c>
      <c r="AT390" s="4" t="str">
        <f t="shared" si="179"/>
        <v>Completed</v>
      </c>
      <c r="AU390" s="3" t="str">
        <f t="shared" si="180"/>
        <v>OK</v>
      </c>
      <c r="AV390" s="3" t="str">
        <f t="shared" si="186"/>
        <v>INVALID</v>
      </c>
      <c r="AW390" t="str">
        <f t="shared" si="187"/>
        <v>MATCH</v>
      </c>
      <c r="AX390" t="str">
        <f t="shared" si="188"/>
        <v>MATCH</v>
      </c>
    </row>
    <row r="391" spans="1:50" ht="15.6" hidden="1">
      <c r="A391" s="1" t="s">
        <v>2856</v>
      </c>
      <c r="B391" s="1">
        <f t="shared" si="162"/>
        <v>1</v>
      </c>
      <c r="C391" s="16">
        <v>45298</v>
      </c>
      <c r="D391" s="16">
        <v>45298</v>
      </c>
      <c r="E391" s="16" t="str">
        <f t="shared" si="181"/>
        <v>Jan</v>
      </c>
      <c r="F391" s="1">
        <f t="shared" si="182"/>
        <v>2024</v>
      </c>
      <c r="G391" t="s">
        <v>319</v>
      </c>
      <c r="H391" s="17">
        <v>45395</v>
      </c>
      <c r="I391" s="21">
        <f t="shared" si="183"/>
        <v>97</v>
      </c>
      <c r="J391" s="6" t="str">
        <f t="shared" si="184"/>
        <v>OK</v>
      </c>
      <c r="K391" s="1" t="s">
        <v>2857</v>
      </c>
      <c r="L391" s="1" t="s">
        <v>153</v>
      </c>
      <c r="M391" s="1" t="str">
        <f t="shared" si="163"/>
        <v>Aarav Sharma</v>
      </c>
      <c r="N391" s="1" t="s">
        <v>25</v>
      </c>
      <c r="O391" s="1" t="str">
        <f t="shared" si="164"/>
        <v>Consumer</v>
      </c>
      <c r="P391" s="1" t="s">
        <v>71</v>
      </c>
      <c r="Q391" s="1" t="str">
        <f t="shared" si="165"/>
        <v>West</v>
      </c>
      <c r="R391" s="1" t="str">
        <f t="shared" si="166"/>
        <v>OK</v>
      </c>
      <c r="S391" s="1" t="s">
        <v>81</v>
      </c>
      <c r="T391" s="1" t="str">
        <f t="shared" si="167"/>
        <v>Madhya Pradesh</v>
      </c>
      <c r="U391" s="1" t="s">
        <v>82</v>
      </c>
      <c r="V391" s="1" t="str">
        <f t="shared" si="168"/>
        <v>Indore</v>
      </c>
      <c r="W391" s="1" t="s">
        <v>83</v>
      </c>
      <c r="X391" s="1" t="str">
        <f t="shared" si="169"/>
        <v>Technology</v>
      </c>
      <c r="Y391" s="1" t="s">
        <v>347</v>
      </c>
      <c r="Z391" s="1" t="str">
        <f t="shared" si="170"/>
        <v>Machines</v>
      </c>
      <c r="AA391" s="1" t="s">
        <v>2858</v>
      </c>
      <c r="AB391" s="1" t="s">
        <v>65</v>
      </c>
      <c r="AC391" s="1" t="str">
        <f t="shared" si="171"/>
        <v>Standard Class</v>
      </c>
      <c r="AD391" s="1" t="str">
        <f t="shared" si="172"/>
        <v>OK</v>
      </c>
      <c r="AE391" s="1">
        <v>4</v>
      </c>
      <c r="AF391" s="1">
        <v>257.39</v>
      </c>
      <c r="AG391" s="9">
        <v>0</v>
      </c>
      <c r="AH391" s="9">
        <f t="shared" si="173"/>
        <v>0</v>
      </c>
      <c r="AI391" s="1" t="str">
        <f t="shared" si="174"/>
        <v>OK</v>
      </c>
      <c r="AJ391" s="1">
        <v>1029.56</v>
      </c>
      <c r="AK391" s="1">
        <v>626.33000000000004</v>
      </c>
      <c r="AL391" s="1">
        <v>403.23</v>
      </c>
      <c r="AM391" s="13">
        <f t="shared" si="175"/>
        <v>1029.56</v>
      </c>
      <c r="AN391" s="9">
        <f t="shared" si="176"/>
        <v>403.2299999999999</v>
      </c>
      <c r="AO391" s="9">
        <f t="shared" si="185"/>
        <v>0.39165274486188267</v>
      </c>
      <c r="AP391" s="1" t="s">
        <v>33</v>
      </c>
      <c r="AQ391" s="1" t="str">
        <f t="shared" si="177"/>
        <v>Paid</v>
      </c>
      <c r="AR391" s="1" t="str">
        <f t="shared" si="178"/>
        <v>OK</v>
      </c>
      <c r="AS391" s="1" t="s">
        <v>34</v>
      </c>
      <c r="AT391" s="4" t="str">
        <f t="shared" si="179"/>
        <v>Completed</v>
      </c>
      <c r="AU391" s="3" t="str">
        <f t="shared" si="180"/>
        <v>OK</v>
      </c>
      <c r="AV391" s="3" t="str">
        <f t="shared" si="186"/>
        <v>CLEAN</v>
      </c>
      <c r="AW391" t="str">
        <f t="shared" si="187"/>
        <v>MATCH</v>
      </c>
      <c r="AX391" t="str">
        <f t="shared" si="188"/>
        <v>MATCH</v>
      </c>
    </row>
    <row r="392" spans="1:50" ht="15.6" hidden="1">
      <c r="A392" s="1" t="s">
        <v>2866</v>
      </c>
      <c r="B392" s="1">
        <f t="shared" si="162"/>
        <v>1</v>
      </c>
      <c r="C392" s="16">
        <v>45549</v>
      </c>
      <c r="D392" s="16">
        <v>45549</v>
      </c>
      <c r="E392" s="16" t="str">
        <f t="shared" si="181"/>
        <v>Sep</v>
      </c>
      <c r="F392" s="1">
        <f t="shared" si="182"/>
        <v>2024</v>
      </c>
      <c r="G392" t="s">
        <v>435</v>
      </c>
      <c r="H392" s="17">
        <v>45607</v>
      </c>
      <c r="I392" s="21">
        <f t="shared" si="183"/>
        <v>58</v>
      </c>
      <c r="J392" s="6" t="str">
        <f t="shared" si="184"/>
        <v>OK</v>
      </c>
      <c r="K392" s="1" t="s">
        <v>2867</v>
      </c>
      <c r="L392" s="1" t="s">
        <v>39</v>
      </c>
      <c r="M392" s="1" t="str">
        <f t="shared" si="163"/>
        <v>Mira Das</v>
      </c>
      <c r="N392" s="1" t="s">
        <v>104</v>
      </c>
      <c r="O392" s="1" t="str">
        <f t="shared" si="164"/>
        <v>Corporate</v>
      </c>
      <c r="P392" s="1" t="s">
        <v>26</v>
      </c>
      <c r="Q392" s="1" t="str">
        <f t="shared" si="165"/>
        <v>North</v>
      </c>
      <c r="R392" s="1" t="str">
        <f t="shared" si="166"/>
        <v>OK</v>
      </c>
      <c r="S392" s="1" t="s">
        <v>27</v>
      </c>
      <c r="T392" s="1" t="str">
        <f t="shared" si="167"/>
        <v>Rajasthan</v>
      </c>
      <c r="U392" s="1" t="s">
        <v>28</v>
      </c>
      <c r="V392" s="1" t="str">
        <f t="shared" si="168"/>
        <v>Jaipur</v>
      </c>
      <c r="W392" s="1" t="s">
        <v>83</v>
      </c>
      <c r="X392" s="1" t="str">
        <f t="shared" si="169"/>
        <v>Technology</v>
      </c>
      <c r="Y392" s="1" t="s">
        <v>347</v>
      </c>
      <c r="Z392" s="1" t="str">
        <f t="shared" si="170"/>
        <v>Machines</v>
      </c>
      <c r="AA392" s="1" t="s">
        <v>2868</v>
      </c>
      <c r="AB392" s="1" t="s">
        <v>65</v>
      </c>
      <c r="AC392" s="1" t="str">
        <f t="shared" si="171"/>
        <v>Standard Class</v>
      </c>
      <c r="AD392" s="1" t="str">
        <f t="shared" si="172"/>
        <v>OK</v>
      </c>
      <c r="AE392" s="1">
        <v>8</v>
      </c>
      <c r="AF392" s="1">
        <v>4081.66</v>
      </c>
      <c r="AG392" s="9">
        <v>0.15</v>
      </c>
      <c r="AH392" s="9">
        <f t="shared" si="173"/>
        <v>0.15</v>
      </c>
      <c r="AI392" s="1" t="str">
        <f t="shared" si="174"/>
        <v>OK</v>
      </c>
      <c r="AJ392" s="1">
        <v>28208.1</v>
      </c>
      <c r="AK392" s="1">
        <v>23751.91</v>
      </c>
      <c r="AL392" s="1">
        <v>4003.38</v>
      </c>
      <c r="AM392" s="13">
        <f t="shared" si="175"/>
        <v>27755.287999999997</v>
      </c>
      <c r="AN392" s="9">
        <f t="shared" si="176"/>
        <v>4003.377999999997</v>
      </c>
      <c r="AO392" s="9">
        <f t="shared" si="185"/>
        <v>0.14423838801456493</v>
      </c>
      <c r="AP392" s="1" t="s">
        <v>33</v>
      </c>
      <c r="AQ392" s="1" t="str">
        <f t="shared" si="177"/>
        <v>Paid</v>
      </c>
      <c r="AR392" s="1" t="str">
        <f t="shared" si="178"/>
        <v>OK</v>
      </c>
      <c r="AS392" s="1" t="s">
        <v>120</v>
      </c>
      <c r="AT392" s="4" t="str">
        <f t="shared" si="179"/>
        <v>Returned</v>
      </c>
      <c r="AU392" s="3" t="str">
        <f t="shared" si="180"/>
        <v>RETURNED_ORDER</v>
      </c>
      <c r="AV392" s="3" t="str">
        <f t="shared" si="186"/>
        <v>CLEAN</v>
      </c>
      <c r="AW392" t="str">
        <f t="shared" si="187"/>
        <v>MISMATCH</v>
      </c>
      <c r="AX392" t="str">
        <f t="shared" si="188"/>
        <v>MATCH</v>
      </c>
    </row>
    <row r="393" spans="1:50" ht="15.6" hidden="1">
      <c r="A393" s="1" t="s">
        <v>2869</v>
      </c>
      <c r="B393" s="1">
        <f t="shared" si="162"/>
        <v>1</v>
      </c>
      <c r="C393" s="16">
        <v>45602</v>
      </c>
      <c r="D393" s="16">
        <v>45602</v>
      </c>
      <c r="E393" s="16" t="str">
        <f t="shared" si="181"/>
        <v>Nov</v>
      </c>
      <c r="F393" s="1">
        <f t="shared" si="182"/>
        <v>2024</v>
      </c>
      <c r="G393" t="s">
        <v>1709</v>
      </c>
      <c r="H393" s="17">
        <v>45702</v>
      </c>
      <c r="I393" s="21">
        <f t="shared" si="183"/>
        <v>100</v>
      </c>
      <c r="J393" s="6" t="str">
        <f t="shared" si="184"/>
        <v>OK</v>
      </c>
      <c r="K393" s="1" t="s">
        <v>2871</v>
      </c>
      <c r="L393" s="1" t="s">
        <v>59</v>
      </c>
      <c r="M393" s="1" t="str">
        <f t="shared" si="163"/>
        <v>Arjun Bose</v>
      </c>
      <c r="N393" s="1" t="s">
        <v>40</v>
      </c>
      <c r="O393" s="1" t="str">
        <f t="shared" si="164"/>
        <v>Small Business</v>
      </c>
      <c r="P393" s="1" t="s">
        <v>60</v>
      </c>
      <c r="Q393" s="1" t="str">
        <f t="shared" si="165"/>
        <v>South</v>
      </c>
      <c r="R393" s="1" t="str">
        <f t="shared" si="166"/>
        <v>OK</v>
      </c>
      <c r="S393" s="1" t="s">
        <v>212</v>
      </c>
      <c r="T393" s="1" t="str">
        <f t="shared" si="167"/>
        <v>Karnataka</v>
      </c>
      <c r="U393" s="1" t="s">
        <v>213</v>
      </c>
      <c r="V393" s="1" t="str">
        <f t="shared" si="168"/>
        <v>Bengaluru</v>
      </c>
      <c r="W393" s="1" t="s">
        <v>44</v>
      </c>
      <c r="X393" s="1" t="str">
        <f t="shared" si="169"/>
        <v>Furniture</v>
      </c>
      <c r="Y393" s="1" t="s">
        <v>190</v>
      </c>
      <c r="Z393" s="1" t="str">
        <f t="shared" si="170"/>
        <v>Bookcases</v>
      </c>
      <c r="AA393" s="1" t="s">
        <v>2872</v>
      </c>
      <c r="AB393" s="1" t="s">
        <v>65</v>
      </c>
      <c r="AC393" s="1" t="str">
        <f t="shared" si="171"/>
        <v>Standard Class</v>
      </c>
      <c r="AD393" s="1" t="str">
        <f t="shared" si="172"/>
        <v>OK</v>
      </c>
      <c r="AE393" s="1">
        <v>9</v>
      </c>
      <c r="AF393" s="1">
        <v>1400.11</v>
      </c>
      <c r="AG393" s="9">
        <v>0.25</v>
      </c>
      <c r="AH393" s="9">
        <f t="shared" si="173"/>
        <v>0.25</v>
      </c>
      <c r="AI393" s="1" t="str">
        <f t="shared" si="174"/>
        <v>OK</v>
      </c>
      <c r="AJ393" s="1">
        <v>9450.74</v>
      </c>
      <c r="AK393" s="1">
        <v>7798.56</v>
      </c>
      <c r="AL393" s="1">
        <v>1652.18</v>
      </c>
      <c r="AM393" s="13">
        <f t="shared" si="175"/>
        <v>9450.7425000000003</v>
      </c>
      <c r="AN393" s="9">
        <f t="shared" si="176"/>
        <v>1652.1824999999999</v>
      </c>
      <c r="AO393" s="9">
        <f t="shared" si="185"/>
        <v>0.17482039109625511</v>
      </c>
      <c r="AP393" s="1" t="s">
        <v>33</v>
      </c>
      <c r="AQ393" s="1" t="str">
        <f t="shared" si="177"/>
        <v>Paid</v>
      </c>
      <c r="AR393" s="1" t="str">
        <f t="shared" si="178"/>
        <v>OK</v>
      </c>
      <c r="AS393" s="1" t="s">
        <v>34</v>
      </c>
      <c r="AT393" s="4" t="str">
        <f t="shared" si="179"/>
        <v>Completed</v>
      </c>
      <c r="AU393" s="3" t="str">
        <f t="shared" si="180"/>
        <v>OK</v>
      </c>
      <c r="AV393" s="3" t="str">
        <f t="shared" si="186"/>
        <v>CLEAN</v>
      </c>
      <c r="AW393" t="str">
        <f t="shared" si="187"/>
        <v>MATCH</v>
      </c>
      <c r="AX393" t="str">
        <f t="shared" si="188"/>
        <v>MATCH</v>
      </c>
    </row>
    <row r="394" spans="1:50" ht="15.6">
      <c r="A394" s="1" t="s">
        <v>2873</v>
      </c>
      <c r="B394" s="1">
        <f t="shared" si="162"/>
        <v>1</v>
      </c>
      <c r="C394" s="16">
        <v>45553</v>
      </c>
      <c r="D394" s="16">
        <v>45553</v>
      </c>
      <c r="E394" s="16" t="str">
        <f t="shared" si="181"/>
        <v>Sep</v>
      </c>
      <c r="F394" s="1">
        <f t="shared" si="182"/>
        <v>2024</v>
      </c>
      <c r="G394" t="s">
        <v>1713</v>
      </c>
      <c r="H394" s="17">
        <v>45344</v>
      </c>
      <c r="I394" s="21">
        <f t="shared" si="183"/>
        <v>-209</v>
      </c>
      <c r="J394" s="6" t="str">
        <f t="shared" si="184"/>
        <v>INVALID_SHIPPING</v>
      </c>
      <c r="K394" s="1" t="s">
        <v>2874</v>
      </c>
      <c r="L394" s="1" t="s">
        <v>90</v>
      </c>
      <c r="M394" s="1" t="str">
        <f t="shared" si="163"/>
        <v>Neha Gupta</v>
      </c>
      <c r="N394" s="1" t="s">
        <v>104</v>
      </c>
      <c r="O394" s="1" t="str">
        <f t="shared" si="164"/>
        <v>Corporate</v>
      </c>
      <c r="P394" s="1" t="s">
        <v>41</v>
      </c>
      <c r="Q394" s="1" t="str">
        <f t="shared" si="165"/>
        <v>East</v>
      </c>
      <c r="R394" s="1" t="str">
        <f t="shared" si="166"/>
        <v>OK</v>
      </c>
      <c r="S394" s="1" t="s">
        <v>116</v>
      </c>
      <c r="T394" s="1" t="str">
        <f t="shared" si="167"/>
        <v>West Bengal</v>
      </c>
      <c r="U394" s="1" t="s">
        <v>117</v>
      </c>
      <c r="V394" s="1" t="str">
        <f t="shared" si="168"/>
        <v>Kolkata</v>
      </c>
      <c r="W394" s="1" t="s">
        <v>83</v>
      </c>
      <c r="X394" s="1" t="str">
        <f t="shared" si="169"/>
        <v>Technology</v>
      </c>
      <c r="Y394" s="1" t="s">
        <v>347</v>
      </c>
      <c r="Z394" s="1" t="str">
        <f t="shared" si="170"/>
        <v>Machines</v>
      </c>
      <c r="AA394" s="1" t="s">
        <v>2875</v>
      </c>
      <c r="AB394" s="1" t="s">
        <v>65</v>
      </c>
      <c r="AC394" s="1" t="str">
        <f t="shared" si="171"/>
        <v>Standard Class</v>
      </c>
      <c r="AD394" s="1" t="str">
        <f t="shared" si="172"/>
        <v>OK</v>
      </c>
      <c r="AE394" s="1">
        <v>3</v>
      </c>
      <c r="AF394" s="1">
        <v>3055.9</v>
      </c>
      <c r="AG394" s="9">
        <v>0.15</v>
      </c>
      <c r="AH394" s="9">
        <f t="shared" si="173"/>
        <v>0.15</v>
      </c>
      <c r="AI394" s="1" t="str">
        <f t="shared" si="174"/>
        <v>OK</v>
      </c>
      <c r="AJ394" s="1">
        <v>7792.55</v>
      </c>
      <c r="AK394" s="1">
        <v>4691.7299999999996</v>
      </c>
      <c r="AL394" s="1">
        <v>3100.82</v>
      </c>
      <c r="AM394" s="13">
        <f t="shared" si="175"/>
        <v>7792.5450000000001</v>
      </c>
      <c r="AN394" s="9">
        <f t="shared" si="176"/>
        <v>3100.8150000000005</v>
      </c>
      <c r="AO394" s="9">
        <f t="shared" si="185"/>
        <v>0.39792070498149201</v>
      </c>
      <c r="AP394" s="1" t="s">
        <v>33</v>
      </c>
      <c r="AQ394" s="1" t="str">
        <f t="shared" si="177"/>
        <v>Paid</v>
      </c>
      <c r="AR394" s="1" t="str">
        <f t="shared" si="178"/>
        <v>OK</v>
      </c>
      <c r="AS394" s="1" t="s">
        <v>34</v>
      </c>
      <c r="AT394" s="4" t="str">
        <f t="shared" si="179"/>
        <v>Completed</v>
      </c>
      <c r="AU394" s="3" t="str">
        <f t="shared" si="180"/>
        <v>OK</v>
      </c>
      <c r="AV394" s="3" t="str">
        <f t="shared" si="186"/>
        <v>INVALID</v>
      </c>
      <c r="AW394" t="str">
        <f t="shared" si="187"/>
        <v>MATCH</v>
      </c>
      <c r="AX394" t="str">
        <f t="shared" si="188"/>
        <v>MATCH</v>
      </c>
    </row>
    <row r="395" spans="1:50" ht="15.6" hidden="1">
      <c r="A395" s="1" t="s">
        <v>2876</v>
      </c>
      <c r="B395" s="1">
        <f t="shared" si="162"/>
        <v>1</v>
      </c>
      <c r="C395" s="16">
        <v>45412</v>
      </c>
      <c r="D395" s="16">
        <v>45412</v>
      </c>
      <c r="E395" s="16" t="str">
        <f t="shared" si="181"/>
        <v>Apr</v>
      </c>
      <c r="F395" s="1">
        <f t="shared" si="182"/>
        <v>2024</v>
      </c>
      <c r="G395" t="s">
        <v>1717</v>
      </c>
      <c r="H395" s="17">
        <v>45533</v>
      </c>
      <c r="I395" s="21">
        <f t="shared" si="183"/>
        <v>121</v>
      </c>
      <c r="J395" s="6" t="str">
        <f t="shared" si="184"/>
        <v>OK</v>
      </c>
      <c r="K395" s="1" t="s">
        <v>2877</v>
      </c>
      <c r="L395" s="1" t="s">
        <v>169</v>
      </c>
      <c r="M395" s="1" t="str">
        <f t="shared" si="163"/>
        <v>Rohan Mehta</v>
      </c>
      <c r="N395" s="1" t="s">
        <v>40</v>
      </c>
      <c r="O395" s="1" t="str">
        <f t="shared" si="164"/>
        <v>Small Business</v>
      </c>
      <c r="P395" s="1" t="s">
        <v>71</v>
      </c>
      <c r="Q395" s="1" t="str">
        <f t="shared" si="165"/>
        <v>West</v>
      </c>
      <c r="R395" s="1" t="str">
        <f t="shared" si="166"/>
        <v>OK</v>
      </c>
      <c r="S395" s="1" t="s">
        <v>218</v>
      </c>
      <c r="T395" s="1" t="str">
        <f t="shared" si="167"/>
        <v>Gujarat</v>
      </c>
      <c r="U395" s="1" t="s">
        <v>219</v>
      </c>
      <c r="V395" s="1" t="str">
        <f t="shared" si="168"/>
        <v>Ahmedabad</v>
      </c>
      <c r="W395" s="1" t="s">
        <v>29</v>
      </c>
      <c r="X395" s="1" t="str">
        <f t="shared" si="169"/>
        <v>Office Supplies</v>
      </c>
      <c r="Y395" s="1" t="s">
        <v>53</v>
      </c>
      <c r="Z395" s="1" t="str">
        <f t="shared" si="170"/>
        <v>Art</v>
      </c>
      <c r="AA395" s="1" t="s">
        <v>2878</v>
      </c>
      <c r="AB395" s="1" t="s">
        <v>47</v>
      </c>
      <c r="AC395" s="1" t="str">
        <f t="shared" si="171"/>
        <v>Same Day</v>
      </c>
      <c r="AD395" s="1" t="str">
        <f t="shared" si="172"/>
        <v>OK</v>
      </c>
      <c r="AE395" s="1">
        <v>7</v>
      </c>
      <c r="AF395" s="1">
        <v>1224.94</v>
      </c>
      <c r="AG395" s="9">
        <v>0</v>
      </c>
      <c r="AH395" s="9">
        <f t="shared" si="173"/>
        <v>0</v>
      </c>
      <c r="AI395" s="1" t="str">
        <f t="shared" si="174"/>
        <v>OK</v>
      </c>
      <c r="AJ395" s="1">
        <v>8574.58</v>
      </c>
      <c r="AK395" s="1">
        <v>6685.81</v>
      </c>
      <c r="AL395" s="1">
        <v>1888.77</v>
      </c>
      <c r="AM395" s="13">
        <f t="shared" si="175"/>
        <v>8574.58</v>
      </c>
      <c r="AN395" s="9">
        <f t="shared" si="176"/>
        <v>1888.7699999999995</v>
      </c>
      <c r="AO395" s="9">
        <f t="shared" si="185"/>
        <v>0.22027551203674112</v>
      </c>
      <c r="AP395" s="1" t="s">
        <v>33</v>
      </c>
      <c r="AQ395" s="1" t="str">
        <f t="shared" si="177"/>
        <v>Paid</v>
      </c>
      <c r="AR395" s="1" t="str">
        <f t="shared" si="178"/>
        <v>OK</v>
      </c>
      <c r="AS395" s="1" t="s">
        <v>120</v>
      </c>
      <c r="AT395" s="4" t="str">
        <f t="shared" si="179"/>
        <v>Returned</v>
      </c>
      <c r="AU395" s="3" t="str">
        <f t="shared" si="180"/>
        <v>RETURNED_ORDER</v>
      </c>
      <c r="AV395" s="3" t="str">
        <f t="shared" si="186"/>
        <v>CLEAN</v>
      </c>
      <c r="AW395" t="str">
        <f t="shared" si="187"/>
        <v>MATCH</v>
      </c>
      <c r="AX395" t="str">
        <f t="shared" si="188"/>
        <v>MATCH</v>
      </c>
    </row>
    <row r="396" spans="1:50" ht="15.6">
      <c r="A396" s="1" t="s">
        <v>2883</v>
      </c>
      <c r="B396" s="1">
        <f t="shared" si="162"/>
        <v>1</v>
      </c>
      <c r="C396" s="16">
        <v>45584</v>
      </c>
      <c r="D396" s="16">
        <v>45584</v>
      </c>
      <c r="E396" s="16" t="str">
        <f t="shared" si="181"/>
        <v>Oct</v>
      </c>
      <c r="F396" s="1">
        <f t="shared" si="182"/>
        <v>2024</v>
      </c>
      <c r="G396" t="s">
        <v>1721</v>
      </c>
      <c r="H396" s="17">
        <v>45386</v>
      </c>
      <c r="I396" s="21">
        <f t="shared" si="183"/>
        <v>-198</v>
      </c>
      <c r="J396" s="6" t="str">
        <f t="shared" si="184"/>
        <v>INVALID_SHIPPING</v>
      </c>
      <c r="K396" s="1" t="s">
        <v>2884</v>
      </c>
      <c r="L396" s="1" t="s">
        <v>103</v>
      </c>
      <c r="M396" s="1" t="str">
        <f t="shared" si="163"/>
        <v>Aditi Sen</v>
      </c>
      <c r="N396" s="1" t="s">
        <v>104</v>
      </c>
      <c r="O396" s="1" t="str">
        <f t="shared" si="164"/>
        <v>Corporate</v>
      </c>
      <c r="P396" s="1" t="s">
        <v>26</v>
      </c>
      <c r="Q396" s="1" t="str">
        <f t="shared" si="165"/>
        <v>North</v>
      </c>
      <c r="R396" s="1" t="str">
        <f t="shared" si="166"/>
        <v>OK</v>
      </c>
      <c r="S396" s="1" t="s">
        <v>27</v>
      </c>
      <c r="T396" s="1" t="str">
        <f t="shared" si="167"/>
        <v>Rajasthan</v>
      </c>
      <c r="U396" s="1" t="s">
        <v>28</v>
      </c>
      <c r="V396" s="1" t="str">
        <f t="shared" si="168"/>
        <v>Jaipur</v>
      </c>
      <c r="W396" s="1" t="s">
        <v>44</v>
      </c>
      <c r="X396" s="1" t="str">
        <f t="shared" si="169"/>
        <v>Furniture</v>
      </c>
      <c r="Y396" s="1" t="s">
        <v>45</v>
      </c>
      <c r="Z396" s="1" t="str">
        <f t="shared" si="170"/>
        <v>Tables</v>
      </c>
      <c r="AA396" s="1" t="s">
        <v>2885</v>
      </c>
      <c r="AB396" s="1" t="s">
        <v>55</v>
      </c>
      <c r="AC396" s="1" t="str">
        <f t="shared" si="171"/>
        <v>First Class</v>
      </c>
      <c r="AD396" s="1" t="str">
        <f t="shared" si="172"/>
        <v>OK</v>
      </c>
      <c r="AE396" s="1">
        <v>1</v>
      </c>
      <c r="AF396" s="1">
        <v>1150.03</v>
      </c>
      <c r="AG396" s="9">
        <v>0.1</v>
      </c>
      <c r="AH396" s="9">
        <f t="shared" si="173"/>
        <v>0.1</v>
      </c>
      <c r="AI396" s="1" t="str">
        <f t="shared" si="174"/>
        <v>OK</v>
      </c>
      <c r="AJ396" s="1">
        <v>1035.03</v>
      </c>
      <c r="AK396" s="1">
        <v>854.35</v>
      </c>
      <c r="AL396" s="1">
        <v>180.68</v>
      </c>
      <c r="AM396" s="13">
        <f t="shared" si="175"/>
        <v>1035.027</v>
      </c>
      <c r="AN396" s="9">
        <f t="shared" si="176"/>
        <v>180.67700000000002</v>
      </c>
      <c r="AO396" s="9">
        <f t="shared" si="185"/>
        <v>0.1745625959516032</v>
      </c>
      <c r="AP396" s="1" t="s">
        <v>33</v>
      </c>
      <c r="AQ396" s="1" t="str">
        <f t="shared" si="177"/>
        <v>Paid</v>
      </c>
      <c r="AR396" s="1" t="str">
        <f t="shared" si="178"/>
        <v>OK</v>
      </c>
      <c r="AS396" s="1" t="s">
        <v>34</v>
      </c>
      <c r="AT396" s="4" t="str">
        <f t="shared" si="179"/>
        <v>Completed</v>
      </c>
      <c r="AU396" s="3" t="str">
        <f t="shared" si="180"/>
        <v>OK</v>
      </c>
      <c r="AV396" s="3" t="str">
        <f t="shared" si="186"/>
        <v>INVALID</v>
      </c>
      <c r="AW396" t="str">
        <f t="shared" si="187"/>
        <v>MATCH</v>
      </c>
      <c r="AX396" t="str">
        <f t="shared" si="188"/>
        <v>MATCH</v>
      </c>
    </row>
    <row r="397" spans="1:50" ht="15.6" hidden="1">
      <c r="A397" s="1" t="s">
        <v>2886</v>
      </c>
      <c r="B397" s="1">
        <f t="shared" si="162"/>
        <v>2</v>
      </c>
      <c r="C397" s="16">
        <v>45364</v>
      </c>
      <c r="D397" s="16">
        <v>45364</v>
      </c>
      <c r="E397" s="16" t="str">
        <f t="shared" si="181"/>
        <v>Mar</v>
      </c>
      <c r="F397" s="1">
        <f t="shared" si="182"/>
        <v>2024</v>
      </c>
      <c r="G397" t="s">
        <v>1543</v>
      </c>
      <c r="H397" s="17">
        <v>45450</v>
      </c>
      <c r="I397" s="21">
        <f t="shared" si="183"/>
        <v>86</v>
      </c>
      <c r="J397" s="6" t="str">
        <f t="shared" si="184"/>
        <v>OK</v>
      </c>
      <c r="K397" s="1" t="s">
        <v>2888</v>
      </c>
      <c r="L397" s="1" t="s">
        <v>136</v>
      </c>
      <c r="M397" s="1" t="str">
        <f t="shared" si="163"/>
        <v>Priya Menon</v>
      </c>
      <c r="N397" s="1" t="s">
        <v>110</v>
      </c>
      <c r="O397" s="1" t="str">
        <f t="shared" si="164"/>
        <v>Home Office</v>
      </c>
      <c r="P397" s="1" t="s">
        <v>60</v>
      </c>
      <c r="Q397" s="1" t="str">
        <f t="shared" si="165"/>
        <v>South</v>
      </c>
      <c r="R397" s="1" t="str">
        <f t="shared" si="166"/>
        <v>OK</v>
      </c>
      <c r="S397" s="1" t="s">
        <v>309</v>
      </c>
      <c r="T397" s="1" t="str">
        <f t="shared" si="167"/>
        <v>Tamil Nadu</v>
      </c>
      <c r="U397" s="1" t="s">
        <v>310</v>
      </c>
      <c r="V397" s="1" t="str">
        <f t="shared" si="168"/>
        <v>Chennai</v>
      </c>
      <c r="W397" s="1" t="s">
        <v>44</v>
      </c>
      <c r="X397" s="1" t="str">
        <f t="shared" si="169"/>
        <v>Furniture</v>
      </c>
      <c r="Y397" s="1" t="s">
        <v>190</v>
      </c>
      <c r="Z397" s="1" t="str">
        <f t="shared" si="170"/>
        <v>Bookcases</v>
      </c>
      <c r="AA397" s="1" t="s">
        <v>2889</v>
      </c>
      <c r="AB397" s="1"/>
      <c r="AC397" s="1" t="str">
        <f t="shared" si="171"/>
        <v>Unknown</v>
      </c>
      <c r="AD397" s="1" t="str">
        <f t="shared" si="172"/>
        <v>MISSING_SHIP_MODE</v>
      </c>
      <c r="AE397" s="1">
        <v>1</v>
      </c>
      <c r="AF397" s="1">
        <v>2825.63</v>
      </c>
      <c r="AG397" s="9">
        <v>0.15</v>
      </c>
      <c r="AH397" s="9">
        <f t="shared" si="173"/>
        <v>0.15</v>
      </c>
      <c r="AI397" s="1" t="str">
        <f t="shared" si="174"/>
        <v>OK</v>
      </c>
      <c r="AJ397" s="1">
        <v>2401.79</v>
      </c>
      <c r="AK397" s="1">
        <v>1820.34</v>
      </c>
      <c r="AL397" s="1">
        <v>581.45000000000005</v>
      </c>
      <c r="AM397" s="13">
        <f t="shared" si="175"/>
        <v>2401.7855</v>
      </c>
      <c r="AN397" s="9">
        <f t="shared" si="176"/>
        <v>581.44550000000004</v>
      </c>
      <c r="AO397" s="9">
        <f t="shared" si="185"/>
        <v>0.24208885431276025</v>
      </c>
      <c r="AP397" s="1" t="s">
        <v>33</v>
      </c>
      <c r="AQ397" s="1" t="str">
        <f t="shared" si="177"/>
        <v>Paid</v>
      </c>
      <c r="AR397" s="1" t="str">
        <f t="shared" si="178"/>
        <v>OK</v>
      </c>
      <c r="AS397" s="1" t="s">
        <v>34</v>
      </c>
      <c r="AT397" s="4" t="str">
        <f t="shared" si="179"/>
        <v>Completed</v>
      </c>
      <c r="AU397" s="3" t="str">
        <f t="shared" si="180"/>
        <v>OK</v>
      </c>
      <c r="AV397" s="3" t="str">
        <f t="shared" si="186"/>
        <v>WARNING</v>
      </c>
      <c r="AW397" t="str">
        <f t="shared" si="187"/>
        <v>MATCH</v>
      </c>
      <c r="AX397" t="str">
        <f t="shared" si="188"/>
        <v>MATCH</v>
      </c>
    </row>
    <row r="398" spans="1:50" ht="15.6" hidden="1">
      <c r="A398" s="1" t="s">
        <v>2886</v>
      </c>
      <c r="B398" s="1">
        <f t="shared" si="162"/>
        <v>2</v>
      </c>
      <c r="C398" s="16">
        <v>45364</v>
      </c>
      <c r="D398" s="16">
        <v>45364</v>
      </c>
      <c r="E398" s="16" t="str">
        <f t="shared" si="181"/>
        <v>Mar</v>
      </c>
      <c r="F398" s="1">
        <f t="shared" si="182"/>
        <v>2024</v>
      </c>
      <c r="G398" t="s">
        <v>1729</v>
      </c>
      <c r="H398" s="17">
        <v>45769</v>
      </c>
      <c r="I398" s="21">
        <f t="shared" si="183"/>
        <v>405</v>
      </c>
      <c r="J398" s="6" t="str">
        <f t="shared" si="184"/>
        <v>OK</v>
      </c>
      <c r="K398" s="1" t="s">
        <v>2888</v>
      </c>
      <c r="L398" s="1" t="s">
        <v>136</v>
      </c>
      <c r="M398" s="1" t="str">
        <f t="shared" si="163"/>
        <v>Priya Menon</v>
      </c>
      <c r="N398" s="1" t="s">
        <v>110</v>
      </c>
      <c r="O398" s="1" t="str">
        <f t="shared" si="164"/>
        <v>Home Office</v>
      </c>
      <c r="P398" s="1" t="s">
        <v>60</v>
      </c>
      <c r="Q398" s="1" t="str">
        <f t="shared" si="165"/>
        <v>South</v>
      </c>
      <c r="R398" s="1" t="str">
        <f t="shared" si="166"/>
        <v>OK</v>
      </c>
      <c r="S398" s="1" t="s">
        <v>309</v>
      </c>
      <c r="T398" s="1" t="str">
        <f t="shared" si="167"/>
        <v>Tamil Nadu</v>
      </c>
      <c r="U398" s="1" t="s">
        <v>310</v>
      </c>
      <c r="V398" s="1" t="str">
        <f t="shared" si="168"/>
        <v>Chennai</v>
      </c>
      <c r="W398" s="1" t="s">
        <v>44</v>
      </c>
      <c r="X398" s="1" t="str">
        <f t="shared" si="169"/>
        <v>Furniture</v>
      </c>
      <c r="Y398" s="1" t="s">
        <v>190</v>
      </c>
      <c r="Z398" s="1" t="str">
        <f t="shared" si="170"/>
        <v>Bookcases</v>
      </c>
      <c r="AA398" s="1" t="s">
        <v>2889</v>
      </c>
      <c r="AB398" s="1"/>
      <c r="AC398" s="1" t="str">
        <f t="shared" si="171"/>
        <v>Unknown</v>
      </c>
      <c r="AD398" s="1" t="str">
        <f t="shared" si="172"/>
        <v>MISSING_SHIP_MODE</v>
      </c>
      <c r="AE398" s="1">
        <v>1</v>
      </c>
      <c r="AF398" s="1">
        <v>2825.63</v>
      </c>
      <c r="AG398" s="9">
        <v>0.15</v>
      </c>
      <c r="AH398" s="9">
        <f t="shared" si="173"/>
        <v>0.15</v>
      </c>
      <c r="AI398" s="1" t="str">
        <f t="shared" si="174"/>
        <v>OK</v>
      </c>
      <c r="AJ398" s="1">
        <v>2401.79</v>
      </c>
      <c r="AK398" s="1">
        <v>1820.34</v>
      </c>
      <c r="AL398" s="1">
        <v>581.45000000000005</v>
      </c>
      <c r="AM398" s="13">
        <f t="shared" si="175"/>
        <v>2401.7855</v>
      </c>
      <c r="AN398" s="9">
        <f t="shared" si="176"/>
        <v>581.44550000000004</v>
      </c>
      <c r="AO398" s="9">
        <f t="shared" si="185"/>
        <v>0.24208885431276025</v>
      </c>
      <c r="AP398" s="1" t="s">
        <v>33</v>
      </c>
      <c r="AQ398" s="1" t="str">
        <f t="shared" si="177"/>
        <v>Paid</v>
      </c>
      <c r="AR398" s="1" t="str">
        <f t="shared" si="178"/>
        <v>OK</v>
      </c>
      <c r="AS398" s="1" t="s">
        <v>34</v>
      </c>
      <c r="AT398" s="4" t="str">
        <f t="shared" si="179"/>
        <v>Completed</v>
      </c>
      <c r="AU398" s="3" t="str">
        <f t="shared" si="180"/>
        <v>OK</v>
      </c>
      <c r="AV398" s="3" t="str">
        <f t="shared" si="186"/>
        <v>WARNING</v>
      </c>
      <c r="AW398" t="str">
        <f t="shared" si="187"/>
        <v>MATCH</v>
      </c>
      <c r="AX398" t="str">
        <f t="shared" si="188"/>
        <v>MATCH</v>
      </c>
    </row>
    <row r="399" spans="1:50" ht="15.6" hidden="1">
      <c r="A399" s="1" t="s">
        <v>2890</v>
      </c>
      <c r="B399" s="1">
        <f t="shared" si="162"/>
        <v>1</v>
      </c>
      <c r="C399" s="16">
        <v>45513</v>
      </c>
      <c r="D399" s="16">
        <v>45513</v>
      </c>
      <c r="E399" s="16" t="str">
        <f t="shared" si="181"/>
        <v>Aug</v>
      </c>
      <c r="F399" s="1">
        <f t="shared" si="182"/>
        <v>2024</v>
      </c>
      <c r="G399" t="s">
        <v>1733</v>
      </c>
      <c r="H399" s="17">
        <v>45818</v>
      </c>
      <c r="I399" s="21">
        <f t="shared" si="183"/>
        <v>305</v>
      </c>
      <c r="J399" s="6" t="str">
        <f t="shared" si="184"/>
        <v>OK</v>
      </c>
      <c r="K399" s="1" t="s">
        <v>2892</v>
      </c>
      <c r="L399" s="1" t="s">
        <v>169</v>
      </c>
      <c r="M399" s="1" t="str">
        <f t="shared" si="163"/>
        <v>Rohan Mehta</v>
      </c>
      <c r="N399" s="1" t="s">
        <v>25</v>
      </c>
      <c r="O399" s="1" t="str">
        <f t="shared" si="164"/>
        <v>Consumer</v>
      </c>
      <c r="P399" s="1" t="s">
        <v>26</v>
      </c>
      <c r="Q399" s="1" t="str">
        <f t="shared" si="165"/>
        <v>North</v>
      </c>
      <c r="R399" s="1" t="str">
        <f t="shared" si="166"/>
        <v>OK</v>
      </c>
      <c r="S399" s="1" t="s">
        <v>27</v>
      </c>
      <c r="T399" s="1" t="str">
        <f t="shared" si="167"/>
        <v>Rajasthan</v>
      </c>
      <c r="U399" s="1" t="s">
        <v>28</v>
      </c>
      <c r="V399" s="1" t="str">
        <f t="shared" si="168"/>
        <v>Jaipur</v>
      </c>
      <c r="W399" s="1" t="s">
        <v>29</v>
      </c>
      <c r="X399" s="1" t="str">
        <f t="shared" si="169"/>
        <v>Office Supplies</v>
      </c>
      <c r="Y399" s="1" t="s">
        <v>184</v>
      </c>
      <c r="Z399" s="1" t="str">
        <f t="shared" si="170"/>
        <v>Binders</v>
      </c>
      <c r="AA399" s="1" t="s">
        <v>2893</v>
      </c>
      <c r="AB399" s="1" t="s">
        <v>65</v>
      </c>
      <c r="AC399" s="1" t="str">
        <f t="shared" si="171"/>
        <v>Standard Class</v>
      </c>
      <c r="AD399" s="1" t="str">
        <f t="shared" si="172"/>
        <v>OK</v>
      </c>
      <c r="AE399" s="1">
        <v>5</v>
      </c>
      <c r="AF399" s="1">
        <v>3371.75</v>
      </c>
      <c r="AG399" s="9">
        <v>0.05</v>
      </c>
      <c r="AH399" s="9">
        <f t="shared" si="173"/>
        <v>0.05</v>
      </c>
      <c r="AI399" s="1" t="str">
        <f t="shared" si="174"/>
        <v>OK</v>
      </c>
      <c r="AJ399" s="1">
        <v>16015.81</v>
      </c>
      <c r="AK399" s="1">
        <v>11352.38</v>
      </c>
      <c r="AL399" s="1">
        <v>4663.43</v>
      </c>
      <c r="AM399" s="13">
        <f t="shared" si="175"/>
        <v>16015.8125</v>
      </c>
      <c r="AN399" s="9">
        <f t="shared" si="176"/>
        <v>4663.4325000000008</v>
      </c>
      <c r="AO399" s="9">
        <f t="shared" si="185"/>
        <v>0.29117676671102394</v>
      </c>
      <c r="AP399" s="1" t="s">
        <v>33</v>
      </c>
      <c r="AQ399" s="1" t="str">
        <f t="shared" si="177"/>
        <v>Paid</v>
      </c>
      <c r="AR399" s="1" t="str">
        <f t="shared" si="178"/>
        <v>OK</v>
      </c>
      <c r="AS399" s="1" t="s">
        <v>34</v>
      </c>
      <c r="AT399" s="4" t="str">
        <f t="shared" si="179"/>
        <v>Completed</v>
      </c>
      <c r="AU399" s="3" t="str">
        <f t="shared" si="180"/>
        <v>OK</v>
      </c>
      <c r="AV399" s="3" t="str">
        <f t="shared" si="186"/>
        <v>CLEAN</v>
      </c>
      <c r="AW399" t="str">
        <f t="shared" si="187"/>
        <v>MATCH</v>
      </c>
      <c r="AX399" t="str">
        <f t="shared" si="188"/>
        <v>MATCH</v>
      </c>
    </row>
    <row r="400" spans="1:50" ht="15.6" hidden="1">
      <c r="A400" s="1" t="s">
        <v>2894</v>
      </c>
      <c r="B400" s="1">
        <f t="shared" si="162"/>
        <v>1</v>
      </c>
      <c r="C400" s="16">
        <v>45467</v>
      </c>
      <c r="D400" s="16">
        <v>45467</v>
      </c>
      <c r="E400" s="16" t="str">
        <f t="shared" si="181"/>
        <v>Jun</v>
      </c>
      <c r="F400" s="1">
        <f t="shared" si="182"/>
        <v>2024</v>
      </c>
      <c r="G400" t="s">
        <v>1737</v>
      </c>
      <c r="H400" s="17">
        <v>45499</v>
      </c>
      <c r="I400" s="21">
        <f t="shared" si="183"/>
        <v>32</v>
      </c>
      <c r="J400" s="6" t="str">
        <f t="shared" si="184"/>
        <v>OK</v>
      </c>
      <c r="K400" s="1" t="s">
        <v>2895</v>
      </c>
      <c r="L400" s="1" t="s">
        <v>52</v>
      </c>
      <c r="M400" s="1" t="str">
        <f t="shared" si="163"/>
        <v>Isha Nair</v>
      </c>
      <c r="N400" s="1" t="s">
        <v>40</v>
      </c>
      <c r="O400" s="1" t="str">
        <f t="shared" si="164"/>
        <v>Small Business</v>
      </c>
      <c r="P400" s="1" t="s">
        <v>41</v>
      </c>
      <c r="Q400" s="1" t="str">
        <f t="shared" si="165"/>
        <v>East</v>
      </c>
      <c r="R400" s="1" t="str">
        <f t="shared" si="166"/>
        <v>OK</v>
      </c>
      <c r="S400" s="1" t="s">
        <v>42</v>
      </c>
      <c r="T400" s="1" t="str">
        <f t="shared" si="167"/>
        <v>Odisha</v>
      </c>
      <c r="U400" s="1" t="s">
        <v>43</v>
      </c>
      <c r="V400" s="1" t="str">
        <f t="shared" si="168"/>
        <v>Bhubaneswar</v>
      </c>
      <c r="W400" s="1" t="s">
        <v>29</v>
      </c>
      <c r="X400" s="1" t="str">
        <f t="shared" si="169"/>
        <v>Office Supplies</v>
      </c>
      <c r="Y400" s="1" t="s">
        <v>30</v>
      </c>
      <c r="Z400" s="1" t="str">
        <f t="shared" si="170"/>
        <v>Paper</v>
      </c>
      <c r="AA400" s="1" t="s">
        <v>2896</v>
      </c>
      <c r="AB400" s="1" t="s">
        <v>47</v>
      </c>
      <c r="AC400" s="1" t="str">
        <f t="shared" si="171"/>
        <v>Same Day</v>
      </c>
      <c r="AD400" s="1" t="str">
        <f t="shared" si="172"/>
        <v>OK</v>
      </c>
      <c r="AE400" s="1">
        <v>1</v>
      </c>
      <c r="AF400" s="1">
        <v>2112.75</v>
      </c>
      <c r="AG400" s="9">
        <v>0.1</v>
      </c>
      <c r="AH400" s="9">
        <f t="shared" si="173"/>
        <v>0.1</v>
      </c>
      <c r="AI400" s="1" t="str">
        <f t="shared" si="174"/>
        <v>OK</v>
      </c>
      <c r="AJ400" s="1">
        <v>1901.48</v>
      </c>
      <c r="AK400" s="1">
        <v>1354.28</v>
      </c>
      <c r="AL400" s="1">
        <v>547.20000000000005</v>
      </c>
      <c r="AM400" s="13">
        <f t="shared" si="175"/>
        <v>1901.4750000000001</v>
      </c>
      <c r="AN400" s="9">
        <f t="shared" si="176"/>
        <v>547.19500000000016</v>
      </c>
      <c r="AO400" s="9">
        <f t="shared" si="185"/>
        <v>0.28777396494826391</v>
      </c>
      <c r="AP400" s="1" t="s">
        <v>33</v>
      </c>
      <c r="AQ400" s="1" t="str">
        <f t="shared" si="177"/>
        <v>Paid</v>
      </c>
      <c r="AR400" s="1" t="str">
        <f t="shared" si="178"/>
        <v>OK</v>
      </c>
      <c r="AS400" s="1" t="s">
        <v>34</v>
      </c>
      <c r="AT400" s="4" t="str">
        <f t="shared" si="179"/>
        <v>Completed</v>
      </c>
      <c r="AU400" s="3" t="str">
        <f t="shared" si="180"/>
        <v>OK</v>
      </c>
      <c r="AV400" s="3" t="str">
        <f t="shared" si="186"/>
        <v>CLEAN</v>
      </c>
      <c r="AW400" t="str">
        <f t="shared" si="187"/>
        <v>MATCH</v>
      </c>
      <c r="AX400" t="str">
        <f t="shared" si="188"/>
        <v>MATCH</v>
      </c>
    </row>
    <row r="401" spans="1:50" ht="15.6" hidden="1">
      <c r="A401" s="1" t="s">
        <v>2908</v>
      </c>
      <c r="B401" s="1">
        <f t="shared" si="162"/>
        <v>1</v>
      </c>
      <c r="C401" s="16">
        <v>45633</v>
      </c>
      <c r="D401" s="16">
        <v>45633</v>
      </c>
      <c r="E401" s="16" t="str">
        <f t="shared" si="181"/>
        <v>Dec</v>
      </c>
      <c r="F401" s="1">
        <f t="shared" si="182"/>
        <v>2024</v>
      </c>
      <c r="G401" t="s">
        <v>1741</v>
      </c>
      <c r="H401" s="17">
        <v>45776</v>
      </c>
      <c r="I401" s="21">
        <f t="shared" si="183"/>
        <v>143</v>
      </c>
      <c r="J401" s="6" t="str">
        <f t="shared" si="184"/>
        <v>OK</v>
      </c>
      <c r="K401" s="1" t="s">
        <v>2910</v>
      </c>
      <c r="L401" s="1" t="s">
        <v>80</v>
      </c>
      <c r="M401" s="1" t="str">
        <f t="shared" si="163"/>
        <v>Vikram Iyer</v>
      </c>
      <c r="N401" s="1" t="s">
        <v>104</v>
      </c>
      <c r="O401" s="1" t="str">
        <f t="shared" si="164"/>
        <v>Corporate</v>
      </c>
      <c r="P401" s="1" t="s">
        <v>26</v>
      </c>
      <c r="Q401" s="1" t="str">
        <f t="shared" si="165"/>
        <v>North</v>
      </c>
      <c r="R401" s="1" t="str">
        <f t="shared" si="166"/>
        <v>OK</v>
      </c>
      <c r="S401" s="1" t="s">
        <v>146</v>
      </c>
      <c r="T401" s="1" t="str">
        <f t="shared" si="167"/>
        <v>Punjab</v>
      </c>
      <c r="U401" s="1" t="s">
        <v>147</v>
      </c>
      <c r="V401" s="1" t="str">
        <f t="shared" si="168"/>
        <v>Ludhiana</v>
      </c>
      <c r="W401" s="1" t="s">
        <v>29</v>
      </c>
      <c r="X401" s="1" t="str">
        <f t="shared" si="169"/>
        <v>Office Supplies</v>
      </c>
      <c r="Y401" s="1" t="s">
        <v>53</v>
      </c>
      <c r="Z401" s="1" t="str">
        <f t="shared" si="170"/>
        <v>Art</v>
      </c>
      <c r="AA401" s="1" t="s">
        <v>2911</v>
      </c>
      <c r="AB401" s="1" t="s">
        <v>32</v>
      </c>
      <c r="AC401" s="1" t="str">
        <f t="shared" si="171"/>
        <v>Second Class</v>
      </c>
      <c r="AD401" s="1" t="str">
        <f t="shared" si="172"/>
        <v>OK</v>
      </c>
      <c r="AE401" s="1">
        <v>5</v>
      </c>
      <c r="AF401" s="1">
        <v>1559.16</v>
      </c>
      <c r="AG401" s="9">
        <v>0.05</v>
      </c>
      <c r="AH401" s="9">
        <f t="shared" si="173"/>
        <v>0.05</v>
      </c>
      <c r="AI401" s="1" t="str">
        <f t="shared" si="174"/>
        <v>OK</v>
      </c>
      <c r="AJ401" s="1">
        <v>7406.01</v>
      </c>
      <c r="AK401" s="1">
        <v>5941.74</v>
      </c>
      <c r="AL401" s="1">
        <v>1464.27</v>
      </c>
      <c r="AM401" s="13">
        <f t="shared" si="175"/>
        <v>7406.01</v>
      </c>
      <c r="AN401" s="9">
        <f t="shared" si="176"/>
        <v>1464.2700000000004</v>
      </c>
      <c r="AO401" s="9">
        <f t="shared" si="185"/>
        <v>0.19771374869869207</v>
      </c>
      <c r="AP401" s="1" t="s">
        <v>33</v>
      </c>
      <c r="AQ401" s="1" t="str">
        <f t="shared" si="177"/>
        <v>Paid</v>
      </c>
      <c r="AR401" s="1" t="str">
        <f t="shared" si="178"/>
        <v>OK</v>
      </c>
      <c r="AS401" s="1" t="s">
        <v>34</v>
      </c>
      <c r="AT401" s="4" t="str">
        <f t="shared" si="179"/>
        <v>Completed</v>
      </c>
      <c r="AU401" s="3" t="str">
        <f t="shared" si="180"/>
        <v>OK</v>
      </c>
      <c r="AV401" s="3" t="str">
        <f t="shared" si="186"/>
        <v>CLEAN</v>
      </c>
      <c r="AW401" t="str">
        <f t="shared" si="187"/>
        <v>MATCH</v>
      </c>
      <c r="AX401" t="str">
        <f t="shared" si="188"/>
        <v>MATCH</v>
      </c>
    </row>
    <row r="402" spans="1:50" ht="15.6" hidden="1">
      <c r="A402" s="1" t="s">
        <v>2915</v>
      </c>
      <c r="B402" s="1">
        <f t="shared" si="162"/>
        <v>2</v>
      </c>
      <c r="C402" s="16">
        <v>45567</v>
      </c>
      <c r="D402" s="16">
        <v>45567</v>
      </c>
      <c r="E402" s="16" t="str">
        <f t="shared" si="181"/>
        <v>Oct</v>
      </c>
      <c r="F402" s="1">
        <f t="shared" si="182"/>
        <v>2024</v>
      </c>
      <c r="G402" t="s">
        <v>1745</v>
      </c>
      <c r="H402" s="17">
        <v>45819</v>
      </c>
      <c r="I402" s="21">
        <f t="shared" si="183"/>
        <v>252</v>
      </c>
      <c r="J402" s="6" t="str">
        <f t="shared" si="184"/>
        <v>OK</v>
      </c>
      <c r="K402" s="1" t="s">
        <v>2917</v>
      </c>
      <c r="L402" s="1" t="s">
        <v>52</v>
      </c>
      <c r="M402" s="1" t="str">
        <f t="shared" si="163"/>
        <v>Isha Nair</v>
      </c>
      <c r="N402" s="1" t="s">
        <v>110</v>
      </c>
      <c r="O402" s="1" t="str">
        <f t="shared" si="164"/>
        <v>Home Office</v>
      </c>
      <c r="P402" s="1" t="s">
        <v>71</v>
      </c>
      <c r="Q402" s="1" t="str">
        <f t="shared" si="165"/>
        <v>West</v>
      </c>
      <c r="R402" s="1" t="str">
        <f t="shared" si="166"/>
        <v>OK</v>
      </c>
      <c r="S402" s="1" t="s">
        <v>81</v>
      </c>
      <c r="T402" s="1" t="str">
        <f t="shared" si="167"/>
        <v>Madhya Pradesh</v>
      </c>
      <c r="U402" s="1" t="s">
        <v>82</v>
      </c>
      <c r="V402" s="1" t="str">
        <f t="shared" si="168"/>
        <v>Indore</v>
      </c>
      <c r="W402" s="1" t="s">
        <v>44</v>
      </c>
      <c r="X402" s="1" t="str">
        <f t="shared" si="169"/>
        <v>Furniture</v>
      </c>
      <c r="Y402" s="1" t="s">
        <v>74</v>
      </c>
      <c r="Z402" s="1" t="str">
        <f t="shared" si="170"/>
        <v>Chairs</v>
      </c>
      <c r="AA402" s="1" t="s">
        <v>2918</v>
      </c>
      <c r="AB402" s="1" t="s">
        <v>55</v>
      </c>
      <c r="AC402" s="1" t="str">
        <f t="shared" si="171"/>
        <v>First Class</v>
      </c>
      <c r="AD402" s="1" t="str">
        <f t="shared" si="172"/>
        <v>OK</v>
      </c>
      <c r="AE402" s="1">
        <v>7</v>
      </c>
      <c r="AF402" s="1">
        <v>1382.86</v>
      </c>
      <c r="AG402" s="9">
        <v>0</v>
      </c>
      <c r="AH402" s="9">
        <f t="shared" si="173"/>
        <v>0</v>
      </c>
      <c r="AI402" s="1" t="str">
        <f t="shared" si="174"/>
        <v>OK</v>
      </c>
      <c r="AJ402" s="1">
        <v>9680.02</v>
      </c>
      <c r="AK402" s="1">
        <v>6876.66</v>
      </c>
      <c r="AL402" s="1">
        <v>2803.36</v>
      </c>
      <c r="AM402" s="13">
        <f t="shared" si="175"/>
        <v>9680.0199999999986</v>
      </c>
      <c r="AN402" s="9">
        <f t="shared" si="176"/>
        <v>2803.3599999999988</v>
      </c>
      <c r="AO402" s="9">
        <f t="shared" si="185"/>
        <v>0.28960270743242256</v>
      </c>
      <c r="AP402" s="1" t="s">
        <v>33</v>
      </c>
      <c r="AQ402" s="1" t="str">
        <f t="shared" si="177"/>
        <v>Paid</v>
      </c>
      <c r="AR402" s="1" t="str">
        <f t="shared" si="178"/>
        <v>OK</v>
      </c>
      <c r="AS402" s="1" t="s">
        <v>34</v>
      </c>
      <c r="AT402" s="4" t="str">
        <f t="shared" si="179"/>
        <v>Completed</v>
      </c>
      <c r="AU402" s="3" t="str">
        <f t="shared" si="180"/>
        <v>OK</v>
      </c>
      <c r="AV402" s="3" t="str">
        <f t="shared" si="186"/>
        <v>CLEAN</v>
      </c>
      <c r="AW402" t="str">
        <f t="shared" si="187"/>
        <v>MATCH</v>
      </c>
      <c r="AX402" t="str">
        <f t="shared" si="188"/>
        <v>MATCH</v>
      </c>
    </row>
    <row r="403" spans="1:50" ht="15.6" hidden="1">
      <c r="A403" s="1" t="s">
        <v>2915</v>
      </c>
      <c r="B403" s="1">
        <f t="shared" si="162"/>
        <v>2</v>
      </c>
      <c r="C403" s="16">
        <v>45567</v>
      </c>
      <c r="D403" s="16">
        <v>45567</v>
      </c>
      <c r="E403" s="16" t="str">
        <f t="shared" si="181"/>
        <v>Oct</v>
      </c>
      <c r="F403" s="1">
        <f t="shared" si="182"/>
        <v>2024</v>
      </c>
      <c r="G403" t="s">
        <v>1749</v>
      </c>
      <c r="H403" s="17">
        <v>45732</v>
      </c>
      <c r="I403" s="21">
        <f t="shared" si="183"/>
        <v>165</v>
      </c>
      <c r="J403" s="6" t="str">
        <f t="shared" si="184"/>
        <v>OK</v>
      </c>
      <c r="K403" s="1" t="s">
        <v>2917</v>
      </c>
      <c r="L403" s="1" t="s">
        <v>52</v>
      </c>
      <c r="M403" s="1" t="str">
        <f t="shared" si="163"/>
        <v>Isha Nair</v>
      </c>
      <c r="N403" s="1" t="s">
        <v>110</v>
      </c>
      <c r="O403" s="1" t="str">
        <f t="shared" si="164"/>
        <v>Home Office</v>
      </c>
      <c r="P403" s="1" t="s">
        <v>71</v>
      </c>
      <c r="Q403" s="1" t="str">
        <f t="shared" si="165"/>
        <v>West</v>
      </c>
      <c r="R403" s="1" t="str">
        <f t="shared" si="166"/>
        <v>OK</v>
      </c>
      <c r="S403" s="1" t="s">
        <v>81</v>
      </c>
      <c r="T403" s="1" t="str">
        <f t="shared" si="167"/>
        <v>Madhya Pradesh</v>
      </c>
      <c r="U403" s="1" t="s">
        <v>82</v>
      </c>
      <c r="V403" s="1" t="str">
        <f t="shared" si="168"/>
        <v>Indore</v>
      </c>
      <c r="W403" s="1" t="s">
        <v>44</v>
      </c>
      <c r="X403" s="1" t="str">
        <f t="shared" si="169"/>
        <v>Furniture</v>
      </c>
      <c r="Y403" s="1" t="s">
        <v>74</v>
      </c>
      <c r="Z403" s="1" t="str">
        <f t="shared" si="170"/>
        <v>Chairs</v>
      </c>
      <c r="AA403" s="1" t="s">
        <v>2918</v>
      </c>
      <c r="AB403" s="1" t="s">
        <v>55</v>
      </c>
      <c r="AC403" s="1" t="str">
        <f t="shared" si="171"/>
        <v>First Class</v>
      </c>
      <c r="AD403" s="1" t="str">
        <f t="shared" si="172"/>
        <v>OK</v>
      </c>
      <c r="AE403" s="1">
        <v>7</v>
      </c>
      <c r="AF403" s="1">
        <v>1382.86</v>
      </c>
      <c r="AG403" s="9">
        <v>0</v>
      </c>
      <c r="AH403" s="9">
        <f t="shared" si="173"/>
        <v>0</v>
      </c>
      <c r="AI403" s="1" t="str">
        <f t="shared" si="174"/>
        <v>OK</v>
      </c>
      <c r="AJ403" s="1">
        <v>9680.02</v>
      </c>
      <c r="AK403" s="1">
        <v>6876.66</v>
      </c>
      <c r="AL403" s="1">
        <v>2803.36</v>
      </c>
      <c r="AM403" s="13">
        <f t="shared" si="175"/>
        <v>9680.0199999999986</v>
      </c>
      <c r="AN403" s="9">
        <f t="shared" si="176"/>
        <v>2803.3599999999988</v>
      </c>
      <c r="AO403" s="9">
        <f t="shared" si="185"/>
        <v>0.28960270743242256</v>
      </c>
      <c r="AP403" s="1" t="s">
        <v>33</v>
      </c>
      <c r="AQ403" s="1" t="str">
        <f t="shared" si="177"/>
        <v>Paid</v>
      </c>
      <c r="AR403" s="1" t="str">
        <f t="shared" si="178"/>
        <v>OK</v>
      </c>
      <c r="AS403" s="1" t="s">
        <v>34</v>
      </c>
      <c r="AT403" s="4" t="str">
        <f t="shared" si="179"/>
        <v>Completed</v>
      </c>
      <c r="AU403" s="3" t="str">
        <f t="shared" si="180"/>
        <v>OK</v>
      </c>
      <c r="AV403" s="3" t="str">
        <f t="shared" si="186"/>
        <v>CLEAN</v>
      </c>
      <c r="AW403" t="str">
        <f t="shared" si="187"/>
        <v>MATCH</v>
      </c>
      <c r="AX403" t="str">
        <f t="shared" si="188"/>
        <v>MATCH</v>
      </c>
    </row>
    <row r="404" spans="1:50" ht="15.6">
      <c r="A404" s="1" t="s">
        <v>2933</v>
      </c>
      <c r="B404" s="1">
        <f t="shared" si="162"/>
        <v>1</v>
      </c>
      <c r="C404" s="16">
        <v>45452</v>
      </c>
      <c r="D404" s="16">
        <v>45452</v>
      </c>
      <c r="E404" s="16" t="str">
        <f t="shared" si="181"/>
        <v>Jun</v>
      </c>
      <c r="F404" s="1">
        <f t="shared" si="182"/>
        <v>2024</v>
      </c>
      <c r="G404" t="s">
        <v>1753</v>
      </c>
      <c r="H404" s="17">
        <v>45373</v>
      </c>
      <c r="I404" s="21">
        <f t="shared" si="183"/>
        <v>-79</v>
      </c>
      <c r="J404" s="6" t="str">
        <f t="shared" si="184"/>
        <v>INVALID_SHIPPING</v>
      </c>
      <c r="K404" s="1" t="s">
        <v>2934</v>
      </c>
      <c r="L404" s="1" t="s">
        <v>39</v>
      </c>
      <c r="M404" s="1" t="str">
        <f t="shared" si="163"/>
        <v>Mira Das</v>
      </c>
      <c r="N404" s="1" t="s">
        <v>25</v>
      </c>
      <c r="O404" s="1" t="str">
        <f t="shared" si="164"/>
        <v>Consumer</v>
      </c>
      <c r="P404" s="1" t="s">
        <v>71</v>
      </c>
      <c r="Q404" s="1" t="str">
        <f t="shared" si="165"/>
        <v>West</v>
      </c>
      <c r="R404" s="1" t="str">
        <f t="shared" si="166"/>
        <v>OK</v>
      </c>
      <c r="S404" s="1" t="s">
        <v>72</v>
      </c>
      <c r="T404" s="1" t="str">
        <f t="shared" si="167"/>
        <v>Maharashtra</v>
      </c>
      <c r="U404" s="1" t="s">
        <v>73</v>
      </c>
      <c r="V404" s="1" t="str">
        <f t="shared" si="168"/>
        <v>Mumbai</v>
      </c>
      <c r="W404" s="1" t="s">
        <v>29</v>
      </c>
      <c r="X404" s="1" t="str">
        <f t="shared" si="169"/>
        <v>Office Supplies</v>
      </c>
      <c r="Y404" s="1" t="s">
        <v>53</v>
      </c>
      <c r="Z404" s="1" t="str">
        <f t="shared" si="170"/>
        <v>Art</v>
      </c>
      <c r="AA404" s="1" t="s">
        <v>2935</v>
      </c>
      <c r="AB404" s="1" t="s">
        <v>47</v>
      </c>
      <c r="AC404" s="1" t="str">
        <f t="shared" si="171"/>
        <v>Same Day</v>
      </c>
      <c r="AD404" s="1" t="str">
        <f t="shared" si="172"/>
        <v>OK</v>
      </c>
      <c r="AE404" s="1">
        <v>3</v>
      </c>
      <c r="AF404" s="1">
        <v>1972.27</v>
      </c>
      <c r="AG404" s="9">
        <v>0.2</v>
      </c>
      <c r="AH404" s="9">
        <f t="shared" si="173"/>
        <v>0.2</v>
      </c>
      <c r="AI404" s="1" t="str">
        <f t="shared" si="174"/>
        <v>OK</v>
      </c>
      <c r="AJ404" s="1">
        <v>4733.45</v>
      </c>
      <c r="AK404" s="1">
        <v>3672.32</v>
      </c>
      <c r="AL404" s="1">
        <v>1061.1300000000001</v>
      </c>
      <c r="AM404" s="13">
        <f t="shared" si="175"/>
        <v>4733.4479999999994</v>
      </c>
      <c r="AN404" s="9">
        <f t="shared" si="176"/>
        <v>1061.1279999999992</v>
      </c>
      <c r="AO404" s="9">
        <f t="shared" si="185"/>
        <v>0.22417654107534282</v>
      </c>
      <c r="AP404" s="1" t="s">
        <v>33</v>
      </c>
      <c r="AQ404" s="1" t="str">
        <f t="shared" si="177"/>
        <v>Paid</v>
      </c>
      <c r="AR404" s="1" t="str">
        <f t="shared" si="178"/>
        <v>OK</v>
      </c>
      <c r="AS404" s="1" t="s">
        <v>34</v>
      </c>
      <c r="AT404" s="4" t="str">
        <f t="shared" si="179"/>
        <v>Completed</v>
      </c>
      <c r="AU404" s="3" t="str">
        <f t="shared" si="180"/>
        <v>OK</v>
      </c>
      <c r="AV404" s="3" t="str">
        <f t="shared" si="186"/>
        <v>INVALID</v>
      </c>
      <c r="AW404" t="str">
        <f t="shared" si="187"/>
        <v>MATCH</v>
      </c>
      <c r="AX404" t="str">
        <f t="shared" si="188"/>
        <v>MATCH</v>
      </c>
    </row>
    <row r="405" spans="1:50" ht="15.6">
      <c r="A405" s="1" t="s">
        <v>2938</v>
      </c>
      <c r="B405" s="1">
        <f t="shared" si="162"/>
        <v>1</v>
      </c>
      <c r="C405" s="16">
        <v>45489</v>
      </c>
      <c r="D405" s="16">
        <v>45489</v>
      </c>
      <c r="E405" s="16" t="str">
        <f t="shared" si="181"/>
        <v>Jul</v>
      </c>
      <c r="F405" s="1">
        <f t="shared" si="182"/>
        <v>2024</v>
      </c>
      <c r="G405" t="s">
        <v>1757</v>
      </c>
      <c r="H405" s="17">
        <v>45392</v>
      </c>
      <c r="I405" s="21">
        <f t="shared" si="183"/>
        <v>-97</v>
      </c>
      <c r="J405" s="6" t="str">
        <f t="shared" si="184"/>
        <v>INVALID_SHIPPING</v>
      </c>
      <c r="K405" s="1" t="s">
        <v>2940</v>
      </c>
      <c r="L405" s="1" t="s">
        <v>103</v>
      </c>
      <c r="M405" s="1" t="str">
        <f t="shared" si="163"/>
        <v>Aditi Sen</v>
      </c>
      <c r="N405" s="1" t="s">
        <v>110</v>
      </c>
      <c r="O405" s="1" t="str">
        <f t="shared" si="164"/>
        <v>Home Office</v>
      </c>
      <c r="P405" s="1" t="s">
        <v>71</v>
      </c>
      <c r="Q405" s="1" t="str">
        <f t="shared" si="165"/>
        <v>West</v>
      </c>
      <c r="R405" s="1" t="str">
        <f t="shared" si="166"/>
        <v>OK</v>
      </c>
      <c r="S405" s="1" t="s">
        <v>81</v>
      </c>
      <c r="T405" s="1" t="str">
        <f t="shared" si="167"/>
        <v>Madhya Pradesh</v>
      </c>
      <c r="U405" s="1" t="s">
        <v>82</v>
      </c>
      <c r="V405" s="1" t="str">
        <f t="shared" si="168"/>
        <v>Indore</v>
      </c>
      <c r="W405" s="1" t="s">
        <v>83</v>
      </c>
      <c r="X405" s="1" t="str">
        <f t="shared" si="169"/>
        <v>Technology</v>
      </c>
      <c r="Y405" s="1" t="s">
        <v>91</v>
      </c>
      <c r="Z405" s="1" t="str">
        <f t="shared" si="170"/>
        <v>Copiers</v>
      </c>
      <c r="AA405" s="1" t="s">
        <v>2941</v>
      </c>
      <c r="AB405" s="1" t="s">
        <v>47</v>
      </c>
      <c r="AC405" s="1" t="str">
        <f t="shared" si="171"/>
        <v>Same Day</v>
      </c>
      <c r="AD405" s="1" t="str">
        <f t="shared" si="172"/>
        <v>OK</v>
      </c>
      <c r="AE405" s="1">
        <v>4</v>
      </c>
      <c r="AF405" s="1">
        <v>4479.92</v>
      </c>
      <c r="AG405" s="9">
        <v>0.15</v>
      </c>
      <c r="AH405" s="9">
        <f t="shared" si="173"/>
        <v>0.15</v>
      </c>
      <c r="AI405" s="1" t="str">
        <f t="shared" si="174"/>
        <v>OK</v>
      </c>
      <c r="AJ405" s="1">
        <v>15231.73</v>
      </c>
      <c r="AK405" s="1">
        <v>12451.46</v>
      </c>
      <c r="AL405" s="1">
        <v>2780.27</v>
      </c>
      <c r="AM405" s="13">
        <f t="shared" si="175"/>
        <v>15231.727999999999</v>
      </c>
      <c r="AN405" s="9">
        <f t="shared" si="176"/>
        <v>2780.268</v>
      </c>
      <c r="AO405" s="9">
        <f t="shared" si="185"/>
        <v>0.1825313582280356</v>
      </c>
      <c r="AP405" s="1" t="s">
        <v>33</v>
      </c>
      <c r="AQ405" s="1" t="str">
        <f t="shared" si="177"/>
        <v>Paid</v>
      </c>
      <c r="AR405" s="1" t="str">
        <f t="shared" si="178"/>
        <v>OK</v>
      </c>
      <c r="AS405" s="1" t="s">
        <v>34</v>
      </c>
      <c r="AT405" s="4" t="str">
        <f t="shared" si="179"/>
        <v>Completed</v>
      </c>
      <c r="AU405" s="3" t="str">
        <f t="shared" si="180"/>
        <v>OK</v>
      </c>
      <c r="AV405" s="3" t="str">
        <f t="shared" si="186"/>
        <v>INVALID</v>
      </c>
      <c r="AW405" t="str">
        <f t="shared" si="187"/>
        <v>MATCH</v>
      </c>
      <c r="AX405" t="str">
        <f t="shared" si="188"/>
        <v>MATCH</v>
      </c>
    </row>
    <row r="406" spans="1:50" ht="15.6">
      <c r="A406" s="1" t="s">
        <v>2946</v>
      </c>
      <c r="B406" s="1">
        <f t="shared" si="162"/>
        <v>1</v>
      </c>
      <c r="C406" s="16">
        <v>45483</v>
      </c>
      <c r="D406" s="16">
        <v>45483</v>
      </c>
      <c r="E406" s="16" t="str">
        <f t="shared" si="181"/>
        <v>Jul</v>
      </c>
      <c r="F406" s="1">
        <f t="shared" si="182"/>
        <v>2024</v>
      </c>
      <c r="G406" t="s">
        <v>1763</v>
      </c>
      <c r="H406" s="17">
        <v>45325</v>
      </c>
      <c r="I406" s="21">
        <f t="shared" si="183"/>
        <v>-158</v>
      </c>
      <c r="J406" s="6" t="str">
        <f t="shared" si="184"/>
        <v>INVALID_SHIPPING</v>
      </c>
      <c r="K406" s="1" t="s">
        <v>2948</v>
      </c>
      <c r="L406" s="1" t="s">
        <v>80</v>
      </c>
      <c r="M406" s="1" t="str">
        <f t="shared" si="163"/>
        <v>Vikram Iyer</v>
      </c>
      <c r="N406" s="1" t="s">
        <v>25</v>
      </c>
      <c r="O406" s="1" t="str">
        <f t="shared" si="164"/>
        <v>Consumer</v>
      </c>
      <c r="P406" s="1" t="s">
        <v>41</v>
      </c>
      <c r="Q406" s="1" t="str">
        <f t="shared" si="165"/>
        <v>East</v>
      </c>
      <c r="R406" s="1" t="str">
        <f t="shared" si="166"/>
        <v>OK</v>
      </c>
      <c r="S406" s="1" t="s">
        <v>116</v>
      </c>
      <c r="T406" s="1" t="str">
        <f t="shared" si="167"/>
        <v>West Bengal</v>
      </c>
      <c r="U406" s="1" t="s">
        <v>117</v>
      </c>
      <c r="V406" s="1" t="str">
        <f t="shared" si="168"/>
        <v>Kolkata</v>
      </c>
      <c r="W406" s="1" t="s">
        <v>44</v>
      </c>
      <c r="X406" s="1" t="str">
        <f t="shared" si="169"/>
        <v>Furniture</v>
      </c>
      <c r="Y406" s="1" t="s">
        <v>74</v>
      </c>
      <c r="Z406" s="1" t="str">
        <f t="shared" si="170"/>
        <v>Chairs</v>
      </c>
      <c r="AA406" s="1" t="s">
        <v>2949</v>
      </c>
      <c r="AB406" s="1" t="s">
        <v>32</v>
      </c>
      <c r="AC406" s="1" t="str">
        <f t="shared" si="171"/>
        <v>Second Class</v>
      </c>
      <c r="AD406" s="1" t="str">
        <f t="shared" si="172"/>
        <v>OK</v>
      </c>
      <c r="AE406" s="1">
        <v>9</v>
      </c>
      <c r="AF406" s="1">
        <v>481.51</v>
      </c>
      <c r="AG406" s="9"/>
      <c r="AH406" s="9">
        <f t="shared" si="173"/>
        <v>0</v>
      </c>
      <c r="AI406" s="1" t="str">
        <f t="shared" si="174"/>
        <v>Missing Discount</v>
      </c>
      <c r="AJ406" s="1">
        <v>4333.59</v>
      </c>
      <c r="AK406" s="1">
        <v>2533.59</v>
      </c>
      <c r="AL406" s="1">
        <v>1800</v>
      </c>
      <c r="AM406" s="13">
        <f t="shared" si="175"/>
        <v>4333.59</v>
      </c>
      <c r="AN406" s="9">
        <f t="shared" si="176"/>
        <v>1800</v>
      </c>
      <c r="AO406" s="9">
        <f t="shared" si="185"/>
        <v>0.41536001329152039</v>
      </c>
      <c r="AP406" s="1" t="s">
        <v>119</v>
      </c>
      <c r="AQ406" s="1" t="str">
        <f t="shared" si="177"/>
        <v>Refunded</v>
      </c>
      <c r="AR406" s="1" t="str">
        <f t="shared" si="178"/>
        <v>REFUNDED_PAYMENT</v>
      </c>
      <c r="AS406" s="1" t="s">
        <v>76</v>
      </c>
      <c r="AT406" s="4" t="str">
        <f t="shared" si="179"/>
        <v>Cancelled</v>
      </c>
      <c r="AU406" s="3" t="str">
        <f t="shared" si="180"/>
        <v>EXCLUDE_FROM_SALES</v>
      </c>
      <c r="AV406" s="3" t="str">
        <f t="shared" si="186"/>
        <v>INVALID</v>
      </c>
      <c r="AW406" t="str">
        <f t="shared" si="187"/>
        <v>MATCH</v>
      </c>
      <c r="AX406" t="str">
        <f t="shared" si="188"/>
        <v>MATCH</v>
      </c>
    </row>
    <row r="407" spans="1:50" ht="15.6">
      <c r="A407" s="1" t="s">
        <v>2954</v>
      </c>
      <c r="B407" s="1">
        <f t="shared" si="162"/>
        <v>1</v>
      </c>
      <c r="C407" s="16">
        <v>45567</v>
      </c>
      <c r="D407" s="16">
        <v>45567</v>
      </c>
      <c r="E407" s="16" t="str">
        <f t="shared" si="181"/>
        <v>Oct</v>
      </c>
      <c r="F407" s="1">
        <f t="shared" si="182"/>
        <v>2024</v>
      </c>
      <c r="G407" t="s">
        <v>1767</v>
      </c>
      <c r="H407" s="17">
        <v>45559</v>
      </c>
      <c r="I407" s="21">
        <f t="shared" si="183"/>
        <v>-8</v>
      </c>
      <c r="J407" s="6" t="str">
        <f t="shared" si="184"/>
        <v>INVALID_SHIPPING</v>
      </c>
      <c r="K407" s="1" t="s">
        <v>2955</v>
      </c>
      <c r="L407" s="1" t="s">
        <v>24</v>
      </c>
      <c r="M407" s="1" t="str">
        <f t="shared" si="163"/>
        <v>Karan Malhotra</v>
      </c>
      <c r="N407" s="1" t="s">
        <v>25</v>
      </c>
      <c r="O407" s="1" t="str">
        <f t="shared" si="164"/>
        <v>Consumer</v>
      </c>
      <c r="P407" s="1" t="s">
        <v>71</v>
      </c>
      <c r="Q407" s="1" t="str">
        <f t="shared" si="165"/>
        <v>West</v>
      </c>
      <c r="R407" s="1" t="str">
        <f t="shared" si="166"/>
        <v>OK</v>
      </c>
      <c r="S407" s="1" t="s">
        <v>230</v>
      </c>
      <c r="T407" s="1" t="str">
        <f t="shared" si="167"/>
        <v>Goa</v>
      </c>
      <c r="U407" s="1" t="s">
        <v>231</v>
      </c>
      <c r="V407" s="1" t="str">
        <f t="shared" si="168"/>
        <v>Panaji</v>
      </c>
      <c r="W407" s="1" t="s">
        <v>44</v>
      </c>
      <c r="X407" s="1" t="str">
        <f t="shared" si="169"/>
        <v>Furniture</v>
      </c>
      <c r="Y407" s="1" t="s">
        <v>63</v>
      </c>
      <c r="Z407" s="1" t="str">
        <f t="shared" si="170"/>
        <v>Furnishings</v>
      </c>
      <c r="AA407" s="1" t="s">
        <v>2956</v>
      </c>
      <c r="AB407" s="1" t="s">
        <v>32</v>
      </c>
      <c r="AC407" s="1" t="str">
        <f t="shared" si="171"/>
        <v>Second Class</v>
      </c>
      <c r="AD407" s="1" t="str">
        <f t="shared" si="172"/>
        <v>OK</v>
      </c>
      <c r="AE407" s="1">
        <v>3</v>
      </c>
      <c r="AF407" s="1">
        <v>253.43</v>
      </c>
      <c r="AG407" s="9">
        <v>0</v>
      </c>
      <c r="AH407" s="9">
        <f t="shared" si="173"/>
        <v>0</v>
      </c>
      <c r="AI407" s="1" t="str">
        <f t="shared" si="174"/>
        <v>OK</v>
      </c>
      <c r="AJ407" s="1">
        <v>760.29</v>
      </c>
      <c r="AK407" s="1">
        <v>497.77</v>
      </c>
      <c r="AL407" s="1">
        <v>262.52</v>
      </c>
      <c r="AM407" s="13">
        <f t="shared" si="175"/>
        <v>760.29</v>
      </c>
      <c r="AN407" s="9">
        <f t="shared" si="176"/>
        <v>262.52</v>
      </c>
      <c r="AO407" s="9">
        <f t="shared" si="185"/>
        <v>0.34528929750489945</v>
      </c>
      <c r="AP407" s="1" t="s">
        <v>33</v>
      </c>
      <c r="AQ407" s="1" t="str">
        <f t="shared" si="177"/>
        <v>Paid</v>
      </c>
      <c r="AR407" s="1" t="str">
        <f t="shared" si="178"/>
        <v>OK</v>
      </c>
      <c r="AS407" s="1" t="s">
        <v>34</v>
      </c>
      <c r="AT407" s="4" t="str">
        <f t="shared" si="179"/>
        <v>Completed</v>
      </c>
      <c r="AU407" s="3" t="str">
        <f t="shared" si="180"/>
        <v>OK</v>
      </c>
      <c r="AV407" s="3" t="str">
        <f t="shared" si="186"/>
        <v>INVALID</v>
      </c>
      <c r="AW407" t="str">
        <f t="shared" si="187"/>
        <v>MATCH</v>
      </c>
      <c r="AX407" t="str">
        <f t="shared" si="188"/>
        <v>MATCH</v>
      </c>
    </row>
    <row r="408" spans="1:50" ht="15.6" hidden="1">
      <c r="A408" s="1" t="s">
        <v>2960</v>
      </c>
      <c r="B408" s="1">
        <f t="shared" si="162"/>
        <v>1</v>
      </c>
      <c r="C408" s="16">
        <v>45308</v>
      </c>
      <c r="D408" s="16">
        <v>45308</v>
      </c>
      <c r="E408" s="16" t="str">
        <f t="shared" si="181"/>
        <v>Jan</v>
      </c>
      <c r="F408" s="1">
        <f t="shared" si="182"/>
        <v>2024</v>
      </c>
      <c r="G408" t="s">
        <v>1771</v>
      </c>
      <c r="H408" s="17">
        <v>45713</v>
      </c>
      <c r="I408" s="21">
        <f t="shared" si="183"/>
        <v>405</v>
      </c>
      <c r="J408" s="6" t="str">
        <f t="shared" si="184"/>
        <v>OK</v>
      </c>
      <c r="K408" s="1" t="s">
        <v>2962</v>
      </c>
      <c r="L408" s="1" t="s">
        <v>334</v>
      </c>
      <c r="M408" s="1" t="str">
        <f t="shared" si="163"/>
        <v>Kabir Singh</v>
      </c>
      <c r="N408" s="1" t="s">
        <v>110</v>
      </c>
      <c r="O408" s="1" t="str">
        <f t="shared" si="164"/>
        <v>Home Office</v>
      </c>
      <c r="P408" s="1" t="s">
        <v>71</v>
      </c>
      <c r="Q408" s="1" t="str">
        <f t="shared" si="165"/>
        <v>West</v>
      </c>
      <c r="R408" s="1" t="str">
        <f t="shared" si="166"/>
        <v>OK</v>
      </c>
      <c r="S408" s="1" t="s">
        <v>218</v>
      </c>
      <c r="T408" s="1" t="str">
        <f t="shared" si="167"/>
        <v>Gujarat</v>
      </c>
      <c r="U408" s="1" t="s">
        <v>219</v>
      </c>
      <c r="V408" s="1" t="str">
        <f t="shared" si="168"/>
        <v>Ahmedabad</v>
      </c>
      <c r="W408" s="1" t="s">
        <v>83</v>
      </c>
      <c r="X408" s="1" t="str">
        <f t="shared" si="169"/>
        <v>Technology</v>
      </c>
      <c r="Y408" s="1" t="s">
        <v>207</v>
      </c>
      <c r="Z408" s="1" t="str">
        <f t="shared" si="170"/>
        <v>Phones</v>
      </c>
      <c r="AA408" s="1" t="s">
        <v>2963</v>
      </c>
      <c r="AB408" s="1" t="s">
        <v>65</v>
      </c>
      <c r="AC408" s="1" t="str">
        <f t="shared" si="171"/>
        <v>Standard Class</v>
      </c>
      <c r="AD408" s="1" t="str">
        <f t="shared" si="172"/>
        <v>OK</v>
      </c>
      <c r="AE408" s="1">
        <v>5</v>
      </c>
      <c r="AF408" s="1">
        <v>2018</v>
      </c>
      <c r="AG408" s="9">
        <v>0.2</v>
      </c>
      <c r="AH408" s="9">
        <f t="shared" si="173"/>
        <v>0.2</v>
      </c>
      <c r="AI408" s="1" t="str">
        <f t="shared" si="174"/>
        <v>OK</v>
      </c>
      <c r="AJ408" s="1">
        <v>8072</v>
      </c>
      <c r="AK408" s="1">
        <v>5379.22</v>
      </c>
      <c r="AL408" s="1">
        <v>2692.78</v>
      </c>
      <c r="AM408" s="13">
        <f t="shared" si="175"/>
        <v>8072</v>
      </c>
      <c r="AN408" s="9">
        <f t="shared" si="176"/>
        <v>2692.7799999999997</v>
      </c>
      <c r="AO408" s="9">
        <f t="shared" si="185"/>
        <v>0.33359514370664023</v>
      </c>
      <c r="AP408" s="1" t="s">
        <v>131</v>
      </c>
      <c r="AQ408" s="1" t="str">
        <f t="shared" si="177"/>
        <v>Pending</v>
      </c>
      <c r="AR408" s="1" t="str">
        <f t="shared" si="178"/>
        <v>OK</v>
      </c>
      <c r="AS408" s="1" t="s">
        <v>120</v>
      </c>
      <c r="AT408" s="4" t="str">
        <f t="shared" si="179"/>
        <v>Returned</v>
      </c>
      <c r="AU408" s="3" t="str">
        <f t="shared" si="180"/>
        <v>RETURNED_ORDER</v>
      </c>
      <c r="AV408" s="3" t="str">
        <f t="shared" si="186"/>
        <v>CLEAN</v>
      </c>
      <c r="AW408" t="str">
        <f t="shared" si="187"/>
        <v>MATCH</v>
      </c>
      <c r="AX408" t="str">
        <f t="shared" si="188"/>
        <v>MATCH</v>
      </c>
    </row>
    <row r="409" spans="1:50" ht="15.6">
      <c r="A409" s="1" t="s">
        <v>2964</v>
      </c>
      <c r="B409" s="1">
        <f t="shared" si="162"/>
        <v>1</v>
      </c>
      <c r="C409" s="16">
        <v>45578</v>
      </c>
      <c r="D409" s="16">
        <v>45578</v>
      </c>
      <c r="E409" s="16" t="str">
        <f t="shared" si="181"/>
        <v>Oct</v>
      </c>
      <c r="F409" s="1">
        <f t="shared" si="182"/>
        <v>2024</v>
      </c>
      <c r="G409" t="s">
        <v>1775</v>
      </c>
      <c r="H409" s="17">
        <v>45425</v>
      </c>
      <c r="I409" s="21">
        <f t="shared" si="183"/>
        <v>-153</v>
      </c>
      <c r="J409" s="6" t="str">
        <f t="shared" si="184"/>
        <v>INVALID_SHIPPING</v>
      </c>
      <c r="K409" s="1" t="s">
        <v>2966</v>
      </c>
      <c r="L409" s="1" t="s">
        <v>153</v>
      </c>
      <c r="M409" s="1" t="str">
        <f t="shared" si="163"/>
        <v>Aarav Sharma</v>
      </c>
      <c r="N409" s="1" t="s">
        <v>40</v>
      </c>
      <c r="O409" s="1" t="str">
        <f t="shared" si="164"/>
        <v>Small Business</v>
      </c>
      <c r="P409" s="1" t="s">
        <v>41</v>
      </c>
      <c r="Q409" s="1" t="str">
        <f t="shared" si="165"/>
        <v>East</v>
      </c>
      <c r="R409" s="1" t="str">
        <f t="shared" si="166"/>
        <v>OK</v>
      </c>
      <c r="S409" s="1" t="s">
        <v>201</v>
      </c>
      <c r="T409" s="1" t="str">
        <f t="shared" si="167"/>
        <v>Assam</v>
      </c>
      <c r="U409" s="1" t="s">
        <v>202</v>
      </c>
      <c r="V409" s="1" t="str">
        <f t="shared" si="168"/>
        <v>Guwahati</v>
      </c>
      <c r="W409" s="1" t="s">
        <v>83</v>
      </c>
      <c r="X409" s="1" t="str">
        <f t="shared" si="169"/>
        <v>Technology</v>
      </c>
      <c r="Y409" s="1" t="s">
        <v>84</v>
      </c>
      <c r="Z409" s="1" t="str">
        <f t="shared" si="170"/>
        <v>Accessories</v>
      </c>
      <c r="AA409" s="1" t="s">
        <v>2967</v>
      </c>
      <c r="AB409" s="1" t="s">
        <v>32</v>
      </c>
      <c r="AC409" s="1" t="str">
        <f t="shared" si="171"/>
        <v>Second Class</v>
      </c>
      <c r="AD409" s="1" t="str">
        <f t="shared" si="172"/>
        <v>OK</v>
      </c>
      <c r="AE409" s="1">
        <v>8</v>
      </c>
      <c r="AF409" s="1">
        <v>3730.66</v>
      </c>
      <c r="AG409" s="9">
        <v>0.05</v>
      </c>
      <c r="AH409" s="9">
        <f t="shared" si="173"/>
        <v>0.05</v>
      </c>
      <c r="AI409" s="1" t="str">
        <f t="shared" si="174"/>
        <v>OK</v>
      </c>
      <c r="AJ409" s="1">
        <v>28353.02</v>
      </c>
      <c r="AK409" s="1">
        <v>19257.849999999999</v>
      </c>
      <c r="AL409" s="1">
        <v>9095.17</v>
      </c>
      <c r="AM409" s="13">
        <f t="shared" si="175"/>
        <v>28353.015999999996</v>
      </c>
      <c r="AN409" s="9">
        <f t="shared" si="176"/>
        <v>9095.1659999999974</v>
      </c>
      <c r="AO409" s="9">
        <f t="shared" si="185"/>
        <v>0.3207830165228277</v>
      </c>
      <c r="AP409" s="1" t="s">
        <v>33</v>
      </c>
      <c r="AQ409" s="1" t="str">
        <f t="shared" si="177"/>
        <v>Paid</v>
      </c>
      <c r="AR409" s="1" t="str">
        <f t="shared" si="178"/>
        <v>OK</v>
      </c>
      <c r="AS409" s="1" t="s">
        <v>34</v>
      </c>
      <c r="AT409" s="4" t="str">
        <f t="shared" si="179"/>
        <v>Completed</v>
      </c>
      <c r="AU409" s="3" t="str">
        <f t="shared" si="180"/>
        <v>OK</v>
      </c>
      <c r="AV409" s="3" t="str">
        <f t="shared" si="186"/>
        <v>INVALID</v>
      </c>
      <c r="AW409" t="str">
        <f t="shared" si="187"/>
        <v>MATCH</v>
      </c>
      <c r="AX409" t="str">
        <f t="shared" si="188"/>
        <v>MATCH</v>
      </c>
    </row>
    <row r="410" spans="1:50" ht="15.6" hidden="1">
      <c r="A410" s="1" t="s">
        <v>2968</v>
      </c>
      <c r="B410" s="1">
        <f t="shared" si="162"/>
        <v>1</v>
      </c>
      <c r="C410" s="16">
        <v>45383</v>
      </c>
      <c r="D410" s="16">
        <v>45383</v>
      </c>
      <c r="E410" s="16" t="str">
        <f t="shared" si="181"/>
        <v>Apr</v>
      </c>
      <c r="F410" s="1">
        <f t="shared" si="182"/>
        <v>2024</v>
      </c>
      <c r="G410" t="s">
        <v>955</v>
      </c>
      <c r="H410" s="17">
        <v>45872</v>
      </c>
      <c r="I410" s="21">
        <f t="shared" si="183"/>
        <v>489</v>
      </c>
      <c r="J410" s="6" t="str">
        <f t="shared" si="184"/>
        <v>OK</v>
      </c>
      <c r="K410" s="1" t="s">
        <v>2969</v>
      </c>
      <c r="L410" s="1" t="s">
        <v>158</v>
      </c>
      <c r="M410" s="1" t="str">
        <f t="shared" si="163"/>
        <v>Sneha Kapoor</v>
      </c>
      <c r="N410" s="1" t="s">
        <v>40</v>
      </c>
      <c r="O410" s="1" t="str">
        <f t="shared" si="164"/>
        <v>Small Business</v>
      </c>
      <c r="P410" s="1" t="s">
        <v>60</v>
      </c>
      <c r="Q410" s="1" t="str">
        <f t="shared" si="165"/>
        <v>South</v>
      </c>
      <c r="R410" s="1" t="str">
        <f t="shared" si="166"/>
        <v>OK</v>
      </c>
      <c r="S410" s="1" t="s">
        <v>212</v>
      </c>
      <c r="T410" s="1" t="str">
        <f t="shared" si="167"/>
        <v>Karnataka</v>
      </c>
      <c r="U410" s="1" t="s">
        <v>213</v>
      </c>
      <c r="V410" s="1" t="str">
        <f t="shared" si="168"/>
        <v>Bengaluru</v>
      </c>
      <c r="W410" s="1" t="s">
        <v>83</v>
      </c>
      <c r="X410" s="1" t="str">
        <f t="shared" si="169"/>
        <v>Technology</v>
      </c>
      <c r="Y410" s="1" t="s">
        <v>347</v>
      </c>
      <c r="Z410" s="1" t="str">
        <f t="shared" si="170"/>
        <v>Machines</v>
      </c>
      <c r="AA410" s="1" t="s">
        <v>2970</v>
      </c>
      <c r="AB410" s="1" t="s">
        <v>55</v>
      </c>
      <c r="AC410" s="1" t="str">
        <f t="shared" si="171"/>
        <v>First Class</v>
      </c>
      <c r="AD410" s="1" t="str">
        <f t="shared" si="172"/>
        <v>OK</v>
      </c>
      <c r="AE410" s="1">
        <v>1</v>
      </c>
      <c r="AF410" s="1">
        <v>2363.02</v>
      </c>
      <c r="AG410" s="9">
        <v>0.15</v>
      </c>
      <c r="AH410" s="9">
        <f t="shared" si="173"/>
        <v>0.15</v>
      </c>
      <c r="AI410" s="1" t="str">
        <f t="shared" si="174"/>
        <v>OK</v>
      </c>
      <c r="AJ410" s="1">
        <v>2008.57</v>
      </c>
      <c r="AK410" s="1">
        <v>1194.83</v>
      </c>
      <c r="AL410" s="1">
        <v>813.74</v>
      </c>
      <c r="AM410" s="13">
        <f t="shared" si="175"/>
        <v>2008.567</v>
      </c>
      <c r="AN410" s="9">
        <f t="shared" si="176"/>
        <v>813.73700000000008</v>
      </c>
      <c r="AO410" s="9">
        <f t="shared" si="185"/>
        <v>0.40513311231340554</v>
      </c>
      <c r="AP410" s="1" t="s">
        <v>33</v>
      </c>
      <c r="AQ410" s="1" t="str">
        <f t="shared" si="177"/>
        <v>Paid</v>
      </c>
      <c r="AR410" s="1" t="str">
        <f t="shared" si="178"/>
        <v>OK</v>
      </c>
      <c r="AS410" s="1" t="s">
        <v>34</v>
      </c>
      <c r="AT410" s="4" t="str">
        <f t="shared" si="179"/>
        <v>Completed</v>
      </c>
      <c r="AU410" s="3" t="str">
        <f t="shared" si="180"/>
        <v>OK</v>
      </c>
      <c r="AV410" s="3" t="str">
        <f t="shared" si="186"/>
        <v>CLEAN</v>
      </c>
      <c r="AW410" t="str">
        <f t="shared" si="187"/>
        <v>MATCH</v>
      </c>
      <c r="AX410" t="str">
        <f t="shared" si="188"/>
        <v>MATCH</v>
      </c>
    </row>
    <row r="411" spans="1:50" ht="15.6" hidden="1">
      <c r="A411" s="1" t="s">
        <v>2978</v>
      </c>
      <c r="B411" s="1">
        <f t="shared" si="162"/>
        <v>1</v>
      </c>
      <c r="C411" s="16">
        <v>45368</v>
      </c>
      <c r="D411" s="16">
        <v>45368</v>
      </c>
      <c r="E411" s="16" t="str">
        <f t="shared" si="181"/>
        <v>Mar</v>
      </c>
      <c r="F411" s="1">
        <f t="shared" si="182"/>
        <v>2024</v>
      </c>
      <c r="G411" t="s">
        <v>688</v>
      </c>
      <c r="H411" s="17">
        <v>45703</v>
      </c>
      <c r="I411" s="21">
        <f t="shared" si="183"/>
        <v>335</v>
      </c>
      <c r="J411" s="6" t="str">
        <f t="shared" si="184"/>
        <v>OK</v>
      </c>
      <c r="K411" s="1" t="s">
        <v>2980</v>
      </c>
      <c r="L411" s="1" t="s">
        <v>70</v>
      </c>
      <c r="M411" s="1" t="str">
        <f t="shared" si="163"/>
        <v>Ananya Rao</v>
      </c>
      <c r="N411" s="1" t="s">
        <v>104</v>
      </c>
      <c r="O411" s="1" t="str">
        <f t="shared" si="164"/>
        <v>Corporate</v>
      </c>
      <c r="P411" s="1" t="s">
        <v>41</v>
      </c>
      <c r="Q411" s="1" t="str">
        <f t="shared" si="165"/>
        <v>East</v>
      </c>
      <c r="R411" s="1" t="str">
        <f t="shared" si="166"/>
        <v>OK</v>
      </c>
      <c r="S411" s="1" t="s">
        <v>42</v>
      </c>
      <c r="T411" s="1" t="str">
        <f t="shared" si="167"/>
        <v>Odisha</v>
      </c>
      <c r="U411" s="1" t="s">
        <v>43</v>
      </c>
      <c r="V411" s="1" t="str">
        <f t="shared" si="168"/>
        <v>Bhubaneswar</v>
      </c>
      <c r="W411" s="1" t="s">
        <v>29</v>
      </c>
      <c r="X411" s="1" t="str">
        <f t="shared" si="169"/>
        <v>Office Supplies</v>
      </c>
      <c r="Y411" s="1" t="s">
        <v>184</v>
      </c>
      <c r="Z411" s="1" t="str">
        <f t="shared" si="170"/>
        <v>Binders</v>
      </c>
      <c r="AA411" s="1" t="s">
        <v>2981</v>
      </c>
      <c r="AB411" s="1" t="s">
        <v>55</v>
      </c>
      <c r="AC411" s="1" t="str">
        <f t="shared" si="171"/>
        <v>First Class</v>
      </c>
      <c r="AD411" s="1" t="str">
        <f t="shared" si="172"/>
        <v>OK</v>
      </c>
      <c r="AE411" s="1">
        <v>4</v>
      </c>
      <c r="AF411" s="1">
        <v>4376.68</v>
      </c>
      <c r="AG411" s="9">
        <v>0.1</v>
      </c>
      <c r="AH411" s="9">
        <f t="shared" si="173"/>
        <v>0.1</v>
      </c>
      <c r="AI411" s="1" t="str">
        <f t="shared" si="174"/>
        <v>OK</v>
      </c>
      <c r="AJ411" s="1">
        <v>15756.05</v>
      </c>
      <c r="AK411" s="1">
        <v>10245.44</v>
      </c>
      <c r="AL411" s="1">
        <v>5510.61</v>
      </c>
      <c r="AM411" s="13">
        <f t="shared" si="175"/>
        <v>15756.048000000001</v>
      </c>
      <c r="AN411" s="9">
        <f t="shared" si="176"/>
        <v>5510.6080000000002</v>
      </c>
      <c r="AO411" s="9">
        <f t="shared" si="185"/>
        <v>0.3497455707167178</v>
      </c>
      <c r="AP411" s="1" t="s">
        <v>33</v>
      </c>
      <c r="AQ411" s="1" t="str">
        <f t="shared" si="177"/>
        <v>Paid</v>
      </c>
      <c r="AR411" s="1" t="str">
        <f t="shared" si="178"/>
        <v>OK</v>
      </c>
      <c r="AS411" s="1" t="s">
        <v>34</v>
      </c>
      <c r="AT411" s="4" t="str">
        <f t="shared" si="179"/>
        <v>Completed</v>
      </c>
      <c r="AU411" s="3" t="str">
        <f t="shared" si="180"/>
        <v>OK</v>
      </c>
      <c r="AV411" s="3" t="str">
        <f t="shared" si="186"/>
        <v>CLEAN</v>
      </c>
      <c r="AW411" t="str">
        <f t="shared" si="187"/>
        <v>MATCH</v>
      </c>
      <c r="AX411" t="str">
        <f t="shared" si="188"/>
        <v>MATCH</v>
      </c>
    </row>
    <row r="412" spans="1:50" ht="15.6">
      <c r="A412" s="1" t="s">
        <v>2982</v>
      </c>
      <c r="B412" s="1">
        <f t="shared" si="162"/>
        <v>1</v>
      </c>
      <c r="C412" s="16">
        <v>45624</v>
      </c>
      <c r="D412" s="16">
        <v>45624</v>
      </c>
      <c r="E412" s="16" t="str">
        <f t="shared" si="181"/>
        <v>Nov</v>
      </c>
      <c r="F412" s="1">
        <f t="shared" si="182"/>
        <v>2024</v>
      </c>
      <c r="G412" t="s">
        <v>1785</v>
      </c>
      <c r="H412" s="17">
        <v>45402</v>
      </c>
      <c r="I412" s="21">
        <f t="shared" si="183"/>
        <v>-222</v>
      </c>
      <c r="J412" s="6" t="str">
        <f t="shared" si="184"/>
        <v>INVALID_SHIPPING</v>
      </c>
      <c r="K412" s="1" t="s">
        <v>2983</v>
      </c>
      <c r="L412" s="1" t="s">
        <v>59</v>
      </c>
      <c r="M412" s="1" t="str">
        <f t="shared" si="163"/>
        <v>Arjun Bose</v>
      </c>
      <c r="N412" s="1" t="s">
        <v>40</v>
      </c>
      <c r="O412" s="1" t="str">
        <f t="shared" si="164"/>
        <v>Small Business</v>
      </c>
      <c r="P412" s="1" t="s">
        <v>26</v>
      </c>
      <c r="Q412" s="1" t="str">
        <f t="shared" si="165"/>
        <v>North</v>
      </c>
      <c r="R412" s="1" t="str">
        <f t="shared" si="166"/>
        <v>OK</v>
      </c>
      <c r="S412" s="1" t="s">
        <v>146</v>
      </c>
      <c r="T412" s="1" t="str">
        <f t="shared" si="167"/>
        <v>Punjab</v>
      </c>
      <c r="U412" s="1" t="s">
        <v>147</v>
      </c>
      <c r="V412" s="1" t="str">
        <f t="shared" si="168"/>
        <v>Ludhiana</v>
      </c>
      <c r="W412" s="1" t="s">
        <v>83</v>
      </c>
      <c r="X412" s="1" t="str">
        <f t="shared" si="169"/>
        <v>Technology</v>
      </c>
      <c r="Y412" s="1" t="s">
        <v>207</v>
      </c>
      <c r="Z412" s="1" t="str">
        <f t="shared" si="170"/>
        <v>Phones</v>
      </c>
      <c r="AA412" s="1" t="s">
        <v>2984</v>
      </c>
      <c r="AB412" s="1" t="s">
        <v>65</v>
      </c>
      <c r="AC412" s="1" t="str">
        <f t="shared" si="171"/>
        <v>Standard Class</v>
      </c>
      <c r="AD412" s="1" t="str">
        <f t="shared" si="172"/>
        <v>OK</v>
      </c>
      <c r="AE412" s="1">
        <v>6</v>
      </c>
      <c r="AF412" s="1">
        <v>2464.63</v>
      </c>
      <c r="AG412" s="9">
        <v>0</v>
      </c>
      <c r="AH412" s="9">
        <f t="shared" si="173"/>
        <v>0</v>
      </c>
      <c r="AI412" s="1" t="str">
        <f t="shared" si="174"/>
        <v>OK</v>
      </c>
      <c r="AJ412" s="1">
        <v>14787.78</v>
      </c>
      <c r="AK412" s="1">
        <v>8596.65</v>
      </c>
      <c r="AL412" s="1">
        <v>6191.13</v>
      </c>
      <c r="AM412" s="13">
        <f t="shared" si="175"/>
        <v>14787.78</v>
      </c>
      <c r="AN412" s="9">
        <f t="shared" si="176"/>
        <v>6191.130000000001</v>
      </c>
      <c r="AO412" s="9">
        <f t="shared" si="185"/>
        <v>0.41866527632950995</v>
      </c>
      <c r="AP412" s="1" t="s">
        <v>33</v>
      </c>
      <c r="AQ412" s="1" t="str">
        <f t="shared" si="177"/>
        <v>Paid</v>
      </c>
      <c r="AR412" s="1" t="str">
        <f t="shared" si="178"/>
        <v>OK</v>
      </c>
      <c r="AS412" s="1" t="s">
        <v>34</v>
      </c>
      <c r="AT412" s="4" t="str">
        <f t="shared" si="179"/>
        <v>Completed</v>
      </c>
      <c r="AU412" s="3" t="str">
        <f t="shared" si="180"/>
        <v>OK</v>
      </c>
      <c r="AV412" s="3" t="str">
        <f t="shared" si="186"/>
        <v>INVALID</v>
      </c>
      <c r="AW412" t="str">
        <f t="shared" si="187"/>
        <v>MATCH</v>
      </c>
      <c r="AX412" t="str">
        <f t="shared" si="188"/>
        <v>MATCH</v>
      </c>
    </row>
    <row r="413" spans="1:50" ht="15.6" hidden="1">
      <c r="A413" s="1" t="s">
        <v>2985</v>
      </c>
      <c r="B413" s="1">
        <f t="shared" si="162"/>
        <v>1</v>
      </c>
      <c r="C413" s="16">
        <v>45464</v>
      </c>
      <c r="D413" s="16">
        <v>45464</v>
      </c>
      <c r="E413" s="16" t="str">
        <f t="shared" si="181"/>
        <v>Jun</v>
      </c>
      <c r="F413" s="1">
        <f t="shared" si="182"/>
        <v>2024</v>
      </c>
      <c r="G413" t="s">
        <v>1789</v>
      </c>
      <c r="H413" s="17">
        <v>45897</v>
      </c>
      <c r="I413" s="21">
        <f t="shared" si="183"/>
        <v>433</v>
      </c>
      <c r="J413" s="6" t="str">
        <f t="shared" si="184"/>
        <v>OK</v>
      </c>
      <c r="K413" s="1" t="s">
        <v>2987</v>
      </c>
      <c r="L413" s="1" t="s">
        <v>153</v>
      </c>
      <c r="M413" s="1" t="str">
        <f t="shared" si="163"/>
        <v>Aarav Sharma</v>
      </c>
      <c r="N413" s="1" t="s">
        <v>110</v>
      </c>
      <c r="O413" s="1" t="str">
        <f t="shared" si="164"/>
        <v>Home Office</v>
      </c>
      <c r="P413" s="1" t="s">
        <v>26</v>
      </c>
      <c r="Q413" s="1" t="str">
        <f t="shared" si="165"/>
        <v>North</v>
      </c>
      <c r="R413" s="1" t="str">
        <f t="shared" si="166"/>
        <v>OK</v>
      </c>
      <c r="S413" s="1" t="s">
        <v>27</v>
      </c>
      <c r="T413" s="1" t="str">
        <f t="shared" si="167"/>
        <v>Rajasthan</v>
      </c>
      <c r="U413" s="1" t="s">
        <v>28</v>
      </c>
      <c r="V413" s="1" t="str">
        <f t="shared" si="168"/>
        <v>Jaipur</v>
      </c>
      <c r="W413" s="1" t="s">
        <v>44</v>
      </c>
      <c r="X413" s="1" t="str">
        <f t="shared" si="169"/>
        <v>Furniture</v>
      </c>
      <c r="Y413" s="1" t="s">
        <v>63</v>
      </c>
      <c r="Z413" s="1" t="str">
        <f t="shared" si="170"/>
        <v>Furnishings</v>
      </c>
      <c r="AA413" s="1" t="s">
        <v>2988</v>
      </c>
      <c r="AB413" s="1" t="s">
        <v>55</v>
      </c>
      <c r="AC413" s="1" t="str">
        <f t="shared" si="171"/>
        <v>First Class</v>
      </c>
      <c r="AD413" s="1" t="str">
        <f t="shared" si="172"/>
        <v>OK</v>
      </c>
      <c r="AE413" s="1">
        <v>9</v>
      </c>
      <c r="AF413" s="1">
        <v>2797.96</v>
      </c>
      <c r="AG413" s="9">
        <v>0</v>
      </c>
      <c r="AH413" s="9">
        <f t="shared" si="173"/>
        <v>0</v>
      </c>
      <c r="AI413" s="1" t="str">
        <f t="shared" si="174"/>
        <v>OK</v>
      </c>
      <c r="AJ413" s="1">
        <v>25181.64</v>
      </c>
      <c r="AK413" s="1">
        <v>15337.9</v>
      </c>
      <c r="AL413" s="1">
        <v>9843.74</v>
      </c>
      <c r="AM413" s="13">
        <f t="shared" si="175"/>
        <v>25181.64</v>
      </c>
      <c r="AN413" s="9">
        <f t="shared" si="176"/>
        <v>9843.74</v>
      </c>
      <c r="AO413" s="9">
        <f t="shared" si="185"/>
        <v>0.39090940860086953</v>
      </c>
      <c r="AP413" s="1" t="s">
        <v>33</v>
      </c>
      <c r="AQ413" s="1" t="str">
        <f t="shared" si="177"/>
        <v>Paid</v>
      </c>
      <c r="AR413" s="1" t="str">
        <f t="shared" si="178"/>
        <v>OK</v>
      </c>
      <c r="AS413" s="1" t="s">
        <v>34</v>
      </c>
      <c r="AT413" s="4" t="str">
        <f t="shared" si="179"/>
        <v>Completed</v>
      </c>
      <c r="AU413" s="3" t="str">
        <f t="shared" si="180"/>
        <v>OK</v>
      </c>
      <c r="AV413" s="3" t="str">
        <f t="shared" si="186"/>
        <v>CLEAN</v>
      </c>
      <c r="AW413" t="str">
        <f t="shared" si="187"/>
        <v>MATCH</v>
      </c>
      <c r="AX413" t="str">
        <f t="shared" si="188"/>
        <v>MATCH</v>
      </c>
    </row>
    <row r="414" spans="1:50" ht="15.6">
      <c r="A414" s="1" t="s">
        <v>2989</v>
      </c>
      <c r="B414" s="1">
        <f t="shared" si="162"/>
        <v>1</v>
      </c>
      <c r="C414" s="16">
        <v>45528</v>
      </c>
      <c r="D414" s="16">
        <v>45528</v>
      </c>
      <c r="E414" s="16" t="str">
        <f t="shared" si="181"/>
        <v>Aug</v>
      </c>
      <c r="F414" s="1">
        <f t="shared" si="182"/>
        <v>2024</v>
      </c>
      <c r="G414" t="s">
        <v>742</v>
      </c>
      <c r="H414" s="17">
        <v>45321</v>
      </c>
      <c r="I414" s="21">
        <f t="shared" si="183"/>
        <v>-207</v>
      </c>
      <c r="J414" s="6" t="str">
        <f t="shared" si="184"/>
        <v>INVALID_SHIPPING</v>
      </c>
      <c r="K414" s="1" t="s">
        <v>2991</v>
      </c>
      <c r="L414" s="1" t="s">
        <v>70</v>
      </c>
      <c r="M414" s="1" t="str">
        <f t="shared" si="163"/>
        <v>Ananya Rao</v>
      </c>
      <c r="N414" s="1" t="s">
        <v>40</v>
      </c>
      <c r="O414" s="1" t="str">
        <f t="shared" si="164"/>
        <v>Small Business</v>
      </c>
      <c r="P414" s="1" t="s">
        <v>26</v>
      </c>
      <c r="Q414" s="1" t="str">
        <f t="shared" si="165"/>
        <v>North</v>
      </c>
      <c r="R414" s="1" t="str">
        <f t="shared" si="166"/>
        <v>OK</v>
      </c>
      <c r="S414" s="1" t="s">
        <v>27</v>
      </c>
      <c r="T414" s="1" t="str">
        <f t="shared" si="167"/>
        <v>Rajasthan</v>
      </c>
      <c r="U414" s="1" t="s">
        <v>28</v>
      </c>
      <c r="V414" s="1" t="str">
        <f t="shared" si="168"/>
        <v>Jaipur</v>
      </c>
      <c r="W414" s="1" t="s">
        <v>83</v>
      </c>
      <c r="X414" s="1" t="str">
        <f t="shared" si="169"/>
        <v>Technology</v>
      </c>
      <c r="Y414" s="1" t="s">
        <v>84</v>
      </c>
      <c r="Z414" s="1" t="str">
        <f t="shared" si="170"/>
        <v>Accessories</v>
      </c>
      <c r="AA414" s="1" t="s">
        <v>2992</v>
      </c>
      <c r="AB414" s="1" t="s">
        <v>55</v>
      </c>
      <c r="AC414" s="1" t="str">
        <f t="shared" si="171"/>
        <v>First Class</v>
      </c>
      <c r="AD414" s="1" t="str">
        <f t="shared" si="172"/>
        <v>OK</v>
      </c>
      <c r="AE414" s="1">
        <v>4</v>
      </c>
      <c r="AF414" s="1">
        <v>2761.86</v>
      </c>
      <c r="AG414" s="9">
        <v>0.2</v>
      </c>
      <c r="AH414" s="9">
        <f t="shared" si="173"/>
        <v>0.2</v>
      </c>
      <c r="AI414" s="1" t="str">
        <f t="shared" si="174"/>
        <v>OK</v>
      </c>
      <c r="AJ414" s="1">
        <v>8837.9500000000007</v>
      </c>
      <c r="AK414" s="1">
        <v>6157.27</v>
      </c>
      <c r="AL414" s="1">
        <v>2680.68</v>
      </c>
      <c r="AM414" s="13">
        <f t="shared" si="175"/>
        <v>8837.9520000000011</v>
      </c>
      <c r="AN414" s="9">
        <f t="shared" si="176"/>
        <v>2680.6820000000007</v>
      </c>
      <c r="AO414" s="9">
        <f t="shared" si="185"/>
        <v>0.30331484036120587</v>
      </c>
      <c r="AP414" s="1" t="s">
        <v>33</v>
      </c>
      <c r="AQ414" s="1" t="str">
        <f t="shared" si="177"/>
        <v>Paid</v>
      </c>
      <c r="AR414" s="1" t="str">
        <f t="shared" si="178"/>
        <v>OK</v>
      </c>
      <c r="AS414" s="1" t="s">
        <v>34</v>
      </c>
      <c r="AT414" s="4" t="str">
        <f t="shared" si="179"/>
        <v>Completed</v>
      </c>
      <c r="AU414" s="3" t="str">
        <f t="shared" si="180"/>
        <v>OK</v>
      </c>
      <c r="AV414" s="3" t="str">
        <f t="shared" si="186"/>
        <v>INVALID</v>
      </c>
      <c r="AW414" t="str">
        <f t="shared" si="187"/>
        <v>MATCH</v>
      </c>
      <c r="AX414" t="str">
        <f t="shared" si="188"/>
        <v>MATCH</v>
      </c>
    </row>
    <row r="415" spans="1:50" ht="15.6" hidden="1">
      <c r="A415" s="1" t="s">
        <v>2993</v>
      </c>
      <c r="B415" s="1">
        <f t="shared" si="162"/>
        <v>1</v>
      </c>
      <c r="C415" s="16">
        <v>45604</v>
      </c>
      <c r="D415" s="16">
        <v>45604</v>
      </c>
      <c r="E415" s="16" t="str">
        <f t="shared" si="181"/>
        <v>Nov</v>
      </c>
      <c r="F415" s="1">
        <f t="shared" si="182"/>
        <v>2024</v>
      </c>
      <c r="G415" t="s">
        <v>1797</v>
      </c>
      <c r="H415" s="17">
        <v>45886</v>
      </c>
      <c r="I415" s="21">
        <f t="shared" si="183"/>
        <v>282</v>
      </c>
      <c r="J415" s="6" t="str">
        <f t="shared" si="184"/>
        <v>OK</v>
      </c>
      <c r="K415" s="1" t="s">
        <v>2994</v>
      </c>
      <c r="L415" s="1" t="s">
        <v>39</v>
      </c>
      <c r="M415" s="1" t="str">
        <f t="shared" si="163"/>
        <v>Mira Das</v>
      </c>
      <c r="N415" s="1" t="s">
        <v>25</v>
      </c>
      <c r="O415" s="1" t="str">
        <f t="shared" si="164"/>
        <v>Consumer</v>
      </c>
      <c r="P415" s="1" t="s">
        <v>71</v>
      </c>
      <c r="Q415" s="1" t="str">
        <f t="shared" si="165"/>
        <v>West</v>
      </c>
      <c r="R415" s="1" t="str">
        <f t="shared" si="166"/>
        <v>OK</v>
      </c>
      <c r="S415" s="1" t="s">
        <v>72</v>
      </c>
      <c r="T415" s="1" t="str">
        <f t="shared" si="167"/>
        <v>Maharashtra</v>
      </c>
      <c r="U415" s="1" t="s">
        <v>73</v>
      </c>
      <c r="V415" s="1" t="str">
        <f t="shared" si="168"/>
        <v>Mumbai</v>
      </c>
      <c r="W415" s="1" t="s">
        <v>44</v>
      </c>
      <c r="X415" s="1" t="str">
        <f t="shared" si="169"/>
        <v>Furniture</v>
      </c>
      <c r="Y415" s="1" t="s">
        <v>45</v>
      </c>
      <c r="Z415" s="1" t="str">
        <f t="shared" si="170"/>
        <v>Tables</v>
      </c>
      <c r="AA415" s="1" t="s">
        <v>2995</v>
      </c>
      <c r="AB415" s="1" t="s">
        <v>65</v>
      </c>
      <c r="AC415" s="1" t="str">
        <f t="shared" si="171"/>
        <v>Standard Class</v>
      </c>
      <c r="AD415" s="1" t="str">
        <f t="shared" si="172"/>
        <v>OK</v>
      </c>
      <c r="AE415" s="1">
        <v>6</v>
      </c>
      <c r="AF415" s="1">
        <v>1515.79</v>
      </c>
      <c r="AG415" s="9">
        <v>0.2</v>
      </c>
      <c r="AH415" s="9">
        <f t="shared" si="173"/>
        <v>0.2</v>
      </c>
      <c r="AI415" s="1" t="str">
        <f t="shared" si="174"/>
        <v>OK</v>
      </c>
      <c r="AJ415" s="1">
        <v>7275.79</v>
      </c>
      <c r="AK415" s="1">
        <v>6152.87</v>
      </c>
      <c r="AL415" s="1">
        <v>1122.92</v>
      </c>
      <c r="AM415" s="13">
        <f t="shared" si="175"/>
        <v>7275.7920000000004</v>
      </c>
      <c r="AN415" s="9">
        <f t="shared" si="176"/>
        <v>1122.9220000000005</v>
      </c>
      <c r="AO415" s="9">
        <f t="shared" si="185"/>
        <v>0.15433673749881804</v>
      </c>
      <c r="AP415" s="1" t="s">
        <v>33</v>
      </c>
      <c r="AQ415" s="1" t="str">
        <f t="shared" si="177"/>
        <v>Paid</v>
      </c>
      <c r="AR415" s="1" t="str">
        <f t="shared" si="178"/>
        <v>OK</v>
      </c>
      <c r="AS415" s="1" t="s">
        <v>34</v>
      </c>
      <c r="AT415" s="4" t="str">
        <f t="shared" si="179"/>
        <v>Completed</v>
      </c>
      <c r="AU415" s="3" t="str">
        <f t="shared" si="180"/>
        <v>OK</v>
      </c>
      <c r="AV415" s="3" t="str">
        <f t="shared" si="186"/>
        <v>CLEAN</v>
      </c>
      <c r="AW415" t="str">
        <f t="shared" si="187"/>
        <v>MATCH</v>
      </c>
      <c r="AX415" t="str">
        <f t="shared" si="188"/>
        <v>MATCH</v>
      </c>
    </row>
    <row r="416" spans="1:50" ht="15.6" hidden="1">
      <c r="A416" s="1" t="s">
        <v>2996</v>
      </c>
      <c r="B416" s="1">
        <f t="shared" si="162"/>
        <v>1</v>
      </c>
      <c r="C416" s="16">
        <v>45455</v>
      </c>
      <c r="D416" s="16">
        <v>45455</v>
      </c>
      <c r="E416" s="16" t="str">
        <f t="shared" si="181"/>
        <v>Jun</v>
      </c>
      <c r="F416" s="1">
        <f t="shared" si="182"/>
        <v>2024</v>
      </c>
      <c r="G416" t="s">
        <v>1801</v>
      </c>
      <c r="H416" s="17">
        <v>45534</v>
      </c>
      <c r="I416" s="21">
        <f t="shared" si="183"/>
        <v>79</v>
      </c>
      <c r="J416" s="6" t="str">
        <f t="shared" si="184"/>
        <v>OK</v>
      </c>
      <c r="K416" s="1" t="s">
        <v>2998</v>
      </c>
      <c r="L416" s="1" t="s">
        <v>103</v>
      </c>
      <c r="M416" s="1" t="str">
        <f t="shared" si="163"/>
        <v>Aditi Sen</v>
      </c>
      <c r="N416" s="1" t="s">
        <v>25</v>
      </c>
      <c r="O416" s="1" t="str">
        <f t="shared" si="164"/>
        <v>Consumer</v>
      </c>
      <c r="P416" s="1" t="s">
        <v>71</v>
      </c>
      <c r="Q416" s="1" t="str">
        <f t="shared" si="165"/>
        <v>West</v>
      </c>
      <c r="R416" s="1" t="str">
        <f t="shared" si="166"/>
        <v>OK</v>
      </c>
      <c r="S416" s="1" t="s">
        <v>72</v>
      </c>
      <c r="T416" s="1" t="str">
        <f t="shared" si="167"/>
        <v>Maharashtra</v>
      </c>
      <c r="U416" s="1" t="s">
        <v>73</v>
      </c>
      <c r="V416" s="1" t="str">
        <f t="shared" si="168"/>
        <v>Mumbai</v>
      </c>
      <c r="W416" s="1" t="s">
        <v>44</v>
      </c>
      <c r="X416" s="1" t="str">
        <f t="shared" si="169"/>
        <v>Furniture</v>
      </c>
      <c r="Y416" s="1" t="s">
        <v>74</v>
      </c>
      <c r="Z416" s="1" t="str">
        <f t="shared" si="170"/>
        <v>Chairs</v>
      </c>
      <c r="AA416" s="1" t="s">
        <v>2999</v>
      </c>
      <c r="AB416" s="1" t="s">
        <v>32</v>
      </c>
      <c r="AC416" s="1" t="str">
        <f t="shared" si="171"/>
        <v>Second Class</v>
      </c>
      <c r="AD416" s="1" t="str">
        <f t="shared" si="172"/>
        <v>OK</v>
      </c>
      <c r="AE416" s="1">
        <v>9</v>
      </c>
      <c r="AF416" s="1">
        <v>290.75</v>
      </c>
      <c r="AG416" s="9">
        <v>0.1</v>
      </c>
      <c r="AH416" s="9">
        <f t="shared" si="173"/>
        <v>0.1</v>
      </c>
      <c r="AI416" s="1" t="str">
        <f t="shared" si="174"/>
        <v>OK</v>
      </c>
      <c r="AJ416" s="1">
        <v>2355.08</v>
      </c>
      <c r="AK416" s="1">
        <v>1350.03</v>
      </c>
      <c r="AL416" s="1">
        <v>1005.05</v>
      </c>
      <c r="AM416" s="13">
        <f t="shared" si="175"/>
        <v>2355.0750000000003</v>
      </c>
      <c r="AN416" s="9">
        <f t="shared" si="176"/>
        <v>1005.0450000000003</v>
      </c>
      <c r="AO416" s="9">
        <f t="shared" si="185"/>
        <v>0.42675710964618968</v>
      </c>
      <c r="AP416" s="1" t="s">
        <v>33</v>
      </c>
      <c r="AQ416" s="1" t="str">
        <f t="shared" si="177"/>
        <v>Paid</v>
      </c>
      <c r="AR416" s="1" t="str">
        <f t="shared" si="178"/>
        <v>OK</v>
      </c>
      <c r="AS416" s="1" t="s">
        <v>34</v>
      </c>
      <c r="AT416" s="4" t="str">
        <f t="shared" si="179"/>
        <v>Completed</v>
      </c>
      <c r="AU416" s="3" t="str">
        <f t="shared" si="180"/>
        <v>OK</v>
      </c>
      <c r="AV416" s="3" t="str">
        <f t="shared" si="186"/>
        <v>CLEAN</v>
      </c>
      <c r="AW416" t="str">
        <f t="shared" si="187"/>
        <v>MATCH</v>
      </c>
      <c r="AX416" t="str">
        <f t="shared" si="188"/>
        <v>MATCH</v>
      </c>
    </row>
    <row r="417" spans="1:50" ht="15.6">
      <c r="A417" s="1" t="s">
        <v>3000</v>
      </c>
      <c r="B417" s="1">
        <f t="shared" si="162"/>
        <v>1</v>
      </c>
      <c r="C417" s="16">
        <v>45567</v>
      </c>
      <c r="D417" s="16">
        <v>45567</v>
      </c>
      <c r="E417" s="16" t="str">
        <f t="shared" si="181"/>
        <v>Oct</v>
      </c>
      <c r="F417" s="1">
        <f t="shared" si="182"/>
        <v>2024</v>
      </c>
      <c r="G417" t="s">
        <v>1762</v>
      </c>
      <c r="H417" s="17">
        <v>45318</v>
      </c>
      <c r="I417" s="21">
        <f t="shared" si="183"/>
        <v>-249</v>
      </c>
      <c r="J417" s="6" t="str">
        <f t="shared" si="184"/>
        <v>INVALID_SHIPPING</v>
      </c>
      <c r="K417" s="1" t="s">
        <v>3001</v>
      </c>
      <c r="L417" s="1" t="s">
        <v>52</v>
      </c>
      <c r="M417" s="1" t="str">
        <f t="shared" si="163"/>
        <v>Isha Nair</v>
      </c>
      <c r="N417" s="1" t="s">
        <v>110</v>
      </c>
      <c r="O417" s="1" t="str">
        <f t="shared" si="164"/>
        <v>Home Office</v>
      </c>
      <c r="P417" s="1" t="s">
        <v>71</v>
      </c>
      <c r="Q417" s="1" t="str">
        <f t="shared" si="165"/>
        <v>West</v>
      </c>
      <c r="R417" s="1" t="str">
        <f t="shared" si="166"/>
        <v>OK</v>
      </c>
      <c r="S417" s="1" t="s">
        <v>72</v>
      </c>
      <c r="T417" s="1" t="str">
        <f t="shared" si="167"/>
        <v>Maharashtra</v>
      </c>
      <c r="U417" s="1" t="s">
        <v>73</v>
      </c>
      <c r="V417" s="1" t="str">
        <f t="shared" si="168"/>
        <v>Mumbai</v>
      </c>
      <c r="W417" s="1" t="s">
        <v>44</v>
      </c>
      <c r="X417" s="1" t="str">
        <f t="shared" si="169"/>
        <v>Furniture</v>
      </c>
      <c r="Y417" s="1" t="s">
        <v>74</v>
      </c>
      <c r="Z417" s="1" t="str">
        <f t="shared" si="170"/>
        <v>Chairs</v>
      </c>
      <c r="AA417" s="1" t="s">
        <v>3002</v>
      </c>
      <c r="AB417" s="1" t="s">
        <v>47</v>
      </c>
      <c r="AC417" s="1" t="str">
        <f t="shared" si="171"/>
        <v>Same Day</v>
      </c>
      <c r="AD417" s="1" t="str">
        <f t="shared" si="172"/>
        <v>OK</v>
      </c>
      <c r="AE417" s="1">
        <v>6</v>
      </c>
      <c r="AF417" s="1">
        <v>601.52</v>
      </c>
      <c r="AG417" s="9">
        <v>0</v>
      </c>
      <c r="AH417" s="9">
        <f t="shared" si="173"/>
        <v>0</v>
      </c>
      <c r="AI417" s="1" t="str">
        <f t="shared" si="174"/>
        <v>OK</v>
      </c>
      <c r="AJ417" s="1">
        <v>3609.12</v>
      </c>
      <c r="AK417" s="1">
        <v>2645.5</v>
      </c>
      <c r="AL417" s="1">
        <v>963.62</v>
      </c>
      <c r="AM417" s="13">
        <f t="shared" si="175"/>
        <v>3609.12</v>
      </c>
      <c r="AN417" s="9">
        <f t="shared" si="176"/>
        <v>963.61999999999989</v>
      </c>
      <c r="AO417" s="9">
        <f t="shared" si="185"/>
        <v>0.2669958327791816</v>
      </c>
      <c r="AP417" s="1" t="s">
        <v>33</v>
      </c>
      <c r="AQ417" s="1" t="str">
        <f t="shared" si="177"/>
        <v>Paid</v>
      </c>
      <c r="AR417" s="1" t="str">
        <f t="shared" si="178"/>
        <v>OK</v>
      </c>
      <c r="AS417" s="1" t="s">
        <v>34</v>
      </c>
      <c r="AT417" s="4" t="str">
        <f t="shared" si="179"/>
        <v>Completed</v>
      </c>
      <c r="AU417" s="3" t="str">
        <f t="shared" si="180"/>
        <v>OK</v>
      </c>
      <c r="AV417" s="3" t="str">
        <f t="shared" si="186"/>
        <v>INVALID</v>
      </c>
      <c r="AW417" t="str">
        <f t="shared" si="187"/>
        <v>MATCH</v>
      </c>
      <c r="AX417" t="str">
        <f t="shared" si="188"/>
        <v>MATCH</v>
      </c>
    </row>
    <row r="418" spans="1:50" ht="15.6" hidden="1">
      <c r="A418" s="1" t="s">
        <v>3007</v>
      </c>
      <c r="B418" s="1">
        <f t="shared" si="162"/>
        <v>1</v>
      </c>
      <c r="C418" s="16">
        <v>45363</v>
      </c>
      <c r="D418" s="16">
        <v>45363</v>
      </c>
      <c r="E418" s="16" t="str">
        <f t="shared" si="181"/>
        <v>Mar</v>
      </c>
      <c r="F418" s="1">
        <f t="shared" si="182"/>
        <v>2024</v>
      </c>
      <c r="G418" t="s">
        <v>1809</v>
      </c>
      <c r="H418" s="17">
        <v>45673</v>
      </c>
      <c r="I418" s="21">
        <f t="shared" si="183"/>
        <v>310</v>
      </c>
      <c r="J418" s="6" t="str">
        <f t="shared" si="184"/>
        <v>OK</v>
      </c>
      <c r="K418" s="1" t="s">
        <v>3009</v>
      </c>
      <c r="L418" s="1" t="s">
        <v>90</v>
      </c>
      <c r="M418" s="1" t="str">
        <f t="shared" si="163"/>
        <v>Neha Gupta</v>
      </c>
      <c r="N418" s="1" t="s">
        <v>104</v>
      </c>
      <c r="O418" s="1" t="str">
        <f t="shared" si="164"/>
        <v>Corporate</v>
      </c>
      <c r="P418" s="1" t="s">
        <v>26</v>
      </c>
      <c r="Q418" s="1" t="str">
        <f t="shared" si="165"/>
        <v>North</v>
      </c>
      <c r="R418" s="1" t="str">
        <f t="shared" si="166"/>
        <v>OK</v>
      </c>
      <c r="S418" s="1" t="s">
        <v>27</v>
      </c>
      <c r="T418" s="1" t="str">
        <f t="shared" si="167"/>
        <v>Rajasthan</v>
      </c>
      <c r="U418" s="1" t="s">
        <v>28</v>
      </c>
      <c r="V418" s="1" t="str">
        <f t="shared" si="168"/>
        <v>Jaipur</v>
      </c>
      <c r="W418" s="1" t="s">
        <v>83</v>
      </c>
      <c r="X418" s="1" t="str">
        <f t="shared" si="169"/>
        <v>Technology</v>
      </c>
      <c r="Y418" s="1" t="s">
        <v>207</v>
      </c>
      <c r="Z418" s="1" t="str">
        <f t="shared" si="170"/>
        <v>Phones</v>
      </c>
      <c r="AA418" s="1" t="s">
        <v>3010</v>
      </c>
      <c r="AB418" s="1" t="s">
        <v>65</v>
      </c>
      <c r="AC418" s="1" t="str">
        <f t="shared" si="171"/>
        <v>Standard Class</v>
      </c>
      <c r="AD418" s="1" t="str">
        <f t="shared" si="172"/>
        <v>OK</v>
      </c>
      <c r="AE418" s="1">
        <v>5</v>
      </c>
      <c r="AF418" s="1">
        <v>2393.86</v>
      </c>
      <c r="AG418" s="9">
        <v>0.05</v>
      </c>
      <c r="AH418" s="9">
        <f t="shared" si="173"/>
        <v>0.05</v>
      </c>
      <c r="AI418" s="1" t="str">
        <f t="shared" si="174"/>
        <v>OK</v>
      </c>
      <c r="AJ418" s="1">
        <v>11370.84</v>
      </c>
      <c r="AK418" s="1">
        <v>7469.58</v>
      </c>
      <c r="AL418" s="1">
        <v>3901.26</v>
      </c>
      <c r="AM418" s="13">
        <f t="shared" si="175"/>
        <v>11370.835000000001</v>
      </c>
      <c r="AN418" s="9">
        <f t="shared" si="176"/>
        <v>3901.255000000001</v>
      </c>
      <c r="AO418" s="9">
        <f t="shared" si="185"/>
        <v>0.34309309738466881</v>
      </c>
      <c r="AP418" s="1" t="s">
        <v>33</v>
      </c>
      <c r="AQ418" s="1" t="str">
        <f t="shared" si="177"/>
        <v>Paid</v>
      </c>
      <c r="AR418" s="1" t="str">
        <f t="shared" si="178"/>
        <v>OK</v>
      </c>
      <c r="AS418" s="1" t="s">
        <v>34</v>
      </c>
      <c r="AT418" s="4" t="str">
        <f t="shared" si="179"/>
        <v>Completed</v>
      </c>
      <c r="AU418" s="3" t="str">
        <f t="shared" si="180"/>
        <v>OK</v>
      </c>
      <c r="AV418" s="3" t="str">
        <f t="shared" si="186"/>
        <v>CLEAN</v>
      </c>
      <c r="AW418" t="str">
        <f t="shared" si="187"/>
        <v>MATCH</v>
      </c>
      <c r="AX418" t="str">
        <f t="shared" si="188"/>
        <v>MATCH</v>
      </c>
    </row>
    <row r="419" spans="1:50" ht="15.6" hidden="1">
      <c r="A419" s="1" t="s">
        <v>3011</v>
      </c>
      <c r="B419" s="1">
        <f t="shared" si="162"/>
        <v>1</v>
      </c>
      <c r="C419" s="16">
        <v>45326</v>
      </c>
      <c r="D419" s="16">
        <v>45326</v>
      </c>
      <c r="E419" s="16" t="str">
        <f t="shared" si="181"/>
        <v>Feb</v>
      </c>
      <c r="F419" s="1">
        <f t="shared" si="182"/>
        <v>2024</v>
      </c>
      <c r="G419" t="s">
        <v>1813</v>
      </c>
      <c r="H419" s="17">
        <v>45693</v>
      </c>
      <c r="I419" s="21">
        <f t="shared" si="183"/>
        <v>367</v>
      </c>
      <c r="J419" s="6" t="str">
        <f t="shared" si="184"/>
        <v>OK</v>
      </c>
      <c r="K419" s="1" t="s">
        <v>694</v>
      </c>
      <c r="L419" s="1" t="s">
        <v>158</v>
      </c>
      <c r="M419" s="1" t="str">
        <f t="shared" si="163"/>
        <v>Sneha Kapoor</v>
      </c>
      <c r="N419" s="1" t="s">
        <v>40</v>
      </c>
      <c r="O419" s="1" t="str">
        <f t="shared" si="164"/>
        <v>Small Business</v>
      </c>
      <c r="P419" s="1" t="s">
        <v>71</v>
      </c>
      <c r="Q419" s="1" t="str">
        <f t="shared" si="165"/>
        <v>West</v>
      </c>
      <c r="R419" s="1" t="str">
        <f t="shared" si="166"/>
        <v>OK</v>
      </c>
      <c r="S419" s="1" t="s">
        <v>72</v>
      </c>
      <c r="T419" s="1" t="str">
        <f t="shared" si="167"/>
        <v>Maharashtra</v>
      </c>
      <c r="U419" s="1" t="s">
        <v>73</v>
      </c>
      <c r="V419" s="1" t="str">
        <f t="shared" si="168"/>
        <v>Mumbai</v>
      </c>
      <c r="W419" s="1" t="s">
        <v>44</v>
      </c>
      <c r="X419" s="1" t="str">
        <f t="shared" si="169"/>
        <v>Furniture</v>
      </c>
      <c r="Y419" s="1" t="s">
        <v>74</v>
      </c>
      <c r="Z419" s="1" t="str">
        <f t="shared" si="170"/>
        <v>Chairs</v>
      </c>
      <c r="AA419" s="1" t="s">
        <v>3012</v>
      </c>
      <c r="AB419" s="1" t="s">
        <v>55</v>
      </c>
      <c r="AC419" s="1" t="str">
        <f t="shared" si="171"/>
        <v>First Class</v>
      </c>
      <c r="AD419" s="1" t="str">
        <f t="shared" si="172"/>
        <v>OK</v>
      </c>
      <c r="AE419" s="1">
        <v>4</v>
      </c>
      <c r="AF419" s="1">
        <v>2583</v>
      </c>
      <c r="AG419" s="9">
        <v>0.1</v>
      </c>
      <c r="AH419" s="9">
        <f t="shared" si="173"/>
        <v>0.1</v>
      </c>
      <c r="AI419" s="1" t="str">
        <f t="shared" si="174"/>
        <v>OK</v>
      </c>
      <c r="AJ419" s="1">
        <v>9298.7999999999993</v>
      </c>
      <c r="AK419" s="1">
        <v>6548.5</v>
      </c>
      <c r="AL419" s="1">
        <v>2750.3</v>
      </c>
      <c r="AM419" s="13">
        <f t="shared" si="175"/>
        <v>9298.8000000000011</v>
      </c>
      <c r="AN419" s="9">
        <f t="shared" si="176"/>
        <v>2750.3000000000011</v>
      </c>
      <c r="AO419" s="9">
        <f t="shared" si="185"/>
        <v>0.29576934658235482</v>
      </c>
      <c r="AP419" s="1" t="s">
        <v>33</v>
      </c>
      <c r="AQ419" s="1" t="str">
        <f t="shared" si="177"/>
        <v>Paid</v>
      </c>
      <c r="AR419" s="1" t="str">
        <f t="shared" si="178"/>
        <v>OK</v>
      </c>
      <c r="AS419" s="1" t="s">
        <v>34</v>
      </c>
      <c r="AT419" s="4" t="str">
        <f t="shared" si="179"/>
        <v>Completed</v>
      </c>
      <c r="AU419" s="3" t="str">
        <f t="shared" si="180"/>
        <v>OK</v>
      </c>
      <c r="AV419" s="3" t="str">
        <f t="shared" si="186"/>
        <v>CLEAN</v>
      </c>
      <c r="AW419" t="str">
        <f t="shared" si="187"/>
        <v>MATCH</v>
      </c>
      <c r="AX419" t="str">
        <f t="shared" si="188"/>
        <v>MATCH</v>
      </c>
    </row>
    <row r="420" spans="1:50" ht="15.6" hidden="1">
      <c r="A420" s="1" t="s">
        <v>3017</v>
      </c>
      <c r="B420" s="1">
        <f t="shared" si="162"/>
        <v>1</v>
      </c>
      <c r="C420" s="16">
        <v>45580</v>
      </c>
      <c r="D420" s="16">
        <v>45580</v>
      </c>
      <c r="E420" s="16" t="str">
        <f t="shared" si="181"/>
        <v>Oct</v>
      </c>
      <c r="F420" s="1">
        <f t="shared" si="182"/>
        <v>2024</v>
      </c>
      <c r="G420" t="s">
        <v>1817</v>
      </c>
      <c r="H420" s="17">
        <v>45613</v>
      </c>
      <c r="I420" s="21">
        <f t="shared" si="183"/>
        <v>33</v>
      </c>
      <c r="J420" s="6" t="str">
        <f t="shared" si="184"/>
        <v>OK</v>
      </c>
      <c r="K420" s="1" t="s">
        <v>3019</v>
      </c>
      <c r="L420" s="1" t="s">
        <v>24</v>
      </c>
      <c r="M420" s="1" t="str">
        <f t="shared" si="163"/>
        <v>Karan Malhotra</v>
      </c>
      <c r="N420" s="1" t="s">
        <v>104</v>
      </c>
      <c r="O420" s="1" t="str">
        <f t="shared" si="164"/>
        <v>Corporate</v>
      </c>
      <c r="P420" s="1" t="s">
        <v>3020</v>
      </c>
      <c r="Q420" s="1" t="str">
        <f t="shared" si="165"/>
        <v>East</v>
      </c>
      <c r="R420" s="1" t="str">
        <f t="shared" si="166"/>
        <v>OK</v>
      </c>
      <c r="S420" s="1" t="s">
        <v>42</v>
      </c>
      <c r="T420" s="1" t="str">
        <f t="shared" si="167"/>
        <v>Odisha</v>
      </c>
      <c r="U420" s="1" t="s">
        <v>43</v>
      </c>
      <c r="V420" s="1" t="str">
        <f t="shared" si="168"/>
        <v>Bhubaneswar</v>
      </c>
      <c r="W420" s="1" t="s">
        <v>29</v>
      </c>
      <c r="X420" s="1" t="str">
        <f t="shared" si="169"/>
        <v>Office Supplies</v>
      </c>
      <c r="Y420" s="1" t="s">
        <v>30</v>
      </c>
      <c r="Z420" s="1" t="str">
        <f t="shared" si="170"/>
        <v>Paper</v>
      </c>
      <c r="AA420" s="1" t="s">
        <v>3021</v>
      </c>
      <c r="AB420" s="1" t="s">
        <v>65</v>
      </c>
      <c r="AC420" s="1" t="str">
        <f t="shared" si="171"/>
        <v>Standard Class</v>
      </c>
      <c r="AD420" s="1" t="str">
        <f t="shared" si="172"/>
        <v>OK</v>
      </c>
      <c r="AE420" s="1">
        <v>4</v>
      </c>
      <c r="AF420" s="1">
        <v>2260.9499999999998</v>
      </c>
      <c r="AG420" s="9">
        <v>0</v>
      </c>
      <c r="AH420" s="9">
        <f t="shared" si="173"/>
        <v>0</v>
      </c>
      <c r="AI420" s="1" t="str">
        <f t="shared" si="174"/>
        <v>OK</v>
      </c>
      <c r="AJ420" s="1">
        <v>9043.7999999999993</v>
      </c>
      <c r="AK420" s="1">
        <v>5913.38</v>
      </c>
      <c r="AL420" s="1">
        <v>3130.42</v>
      </c>
      <c r="AM420" s="13">
        <f t="shared" si="175"/>
        <v>9043.7999999999993</v>
      </c>
      <c r="AN420" s="9">
        <f t="shared" si="176"/>
        <v>3130.4199999999992</v>
      </c>
      <c r="AO420" s="9">
        <f t="shared" si="185"/>
        <v>0.34613989694597397</v>
      </c>
      <c r="AP420" s="1" t="s">
        <v>33</v>
      </c>
      <c r="AQ420" s="1" t="str">
        <f t="shared" si="177"/>
        <v>Paid</v>
      </c>
      <c r="AR420" s="1" t="str">
        <f t="shared" si="178"/>
        <v>OK</v>
      </c>
      <c r="AS420" s="1" t="s">
        <v>34</v>
      </c>
      <c r="AT420" s="4" t="str">
        <f t="shared" si="179"/>
        <v>Completed</v>
      </c>
      <c r="AU420" s="3" t="str">
        <f t="shared" si="180"/>
        <v>OK</v>
      </c>
      <c r="AV420" s="3" t="str">
        <f t="shared" si="186"/>
        <v>CLEAN</v>
      </c>
      <c r="AW420" t="str">
        <f t="shared" si="187"/>
        <v>MATCH</v>
      </c>
      <c r="AX420" t="str">
        <f t="shared" si="188"/>
        <v>MATCH</v>
      </c>
    </row>
    <row r="421" spans="1:50" ht="15.6" hidden="1">
      <c r="A421" s="1" t="s">
        <v>3028</v>
      </c>
      <c r="B421" s="1">
        <f t="shared" si="162"/>
        <v>1</v>
      </c>
      <c r="C421" s="16">
        <v>45589</v>
      </c>
      <c r="D421" s="16">
        <v>45589</v>
      </c>
      <c r="E421" s="16" t="str">
        <f t="shared" si="181"/>
        <v>Oct</v>
      </c>
      <c r="F421" s="1">
        <f t="shared" si="182"/>
        <v>2024</v>
      </c>
      <c r="G421" t="s">
        <v>1821</v>
      </c>
      <c r="H421" s="17">
        <v>45930</v>
      </c>
      <c r="I421" s="21">
        <f t="shared" si="183"/>
        <v>341</v>
      </c>
      <c r="J421" s="6" t="str">
        <f t="shared" si="184"/>
        <v>OK</v>
      </c>
      <c r="K421" s="1" t="s">
        <v>3030</v>
      </c>
      <c r="L421" s="1" t="s">
        <v>39</v>
      </c>
      <c r="M421" s="1" t="str">
        <f t="shared" si="163"/>
        <v>Mira Das</v>
      </c>
      <c r="N421" s="1" t="s">
        <v>40</v>
      </c>
      <c r="O421" s="1" t="str">
        <f t="shared" si="164"/>
        <v>Small Business</v>
      </c>
      <c r="P421" s="1" t="s">
        <v>41</v>
      </c>
      <c r="Q421" s="1" t="str">
        <f t="shared" si="165"/>
        <v>East</v>
      </c>
      <c r="R421" s="1" t="str">
        <f t="shared" si="166"/>
        <v>OK</v>
      </c>
      <c r="S421" s="1" t="s">
        <v>201</v>
      </c>
      <c r="T421" s="1" t="str">
        <f t="shared" si="167"/>
        <v>Assam</v>
      </c>
      <c r="U421" s="1" t="s">
        <v>202</v>
      </c>
      <c r="V421" s="1" t="str">
        <f t="shared" si="168"/>
        <v>Guwahati</v>
      </c>
      <c r="W421" s="1" t="s">
        <v>83</v>
      </c>
      <c r="X421" s="1" t="str">
        <f t="shared" si="169"/>
        <v>Technology</v>
      </c>
      <c r="Y421" s="1" t="s">
        <v>91</v>
      </c>
      <c r="Z421" s="1" t="str">
        <f t="shared" si="170"/>
        <v>Copiers</v>
      </c>
      <c r="AA421" s="1" t="s">
        <v>3031</v>
      </c>
      <c r="AB421" s="1" t="s">
        <v>65</v>
      </c>
      <c r="AC421" s="1" t="str">
        <f t="shared" si="171"/>
        <v>Standard Class</v>
      </c>
      <c r="AD421" s="1" t="str">
        <f t="shared" si="172"/>
        <v>OK</v>
      </c>
      <c r="AE421" s="1">
        <v>3</v>
      </c>
      <c r="AF421" s="1">
        <v>723.59</v>
      </c>
      <c r="AG421" s="9">
        <v>0.2</v>
      </c>
      <c r="AH421" s="9">
        <f t="shared" si="173"/>
        <v>0.2</v>
      </c>
      <c r="AI421" s="1" t="str">
        <f t="shared" si="174"/>
        <v>OK</v>
      </c>
      <c r="AJ421" s="1">
        <v>1736.62</v>
      </c>
      <c r="AK421" s="1">
        <v>1059.52</v>
      </c>
      <c r="AL421" s="1">
        <v>677.1</v>
      </c>
      <c r="AM421" s="13">
        <f t="shared" si="175"/>
        <v>1736.616</v>
      </c>
      <c r="AN421" s="9">
        <f t="shared" si="176"/>
        <v>677.096</v>
      </c>
      <c r="AO421" s="9">
        <f t="shared" si="185"/>
        <v>0.38989390861307277</v>
      </c>
      <c r="AP421" s="1" t="s">
        <v>33</v>
      </c>
      <c r="AQ421" s="1" t="str">
        <f t="shared" si="177"/>
        <v>Paid</v>
      </c>
      <c r="AR421" s="1" t="str">
        <f t="shared" si="178"/>
        <v>OK</v>
      </c>
      <c r="AS421" s="1" t="s">
        <v>34</v>
      </c>
      <c r="AT421" s="4" t="str">
        <f t="shared" si="179"/>
        <v>Completed</v>
      </c>
      <c r="AU421" s="3" t="str">
        <f t="shared" si="180"/>
        <v>OK</v>
      </c>
      <c r="AV421" s="3" t="str">
        <f t="shared" si="186"/>
        <v>CLEAN</v>
      </c>
      <c r="AW421" t="str">
        <f t="shared" si="187"/>
        <v>MATCH</v>
      </c>
      <c r="AX421" t="str">
        <f t="shared" si="188"/>
        <v>MATCH</v>
      </c>
    </row>
    <row r="422" spans="1:50" ht="15.6" hidden="1">
      <c r="A422" s="1" t="s">
        <v>3035</v>
      </c>
      <c r="B422" s="1">
        <f t="shared" si="162"/>
        <v>1</v>
      </c>
      <c r="C422" s="16">
        <v>45296</v>
      </c>
      <c r="D422" s="16">
        <v>45296</v>
      </c>
      <c r="E422" s="16" t="str">
        <f t="shared" si="181"/>
        <v>Jan</v>
      </c>
      <c r="F422" s="1">
        <f t="shared" si="182"/>
        <v>2024</v>
      </c>
      <c r="G422" t="s">
        <v>1825</v>
      </c>
      <c r="H422" s="17">
        <v>45735</v>
      </c>
      <c r="I422" s="21">
        <f t="shared" si="183"/>
        <v>439</v>
      </c>
      <c r="J422" s="6" t="str">
        <f t="shared" si="184"/>
        <v>OK</v>
      </c>
      <c r="K422" s="1" t="s">
        <v>3037</v>
      </c>
      <c r="L422" s="1" t="s">
        <v>52</v>
      </c>
      <c r="M422" s="1" t="str">
        <f t="shared" si="163"/>
        <v>Isha Nair</v>
      </c>
      <c r="N422" s="1" t="s">
        <v>110</v>
      </c>
      <c r="O422" s="1" t="str">
        <f t="shared" si="164"/>
        <v>Home Office</v>
      </c>
      <c r="P422" s="1" t="s">
        <v>41</v>
      </c>
      <c r="Q422" s="1" t="str">
        <f t="shared" si="165"/>
        <v>East</v>
      </c>
      <c r="R422" s="1" t="str">
        <f t="shared" si="166"/>
        <v>OK</v>
      </c>
      <c r="S422" s="1" t="s">
        <v>42</v>
      </c>
      <c r="T422" s="1" t="str">
        <f t="shared" si="167"/>
        <v>Odisha</v>
      </c>
      <c r="U422" s="1" t="s">
        <v>43</v>
      </c>
      <c r="V422" s="1" t="str">
        <f t="shared" si="168"/>
        <v>Bhubaneswar</v>
      </c>
      <c r="W422" s="1" t="s">
        <v>29</v>
      </c>
      <c r="X422" s="1" t="str">
        <f t="shared" si="169"/>
        <v>Office Supplies</v>
      </c>
      <c r="Y422" s="1" t="s">
        <v>30</v>
      </c>
      <c r="Z422" s="1" t="str">
        <f t="shared" si="170"/>
        <v>Paper</v>
      </c>
      <c r="AA422" s="1" t="s">
        <v>3038</v>
      </c>
      <c r="AB422" s="1" t="s">
        <v>47</v>
      </c>
      <c r="AC422" s="1" t="str">
        <f t="shared" si="171"/>
        <v>Same Day</v>
      </c>
      <c r="AD422" s="1" t="str">
        <f t="shared" si="172"/>
        <v>OK</v>
      </c>
      <c r="AE422" s="1">
        <v>8</v>
      </c>
      <c r="AF422" s="1">
        <v>1473.83</v>
      </c>
      <c r="AG422" s="9">
        <v>0.15</v>
      </c>
      <c r="AH422" s="9">
        <f t="shared" si="173"/>
        <v>0.15</v>
      </c>
      <c r="AI422" s="1" t="str">
        <f t="shared" si="174"/>
        <v>OK</v>
      </c>
      <c r="AJ422" s="1">
        <v>10022.040000000001</v>
      </c>
      <c r="AK422" s="1">
        <v>5576.98</v>
      </c>
      <c r="AL422" s="1">
        <v>4445.0600000000004</v>
      </c>
      <c r="AM422" s="13">
        <f t="shared" si="175"/>
        <v>10022.044</v>
      </c>
      <c r="AN422" s="9">
        <f t="shared" si="176"/>
        <v>4445.0640000000003</v>
      </c>
      <c r="AO422" s="9">
        <f t="shared" si="185"/>
        <v>0.44352868536597928</v>
      </c>
      <c r="AP422" s="1" t="s">
        <v>33</v>
      </c>
      <c r="AQ422" s="1" t="str">
        <f t="shared" si="177"/>
        <v>Paid</v>
      </c>
      <c r="AR422" s="1" t="str">
        <f t="shared" si="178"/>
        <v>OK</v>
      </c>
      <c r="AS422" s="1" t="s">
        <v>34</v>
      </c>
      <c r="AT422" s="4" t="str">
        <f t="shared" si="179"/>
        <v>Completed</v>
      </c>
      <c r="AU422" s="3" t="str">
        <f t="shared" si="180"/>
        <v>OK</v>
      </c>
      <c r="AV422" s="3" t="str">
        <f t="shared" si="186"/>
        <v>CLEAN</v>
      </c>
      <c r="AW422" t="str">
        <f t="shared" si="187"/>
        <v>MATCH</v>
      </c>
      <c r="AX422" t="str">
        <f t="shared" si="188"/>
        <v>MATCH</v>
      </c>
    </row>
    <row r="423" spans="1:50" ht="15.6" hidden="1">
      <c r="A423" s="1" t="s">
        <v>3039</v>
      </c>
      <c r="B423" s="1">
        <f t="shared" si="162"/>
        <v>1</v>
      </c>
      <c r="C423" s="16">
        <v>45442</v>
      </c>
      <c r="D423" s="16">
        <v>45442</v>
      </c>
      <c r="E423" s="16" t="str">
        <f t="shared" si="181"/>
        <v>May</v>
      </c>
      <c r="F423" s="1">
        <f t="shared" si="182"/>
        <v>2024</v>
      </c>
      <c r="G423" t="s">
        <v>1829</v>
      </c>
      <c r="H423" s="17">
        <v>45827</v>
      </c>
      <c r="I423" s="21">
        <f t="shared" si="183"/>
        <v>385</v>
      </c>
      <c r="J423" s="6" t="str">
        <f t="shared" si="184"/>
        <v>OK</v>
      </c>
      <c r="K423" s="1" t="s">
        <v>3041</v>
      </c>
      <c r="L423" s="1" t="s">
        <v>196</v>
      </c>
      <c r="M423" s="1" t="str">
        <f t="shared" si="163"/>
        <v>Diya Patel</v>
      </c>
      <c r="N423" s="1" t="s">
        <v>110</v>
      </c>
      <c r="O423" s="1" t="str">
        <f t="shared" si="164"/>
        <v>Home Office</v>
      </c>
      <c r="P423" s="1" t="s">
        <v>26</v>
      </c>
      <c r="Q423" s="1" t="str">
        <f t="shared" si="165"/>
        <v>North</v>
      </c>
      <c r="R423" s="1" t="str">
        <f t="shared" si="166"/>
        <v>OK</v>
      </c>
      <c r="S423" s="1" t="s">
        <v>294</v>
      </c>
      <c r="T423" s="1" t="str">
        <f t="shared" si="167"/>
        <v>Haryana</v>
      </c>
      <c r="U423" s="1" t="s">
        <v>295</v>
      </c>
      <c r="V423" s="1" t="str">
        <f t="shared" si="168"/>
        <v>Gurugram</v>
      </c>
      <c r="W423" s="1" t="s">
        <v>83</v>
      </c>
      <c r="X423" s="1" t="str">
        <f t="shared" si="169"/>
        <v>Technology</v>
      </c>
      <c r="Y423" s="1" t="s">
        <v>207</v>
      </c>
      <c r="Z423" s="1" t="str">
        <f t="shared" si="170"/>
        <v>Phones</v>
      </c>
      <c r="AA423" s="1" t="s">
        <v>3042</v>
      </c>
      <c r="AB423" s="1" t="s">
        <v>32</v>
      </c>
      <c r="AC423" s="1" t="str">
        <f t="shared" si="171"/>
        <v>Second Class</v>
      </c>
      <c r="AD423" s="1" t="str">
        <f t="shared" si="172"/>
        <v>OK</v>
      </c>
      <c r="AE423" s="1">
        <v>1</v>
      </c>
      <c r="AF423" s="1">
        <v>3848.04</v>
      </c>
      <c r="AG423" s="9">
        <v>0.25</v>
      </c>
      <c r="AH423" s="9">
        <f t="shared" si="173"/>
        <v>0.25</v>
      </c>
      <c r="AI423" s="1" t="str">
        <f t="shared" si="174"/>
        <v>OK</v>
      </c>
      <c r="AJ423" s="1">
        <v>2886.03</v>
      </c>
      <c r="AK423" s="1">
        <v>2064.83</v>
      </c>
      <c r="AL423" s="1">
        <v>821.2</v>
      </c>
      <c r="AM423" s="13">
        <f t="shared" si="175"/>
        <v>2886.0299999999997</v>
      </c>
      <c r="AN423" s="9">
        <f t="shared" si="176"/>
        <v>821.19999999999982</v>
      </c>
      <c r="AO423" s="9">
        <f t="shared" si="185"/>
        <v>0.28454312671732446</v>
      </c>
      <c r="AP423" s="1" t="s">
        <v>33</v>
      </c>
      <c r="AQ423" s="1" t="str">
        <f t="shared" si="177"/>
        <v>Paid</v>
      </c>
      <c r="AR423" s="1" t="str">
        <f t="shared" si="178"/>
        <v>OK</v>
      </c>
      <c r="AS423" s="1" t="s">
        <v>34</v>
      </c>
      <c r="AT423" s="4" t="str">
        <f t="shared" si="179"/>
        <v>Completed</v>
      </c>
      <c r="AU423" s="3" t="str">
        <f t="shared" si="180"/>
        <v>OK</v>
      </c>
      <c r="AV423" s="3" t="str">
        <f t="shared" si="186"/>
        <v>CLEAN</v>
      </c>
      <c r="AW423" t="str">
        <f t="shared" si="187"/>
        <v>MATCH</v>
      </c>
      <c r="AX423" t="str">
        <f t="shared" si="188"/>
        <v>MATCH</v>
      </c>
    </row>
    <row r="424" spans="1:50" ht="15.6" hidden="1">
      <c r="A424" s="1" t="s">
        <v>3043</v>
      </c>
      <c r="B424" s="1">
        <f t="shared" si="162"/>
        <v>1</v>
      </c>
      <c r="C424" s="16">
        <v>45372</v>
      </c>
      <c r="D424" s="16">
        <v>45372</v>
      </c>
      <c r="E424" s="16" t="str">
        <f t="shared" si="181"/>
        <v>Mar</v>
      </c>
      <c r="F424" s="1">
        <f t="shared" si="182"/>
        <v>2024</v>
      </c>
      <c r="G424" t="s">
        <v>1833</v>
      </c>
      <c r="H424" s="17">
        <v>45906</v>
      </c>
      <c r="I424" s="21">
        <f t="shared" si="183"/>
        <v>534</v>
      </c>
      <c r="J424" s="6" t="str">
        <f t="shared" si="184"/>
        <v>OK</v>
      </c>
      <c r="K424" s="1" t="s">
        <v>3045</v>
      </c>
      <c r="L424" s="1" t="s">
        <v>103</v>
      </c>
      <c r="M424" s="1" t="str">
        <f t="shared" si="163"/>
        <v>Aditi Sen</v>
      </c>
      <c r="N424" s="1" t="s">
        <v>110</v>
      </c>
      <c r="O424" s="1" t="str">
        <f t="shared" si="164"/>
        <v>Home Office</v>
      </c>
      <c r="P424" s="1" t="s">
        <v>41</v>
      </c>
      <c r="Q424" s="1" t="str">
        <f t="shared" si="165"/>
        <v>East</v>
      </c>
      <c r="R424" s="1" t="str">
        <f t="shared" si="166"/>
        <v>OK</v>
      </c>
      <c r="S424" s="1" t="s">
        <v>201</v>
      </c>
      <c r="T424" s="1" t="str">
        <f t="shared" si="167"/>
        <v>Assam</v>
      </c>
      <c r="U424" s="1" t="s">
        <v>202</v>
      </c>
      <c r="V424" s="1" t="str">
        <f t="shared" si="168"/>
        <v>Guwahati</v>
      </c>
      <c r="W424" s="1" t="s">
        <v>83</v>
      </c>
      <c r="X424" s="1" t="str">
        <f t="shared" si="169"/>
        <v>Technology</v>
      </c>
      <c r="Y424" s="1" t="s">
        <v>347</v>
      </c>
      <c r="Z424" s="1" t="str">
        <f t="shared" si="170"/>
        <v>Machines</v>
      </c>
      <c r="AA424" s="1" t="s">
        <v>3046</v>
      </c>
      <c r="AB424" s="1" t="s">
        <v>65</v>
      </c>
      <c r="AC424" s="1" t="str">
        <f t="shared" si="171"/>
        <v>Standard Class</v>
      </c>
      <c r="AD424" s="1" t="str">
        <f t="shared" si="172"/>
        <v>OK</v>
      </c>
      <c r="AE424" s="1">
        <v>1</v>
      </c>
      <c r="AF424" s="1">
        <v>1716.7</v>
      </c>
      <c r="AG424" s="9">
        <v>0.15</v>
      </c>
      <c r="AH424" s="9">
        <f t="shared" si="173"/>
        <v>0.15</v>
      </c>
      <c r="AI424" s="1" t="str">
        <f t="shared" si="174"/>
        <v>OK</v>
      </c>
      <c r="AJ424" s="1">
        <v>1459.19</v>
      </c>
      <c r="AK424" s="1">
        <v>1055.79</v>
      </c>
      <c r="AL424" s="1">
        <v>403.4</v>
      </c>
      <c r="AM424" s="13">
        <f t="shared" si="175"/>
        <v>1459.1949999999999</v>
      </c>
      <c r="AN424" s="9">
        <f t="shared" si="176"/>
        <v>403.40499999999997</v>
      </c>
      <c r="AO424" s="9">
        <f t="shared" si="185"/>
        <v>0.27645722470266137</v>
      </c>
      <c r="AP424" s="1" t="s">
        <v>33</v>
      </c>
      <c r="AQ424" s="1" t="str">
        <f t="shared" si="177"/>
        <v>Paid</v>
      </c>
      <c r="AR424" s="1" t="str">
        <f t="shared" si="178"/>
        <v>OK</v>
      </c>
      <c r="AS424" s="1" t="s">
        <v>34</v>
      </c>
      <c r="AT424" s="4" t="str">
        <f t="shared" si="179"/>
        <v>Completed</v>
      </c>
      <c r="AU424" s="3" t="str">
        <f t="shared" si="180"/>
        <v>OK</v>
      </c>
      <c r="AV424" s="3" t="str">
        <f t="shared" si="186"/>
        <v>CLEAN</v>
      </c>
      <c r="AW424" t="str">
        <f t="shared" si="187"/>
        <v>MISMATCH</v>
      </c>
      <c r="AX424" t="str">
        <f t="shared" si="188"/>
        <v>MISMATCH</v>
      </c>
    </row>
    <row r="425" spans="1:50" ht="15.6">
      <c r="A425" s="1" t="s">
        <v>3054</v>
      </c>
      <c r="B425" s="1">
        <f t="shared" si="162"/>
        <v>1</v>
      </c>
      <c r="C425" s="16">
        <v>45375</v>
      </c>
      <c r="D425" s="16">
        <v>45375</v>
      </c>
      <c r="E425" s="16" t="str">
        <f t="shared" si="181"/>
        <v>Mar</v>
      </c>
      <c r="F425" s="1">
        <f t="shared" si="182"/>
        <v>2024</v>
      </c>
      <c r="G425" t="s">
        <v>1838</v>
      </c>
      <c r="H425" s="17">
        <v>45349</v>
      </c>
      <c r="I425" s="21">
        <f t="shared" si="183"/>
        <v>-26</v>
      </c>
      <c r="J425" s="6" t="str">
        <f t="shared" si="184"/>
        <v>INVALID_SHIPPING</v>
      </c>
      <c r="K425" s="1" t="s">
        <v>3055</v>
      </c>
      <c r="L425" s="1" t="s">
        <v>103</v>
      </c>
      <c r="M425" s="1" t="str">
        <f t="shared" si="163"/>
        <v>Aditi Sen</v>
      </c>
      <c r="N425" s="1" t="s">
        <v>104</v>
      </c>
      <c r="O425" s="1" t="str">
        <f t="shared" si="164"/>
        <v>Corporate</v>
      </c>
      <c r="P425" s="1" t="s">
        <v>71</v>
      </c>
      <c r="Q425" s="1" t="str">
        <f t="shared" si="165"/>
        <v>West</v>
      </c>
      <c r="R425" s="1" t="str">
        <f t="shared" si="166"/>
        <v>OK</v>
      </c>
      <c r="S425" s="1" t="s">
        <v>218</v>
      </c>
      <c r="T425" s="1" t="str">
        <f t="shared" si="167"/>
        <v>Gujarat</v>
      </c>
      <c r="U425" s="1" t="s">
        <v>219</v>
      </c>
      <c r="V425" s="1" t="str">
        <f t="shared" si="168"/>
        <v>Ahmedabad</v>
      </c>
      <c r="W425" s="1" t="s">
        <v>29</v>
      </c>
      <c r="X425" s="1" t="str">
        <f t="shared" si="169"/>
        <v>Office Supplies</v>
      </c>
      <c r="Y425" s="1" t="s">
        <v>148</v>
      </c>
      <c r="Z425" s="1" t="str">
        <f t="shared" si="170"/>
        <v>Storage</v>
      </c>
      <c r="AA425" s="1" t="s">
        <v>3056</v>
      </c>
      <c r="AB425" s="1" t="s">
        <v>55</v>
      </c>
      <c r="AC425" s="1" t="str">
        <f t="shared" si="171"/>
        <v>First Class</v>
      </c>
      <c r="AD425" s="1" t="str">
        <f t="shared" si="172"/>
        <v>OK</v>
      </c>
      <c r="AE425" s="1">
        <v>5</v>
      </c>
      <c r="AF425" s="1">
        <v>2465.2199999999998</v>
      </c>
      <c r="AG425" s="9">
        <v>0.05</v>
      </c>
      <c r="AH425" s="9">
        <f t="shared" si="173"/>
        <v>0.05</v>
      </c>
      <c r="AI425" s="1" t="str">
        <f t="shared" si="174"/>
        <v>OK</v>
      </c>
      <c r="AJ425" s="1">
        <v>11709.79</v>
      </c>
      <c r="AK425" s="1">
        <v>8372.2900000000009</v>
      </c>
      <c r="AL425" s="1">
        <v>3337.5</v>
      </c>
      <c r="AM425" s="13">
        <f t="shared" si="175"/>
        <v>11709.794999999998</v>
      </c>
      <c r="AN425" s="9">
        <f t="shared" si="176"/>
        <v>3337.5049999999974</v>
      </c>
      <c r="AO425" s="9">
        <f t="shared" si="185"/>
        <v>0.28501822619439521</v>
      </c>
      <c r="AP425" s="1" t="s">
        <v>33</v>
      </c>
      <c r="AQ425" s="1" t="str">
        <f t="shared" si="177"/>
        <v>Paid</v>
      </c>
      <c r="AR425" s="1" t="str">
        <f t="shared" si="178"/>
        <v>OK</v>
      </c>
      <c r="AS425" s="1" t="s">
        <v>34</v>
      </c>
      <c r="AT425" s="4" t="str">
        <f t="shared" si="179"/>
        <v>Completed</v>
      </c>
      <c r="AU425" s="3" t="str">
        <f t="shared" si="180"/>
        <v>OK</v>
      </c>
      <c r="AV425" s="3" t="str">
        <f t="shared" si="186"/>
        <v>INVALID</v>
      </c>
      <c r="AW425" t="str">
        <f t="shared" si="187"/>
        <v>MISMATCH</v>
      </c>
      <c r="AX425" t="str">
        <f t="shared" si="188"/>
        <v>MISMATCH</v>
      </c>
    </row>
    <row r="426" spans="1:50" ht="15.6">
      <c r="A426" s="1" t="s">
        <v>3057</v>
      </c>
      <c r="B426" s="1">
        <f t="shared" si="162"/>
        <v>1</v>
      </c>
      <c r="C426" s="16">
        <v>45604</v>
      </c>
      <c r="D426" s="16">
        <v>45604</v>
      </c>
      <c r="E426" s="16" t="str">
        <f t="shared" si="181"/>
        <v>Nov</v>
      </c>
      <c r="F426" s="1">
        <f t="shared" si="182"/>
        <v>2024</v>
      </c>
      <c r="G426" t="s">
        <v>1844</v>
      </c>
      <c r="H426" s="17">
        <v>45472</v>
      </c>
      <c r="I426" s="21">
        <f t="shared" si="183"/>
        <v>-132</v>
      </c>
      <c r="J426" s="6" t="str">
        <f t="shared" si="184"/>
        <v>INVALID_SHIPPING</v>
      </c>
      <c r="K426" s="1" t="s">
        <v>3058</v>
      </c>
      <c r="L426" s="1" t="s">
        <v>103</v>
      </c>
      <c r="M426" s="1" t="str">
        <f t="shared" si="163"/>
        <v>Aditi Sen</v>
      </c>
      <c r="N426" s="1" t="s">
        <v>104</v>
      </c>
      <c r="O426" s="1" t="str">
        <f t="shared" si="164"/>
        <v>Corporate</v>
      </c>
      <c r="P426" s="1" t="s">
        <v>26</v>
      </c>
      <c r="Q426" s="1" t="str">
        <f t="shared" si="165"/>
        <v>North</v>
      </c>
      <c r="R426" s="1" t="str">
        <f t="shared" si="166"/>
        <v>OK</v>
      </c>
      <c r="S426" s="1" t="s">
        <v>454</v>
      </c>
      <c r="T426" s="1" t="str">
        <f t="shared" si="167"/>
        <v>Delhi</v>
      </c>
      <c r="U426" s="1" t="s">
        <v>455</v>
      </c>
      <c r="V426" s="1" t="str">
        <f t="shared" si="168"/>
        <v>New Delhi</v>
      </c>
      <c r="W426" s="1" t="s">
        <v>44</v>
      </c>
      <c r="X426" s="1" t="str">
        <f t="shared" si="169"/>
        <v>Furniture</v>
      </c>
      <c r="Y426" s="1" t="s">
        <v>63</v>
      </c>
      <c r="Z426" s="1" t="str">
        <f t="shared" si="170"/>
        <v>Furnishings</v>
      </c>
      <c r="AA426" s="1" t="s">
        <v>3059</v>
      </c>
      <c r="AB426" s="1" t="s">
        <v>32</v>
      </c>
      <c r="AC426" s="1" t="str">
        <f t="shared" si="171"/>
        <v>Second Class</v>
      </c>
      <c r="AD426" s="1" t="str">
        <f t="shared" si="172"/>
        <v>OK</v>
      </c>
      <c r="AE426" s="1">
        <v>3</v>
      </c>
      <c r="AF426" s="1">
        <v>1017.22</v>
      </c>
      <c r="AG426" s="9">
        <v>0.15</v>
      </c>
      <c r="AH426" s="9">
        <f t="shared" si="173"/>
        <v>0.15</v>
      </c>
      <c r="AI426" s="1" t="str">
        <f t="shared" si="174"/>
        <v>OK</v>
      </c>
      <c r="AJ426" s="1">
        <v>2593.91</v>
      </c>
      <c r="AK426" s="1">
        <v>1848.48</v>
      </c>
      <c r="AL426" s="1">
        <v>745.43</v>
      </c>
      <c r="AM426" s="13">
        <f t="shared" si="175"/>
        <v>2593.9109999999996</v>
      </c>
      <c r="AN426" s="9">
        <f t="shared" si="176"/>
        <v>745.43099999999959</v>
      </c>
      <c r="AO426" s="9">
        <f t="shared" si="185"/>
        <v>0.28737724617382776</v>
      </c>
      <c r="AP426" s="1" t="s">
        <v>186</v>
      </c>
      <c r="AQ426" s="1" t="str">
        <f t="shared" si="177"/>
        <v>Failed</v>
      </c>
      <c r="AR426" s="1" t="str">
        <f t="shared" si="178"/>
        <v>EXCLUDE_FROM_SALES</v>
      </c>
      <c r="AS426" s="1" t="s">
        <v>120</v>
      </c>
      <c r="AT426" s="4" t="str">
        <f t="shared" si="179"/>
        <v>Returned</v>
      </c>
      <c r="AU426" s="3" t="str">
        <f t="shared" si="180"/>
        <v>RETURNED_ORDER</v>
      </c>
      <c r="AV426" s="3" t="str">
        <f t="shared" si="186"/>
        <v>INVALID</v>
      </c>
      <c r="AW426" t="str">
        <f t="shared" si="187"/>
        <v>MATCH</v>
      </c>
      <c r="AX426" t="str">
        <f t="shared" si="188"/>
        <v>MATCH</v>
      </c>
    </row>
    <row r="427" spans="1:50" ht="15.6">
      <c r="A427" s="1" t="s">
        <v>3067</v>
      </c>
      <c r="B427" s="1">
        <f t="shared" si="162"/>
        <v>1</v>
      </c>
      <c r="C427" s="16">
        <v>45592</v>
      </c>
      <c r="D427" s="16">
        <v>45592</v>
      </c>
      <c r="E427" s="16" t="str">
        <f t="shared" si="181"/>
        <v>Oct</v>
      </c>
      <c r="F427" s="1">
        <f t="shared" si="182"/>
        <v>2024</v>
      </c>
      <c r="G427" t="s">
        <v>1848</v>
      </c>
      <c r="H427" s="17">
        <v>45562</v>
      </c>
      <c r="I427" s="21">
        <f t="shared" si="183"/>
        <v>-30</v>
      </c>
      <c r="J427" s="6" t="str">
        <f t="shared" si="184"/>
        <v>INVALID_SHIPPING</v>
      </c>
      <c r="K427" s="1" t="s">
        <v>3069</v>
      </c>
      <c r="L427" s="1" t="s">
        <v>169</v>
      </c>
      <c r="M427" s="1" t="str">
        <f t="shared" si="163"/>
        <v>Rohan Mehta</v>
      </c>
      <c r="N427" s="1" t="s">
        <v>25</v>
      </c>
      <c r="O427" s="1" t="str">
        <f t="shared" si="164"/>
        <v>Consumer</v>
      </c>
      <c r="P427" s="1" t="s">
        <v>26</v>
      </c>
      <c r="Q427" s="1" t="str">
        <f t="shared" si="165"/>
        <v>North</v>
      </c>
      <c r="R427" s="1" t="str">
        <f t="shared" si="166"/>
        <v>OK</v>
      </c>
      <c r="S427" s="1" t="s">
        <v>27</v>
      </c>
      <c r="T427" s="1" t="str">
        <f t="shared" si="167"/>
        <v>Rajasthan</v>
      </c>
      <c r="U427" s="1" t="s">
        <v>28</v>
      </c>
      <c r="V427" s="1" t="str">
        <f t="shared" si="168"/>
        <v>Jaipur</v>
      </c>
      <c r="W427" s="1" t="s">
        <v>83</v>
      </c>
      <c r="X427" s="1" t="str">
        <f t="shared" si="169"/>
        <v>Technology</v>
      </c>
      <c r="Y427" s="1" t="s">
        <v>84</v>
      </c>
      <c r="Z427" s="1" t="str">
        <f t="shared" si="170"/>
        <v>Accessories</v>
      </c>
      <c r="AA427" s="1" t="s">
        <v>3070</v>
      </c>
      <c r="AB427" s="1" t="s">
        <v>47</v>
      </c>
      <c r="AC427" s="1" t="str">
        <f t="shared" si="171"/>
        <v>Same Day</v>
      </c>
      <c r="AD427" s="1" t="str">
        <f t="shared" si="172"/>
        <v>OK</v>
      </c>
      <c r="AE427" s="1">
        <v>7</v>
      </c>
      <c r="AF427" s="1">
        <v>2177.1</v>
      </c>
      <c r="AG427" s="9">
        <v>0.2</v>
      </c>
      <c r="AH427" s="9">
        <f t="shared" si="173"/>
        <v>0.2</v>
      </c>
      <c r="AI427" s="1" t="str">
        <f t="shared" si="174"/>
        <v>OK</v>
      </c>
      <c r="AJ427" s="1">
        <v>12191.76</v>
      </c>
      <c r="AK427" s="1">
        <v>10457.49</v>
      </c>
      <c r="AL427" s="1">
        <v>1734.27</v>
      </c>
      <c r="AM427" s="13">
        <f t="shared" si="175"/>
        <v>12191.76</v>
      </c>
      <c r="AN427" s="9">
        <f t="shared" si="176"/>
        <v>1734.2700000000004</v>
      </c>
      <c r="AO427" s="9">
        <f t="shared" si="185"/>
        <v>0.14224935530226976</v>
      </c>
      <c r="AP427" s="1" t="s">
        <v>33</v>
      </c>
      <c r="AQ427" s="1" t="str">
        <f t="shared" si="177"/>
        <v>Paid</v>
      </c>
      <c r="AR427" s="1" t="str">
        <f t="shared" si="178"/>
        <v>OK</v>
      </c>
      <c r="AS427" s="1" t="s">
        <v>120</v>
      </c>
      <c r="AT427" s="4" t="str">
        <f t="shared" si="179"/>
        <v>Returned</v>
      </c>
      <c r="AU427" s="3" t="str">
        <f t="shared" si="180"/>
        <v>RETURNED_ORDER</v>
      </c>
      <c r="AV427" s="3" t="str">
        <f t="shared" si="186"/>
        <v>INVALID</v>
      </c>
      <c r="AW427" t="str">
        <f t="shared" si="187"/>
        <v>MATCH</v>
      </c>
      <c r="AX427" t="str">
        <f t="shared" si="188"/>
        <v>MATCH</v>
      </c>
    </row>
    <row r="428" spans="1:50" ht="15.6">
      <c r="A428" s="1" t="s">
        <v>3075</v>
      </c>
      <c r="B428" s="1">
        <f t="shared" si="162"/>
        <v>1</v>
      </c>
      <c r="C428" s="16">
        <v>45327</v>
      </c>
      <c r="D428" s="16">
        <v>45327</v>
      </c>
      <c r="E428" s="16" t="str">
        <f t="shared" si="181"/>
        <v>Feb</v>
      </c>
      <c r="F428" s="1">
        <f t="shared" si="182"/>
        <v>2024</v>
      </c>
      <c r="G428" t="s">
        <v>1852</v>
      </c>
      <c r="H428" s="17">
        <v>45298</v>
      </c>
      <c r="I428" s="21">
        <f t="shared" si="183"/>
        <v>-29</v>
      </c>
      <c r="J428" s="6" t="str">
        <f t="shared" si="184"/>
        <v>INVALID_SHIPPING</v>
      </c>
      <c r="K428" s="1" t="s">
        <v>3076</v>
      </c>
      <c r="L428" s="1" t="s">
        <v>153</v>
      </c>
      <c r="M428" s="1" t="str">
        <f t="shared" si="163"/>
        <v>Aarav Sharma</v>
      </c>
      <c r="N428" s="1" t="s">
        <v>40</v>
      </c>
      <c r="O428" s="1" t="str">
        <f t="shared" si="164"/>
        <v>Small Business</v>
      </c>
      <c r="P428" s="1" t="s">
        <v>60</v>
      </c>
      <c r="Q428" s="1" t="str">
        <f t="shared" si="165"/>
        <v>South</v>
      </c>
      <c r="R428" s="1" t="str">
        <f t="shared" si="166"/>
        <v>OK</v>
      </c>
      <c r="S428" s="1" t="s">
        <v>212</v>
      </c>
      <c r="T428" s="1" t="str">
        <f t="shared" si="167"/>
        <v>Karnataka</v>
      </c>
      <c r="U428" s="1" t="s">
        <v>213</v>
      </c>
      <c r="V428" s="1" t="str">
        <f t="shared" si="168"/>
        <v>Bengaluru</v>
      </c>
      <c r="W428" s="1" t="s">
        <v>44</v>
      </c>
      <c r="X428" s="1" t="str">
        <f t="shared" si="169"/>
        <v>Furniture</v>
      </c>
      <c r="Y428" s="1" t="s">
        <v>74</v>
      </c>
      <c r="Z428" s="1" t="str">
        <f t="shared" si="170"/>
        <v>Chairs</v>
      </c>
      <c r="AA428" s="1" t="s">
        <v>3077</v>
      </c>
      <c r="AB428" s="1" t="s">
        <v>65</v>
      </c>
      <c r="AC428" s="1" t="str">
        <f t="shared" si="171"/>
        <v>Standard Class</v>
      </c>
      <c r="AD428" s="1" t="str">
        <f t="shared" si="172"/>
        <v>OK</v>
      </c>
      <c r="AE428" s="1">
        <v>1</v>
      </c>
      <c r="AF428" s="1">
        <v>4166.91</v>
      </c>
      <c r="AG428" s="9">
        <v>0</v>
      </c>
      <c r="AH428" s="9">
        <f t="shared" si="173"/>
        <v>0</v>
      </c>
      <c r="AI428" s="1" t="str">
        <f t="shared" si="174"/>
        <v>OK</v>
      </c>
      <c r="AJ428" s="1">
        <v>4166.91</v>
      </c>
      <c r="AK428" s="1">
        <v>3412.63</v>
      </c>
      <c r="AL428" s="1">
        <v>754.28</v>
      </c>
      <c r="AM428" s="13">
        <f t="shared" si="175"/>
        <v>4166.91</v>
      </c>
      <c r="AN428" s="9">
        <f t="shared" si="176"/>
        <v>754.27999999999975</v>
      </c>
      <c r="AO428" s="9">
        <f t="shared" si="185"/>
        <v>0.18101662862888801</v>
      </c>
      <c r="AP428" s="1" t="s">
        <v>33</v>
      </c>
      <c r="AQ428" s="1" t="str">
        <f t="shared" si="177"/>
        <v>Paid</v>
      </c>
      <c r="AR428" s="1" t="str">
        <f t="shared" si="178"/>
        <v>OK</v>
      </c>
      <c r="AS428" s="1" t="s">
        <v>34</v>
      </c>
      <c r="AT428" s="4" t="str">
        <f t="shared" si="179"/>
        <v>Completed</v>
      </c>
      <c r="AU428" s="3" t="str">
        <f t="shared" si="180"/>
        <v>OK</v>
      </c>
      <c r="AV428" s="3" t="str">
        <f t="shared" si="186"/>
        <v>INVALID</v>
      </c>
      <c r="AW428" t="str">
        <f t="shared" si="187"/>
        <v>MATCH</v>
      </c>
      <c r="AX428" t="str">
        <f t="shared" si="188"/>
        <v>MATCH</v>
      </c>
    </row>
    <row r="429" spans="1:50" ht="15.6" hidden="1">
      <c r="A429" s="1" t="s">
        <v>3078</v>
      </c>
      <c r="B429" s="1">
        <f t="shared" si="162"/>
        <v>1</v>
      </c>
      <c r="C429" s="16">
        <v>45492</v>
      </c>
      <c r="D429" s="16">
        <v>45492</v>
      </c>
      <c r="E429" s="16" t="str">
        <f t="shared" si="181"/>
        <v>Jul</v>
      </c>
      <c r="F429" s="1">
        <f t="shared" si="182"/>
        <v>2024</v>
      </c>
      <c r="G429" t="s">
        <v>1857</v>
      </c>
      <c r="H429" s="17">
        <v>45771</v>
      </c>
      <c r="I429" s="21">
        <f t="shared" si="183"/>
        <v>279</v>
      </c>
      <c r="J429" s="6" t="str">
        <f t="shared" si="184"/>
        <v>OK</v>
      </c>
      <c r="K429" s="1" t="s">
        <v>3080</v>
      </c>
      <c r="L429" s="1" t="s">
        <v>59</v>
      </c>
      <c r="M429" s="1" t="str">
        <f t="shared" si="163"/>
        <v>Arjun Bose</v>
      </c>
      <c r="N429" s="1" t="s">
        <v>110</v>
      </c>
      <c r="O429" s="1" t="str">
        <f t="shared" si="164"/>
        <v>Home Office</v>
      </c>
      <c r="P429" s="1" t="s">
        <v>60</v>
      </c>
      <c r="Q429" s="1" t="str">
        <f t="shared" si="165"/>
        <v>South</v>
      </c>
      <c r="R429" s="1" t="str">
        <f t="shared" si="166"/>
        <v>OK</v>
      </c>
      <c r="S429" s="1" t="s">
        <v>212</v>
      </c>
      <c r="T429" s="1" t="str">
        <f t="shared" si="167"/>
        <v>Karnataka</v>
      </c>
      <c r="U429" s="1" t="s">
        <v>213</v>
      </c>
      <c r="V429" s="1" t="str">
        <f t="shared" si="168"/>
        <v>Bengaluru</v>
      </c>
      <c r="W429" s="1" t="s">
        <v>44</v>
      </c>
      <c r="X429" s="1" t="str">
        <f t="shared" si="169"/>
        <v>Furniture</v>
      </c>
      <c r="Y429" s="1" t="s">
        <v>45</v>
      </c>
      <c r="Z429" s="1" t="str">
        <f t="shared" si="170"/>
        <v>Tables</v>
      </c>
      <c r="AA429" s="1" t="s">
        <v>3081</v>
      </c>
      <c r="AB429" s="1" t="s">
        <v>32</v>
      </c>
      <c r="AC429" s="1" t="str">
        <f t="shared" si="171"/>
        <v>Second Class</v>
      </c>
      <c r="AD429" s="1" t="str">
        <f t="shared" si="172"/>
        <v>OK</v>
      </c>
      <c r="AE429" s="1">
        <v>5</v>
      </c>
      <c r="AF429" s="1">
        <v>3986.01</v>
      </c>
      <c r="AG429" s="9">
        <v>0.25</v>
      </c>
      <c r="AH429" s="9">
        <f t="shared" si="173"/>
        <v>0.25</v>
      </c>
      <c r="AI429" s="1" t="str">
        <f t="shared" si="174"/>
        <v>OK</v>
      </c>
      <c r="AJ429" s="1">
        <v>14947.54</v>
      </c>
      <c r="AK429" s="1">
        <v>9438.4599999999991</v>
      </c>
      <c r="AL429" s="1">
        <v>5509.08</v>
      </c>
      <c r="AM429" s="13">
        <f t="shared" si="175"/>
        <v>14947.537500000002</v>
      </c>
      <c r="AN429" s="9">
        <f t="shared" si="176"/>
        <v>5509.0775000000031</v>
      </c>
      <c r="AO429" s="9">
        <f t="shared" si="185"/>
        <v>0.36856087499362367</v>
      </c>
      <c r="AP429" s="1" t="s">
        <v>33</v>
      </c>
      <c r="AQ429" s="1" t="str">
        <f t="shared" si="177"/>
        <v>Paid</v>
      </c>
      <c r="AR429" s="1" t="str">
        <f t="shared" si="178"/>
        <v>OK</v>
      </c>
      <c r="AS429" s="1" t="s">
        <v>34</v>
      </c>
      <c r="AT429" s="4" t="str">
        <f t="shared" si="179"/>
        <v>Completed</v>
      </c>
      <c r="AU429" s="3" t="str">
        <f t="shared" si="180"/>
        <v>OK</v>
      </c>
      <c r="AV429" s="3" t="str">
        <f t="shared" si="186"/>
        <v>CLEAN</v>
      </c>
      <c r="AW429" t="str">
        <f t="shared" si="187"/>
        <v>MATCH</v>
      </c>
      <c r="AX429" t="str">
        <f t="shared" si="188"/>
        <v>MATCH</v>
      </c>
    </row>
    <row r="430" spans="1:50" ht="15.6" hidden="1">
      <c r="A430" s="1" t="s">
        <v>3082</v>
      </c>
      <c r="B430" s="1">
        <f t="shared" si="162"/>
        <v>1</v>
      </c>
      <c r="C430" s="16">
        <v>45532</v>
      </c>
      <c r="D430" s="16">
        <v>45532</v>
      </c>
      <c r="E430" s="16" t="str">
        <f t="shared" si="181"/>
        <v>Aug</v>
      </c>
      <c r="F430" s="1">
        <f t="shared" si="182"/>
        <v>2024</v>
      </c>
      <c r="G430" t="s">
        <v>1861</v>
      </c>
      <c r="H430" s="17">
        <v>45738</v>
      </c>
      <c r="I430" s="21">
        <f t="shared" si="183"/>
        <v>206</v>
      </c>
      <c r="J430" s="6" t="str">
        <f t="shared" si="184"/>
        <v>OK</v>
      </c>
      <c r="K430" s="1" t="s">
        <v>3083</v>
      </c>
      <c r="L430" s="1" t="s">
        <v>103</v>
      </c>
      <c r="M430" s="1" t="str">
        <f t="shared" si="163"/>
        <v>Aditi Sen</v>
      </c>
      <c r="N430" s="1" t="s">
        <v>110</v>
      </c>
      <c r="O430" s="1" t="str">
        <f t="shared" si="164"/>
        <v>Home Office</v>
      </c>
      <c r="P430" s="1" t="s">
        <v>41</v>
      </c>
      <c r="Q430" s="1" t="str">
        <f t="shared" si="165"/>
        <v>East</v>
      </c>
      <c r="R430" s="1" t="str">
        <f t="shared" si="166"/>
        <v>OK</v>
      </c>
      <c r="S430" s="1" t="s">
        <v>201</v>
      </c>
      <c r="T430" s="1" t="str">
        <f t="shared" si="167"/>
        <v>Assam</v>
      </c>
      <c r="U430" s="1" t="s">
        <v>202</v>
      </c>
      <c r="V430" s="1" t="str">
        <f t="shared" si="168"/>
        <v>Guwahati</v>
      </c>
      <c r="W430" s="1" t="s">
        <v>29</v>
      </c>
      <c r="X430" s="1" t="str">
        <f t="shared" si="169"/>
        <v>Office Supplies</v>
      </c>
      <c r="Y430" s="1" t="s">
        <v>53</v>
      </c>
      <c r="Z430" s="1" t="str">
        <f t="shared" si="170"/>
        <v>Art</v>
      </c>
      <c r="AA430" s="1" t="s">
        <v>3084</v>
      </c>
      <c r="AB430" s="1" t="s">
        <v>32</v>
      </c>
      <c r="AC430" s="1" t="str">
        <f t="shared" si="171"/>
        <v>Second Class</v>
      </c>
      <c r="AD430" s="1" t="str">
        <f t="shared" si="172"/>
        <v>OK</v>
      </c>
      <c r="AE430" s="1">
        <v>4</v>
      </c>
      <c r="AF430" s="1">
        <v>3365.53</v>
      </c>
      <c r="AG430" s="9">
        <v>0</v>
      </c>
      <c r="AH430" s="9">
        <f t="shared" si="173"/>
        <v>0</v>
      </c>
      <c r="AI430" s="1" t="str">
        <f t="shared" si="174"/>
        <v>OK</v>
      </c>
      <c r="AJ430" s="1">
        <v>13462.12</v>
      </c>
      <c r="AK430" s="1">
        <v>7600.63</v>
      </c>
      <c r="AL430" s="1">
        <v>5861.49</v>
      </c>
      <c r="AM430" s="13">
        <f t="shared" si="175"/>
        <v>13462.12</v>
      </c>
      <c r="AN430" s="9">
        <f t="shared" si="176"/>
        <v>5861.4900000000007</v>
      </c>
      <c r="AO430" s="9">
        <f t="shared" si="185"/>
        <v>0.43540616188237813</v>
      </c>
      <c r="AP430" s="1" t="s">
        <v>131</v>
      </c>
      <c r="AQ430" s="1" t="str">
        <f t="shared" si="177"/>
        <v>Pending</v>
      </c>
      <c r="AR430" s="1" t="str">
        <f t="shared" si="178"/>
        <v>OK</v>
      </c>
      <c r="AS430" s="1" t="s">
        <v>120</v>
      </c>
      <c r="AT430" s="4" t="str">
        <f t="shared" si="179"/>
        <v>Returned</v>
      </c>
      <c r="AU430" s="3" t="str">
        <f t="shared" si="180"/>
        <v>RETURNED_ORDER</v>
      </c>
      <c r="AV430" s="3" t="str">
        <f t="shared" si="186"/>
        <v>CLEAN</v>
      </c>
      <c r="AW430" t="str">
        <f t="shared" si="187"/>
        <v>MATCH</v>
      </c>
      <c r="AX430" t="str">
        <f t="shared" si="188"/>
        <v>MATCH</v>
      </c>
    </row>
    <row r="431" spans="1:50" ht="15.6" hidden="1">
      <c r="A431" s="1" t="s">
        <v>3089</v>
      </c>
      <c r="B431" s="1">
        <f t="shared" si="162"/>
        <v>1</v>
      </c>
      <c r="C431" s="16">
        <v>45292</v>
      </c>
      <c r="D431" s="16">
        <v>45292</v>
      </c>
      <c r="E431" s="16" t="str">
        <f t="shared" si="181"/>
        <v>Jan</v>
      </c>
      <c r="F431" s="1">
        <f t="shared" si="182"/>
        <v>2024</v>
      </c>
      <c r="G431" t="s">
        <v>1865</v>
      </c>
      <c r="H431" s="17">
        <v>45872</v>
      </c>
      <c r="I431" s="21">
        <f t="shared" si="183"/>
        <v>580</v>
      </c>
      <c r="J431" s="6" t="str">
        <f t="shared" si="184"/>
        <v>OK</v>
      </c>
      <c r="K431" s="1" t="s">
        <v>3091</v>
      </c>
      <c r="L431" s="1" t="s">
        <v>196</v>
      </c>
      <c r="M431" s="1" t="str">
        <f t="shared" si="163"/>
        <v>Diya Patel</v>
      </c>
      <c r="N431" s="1" t="s">
        <v>104</v>
      </c>
      <c r="O431" s="1" t="str">
        <f t="shared" si="164"/>
        <v>Corporate</v>
      </c>
      <c r="P431" s="1" t="s">
        <v>71</v>
      </c>
      <c r="Q431" s="1" t="str">
        <f t="shared" si="165"/>
        <v>West</v>
      </c>
      <c r="R431" s="1" t="str">
        <f t="shared" si="166"/>
        <v>OK</v>
      </c>
      <c r="S431" s="1" t="s">
        <v>81</v>
      </c>
      <c r="T431" s="1" t="str">
        <f t="shared" si="167"/>
        <v>Madhya Pradesh</v>
      </c>
      <c r="U431" s="1" t="s">
        <v>82</v>
      </c>
      <c r="V431" s="1" t="str">
        <f t="shared" si="168"/>
        <v>Indore</v>
      </c>
      <c r="W431" s="1" t="s">
        <v>83</v>
      </c>
      <c r="X431" s="1" t="str">
        <f t="shared" si="169"/>
        <v>Technology</v>
      </c>
      <c r="Y431" s="1" t="s">
        <v>347</v>
      </c>
      <c r="Z431" s="1" t="str">
        <f t="shared" si="170"/>
        <v>Machines</v>
      </c>
      <c r="AA431" s="1" t="s">
        <v>3092</v>
      </c>
      <c r="AB431" s="1" t="s">
        <v>32</v>
      </c>
      <c r="AC431" s="1" t="str">
        <f t="shared" si="171"/>
        <v>Second Class</v>
      </c>
      <c r="AD431" s="1" t="str">
        <f t="shared" si="172"/>
        <v>OK</v>
      </c>
      <c r="AE431" s="1">
        <v>2</v>
      </c>
      <c r="AF431" s="1">
        <v>3694.12</v>
      </c>
      <c r="AG431" s="9">
        <v>0.2</v>
      </c>
      <c r="AH431" s="9">
        <f t="shared" si="173"/>
        <v>0.2</v>
      </c>
      <c r="AI431" s="1" t="str">
        <f t="shared" si="174"/>
        <v>OK</v>
      </c>
      <c r="AJ431" s="1">
        <v>5910.59</v>
      </c>
      <c r="AK431" s="1">
        <v>4775.4399999999996</v>
      </c>
      <c r="AL431" s="1">
        <v>1135.1500000000001</v>
      </c>
      <c r="AM431" s="13">
        <f t="shared" si="175"/>
        <v>5910.5920000000006</v>
      </c>
      <c r="AN431" s="9">
        <f t="shared" si="176"/>
        <v>1135.152000000001</v>
      </c>
      <c r="AO431" s="9">
        <f t="shared" si="185"/>
        <v>0.19205385856442145</v>
      </c>
      <c r="AP431" s="1" t="s">
        <v>119</v>
      </c>
      <c r="AQ431" s="1" t="str">
        <f t="shared" si="177"/>
        <v>Refunded</v>
      </c>
      <c r="AR431" s="1" t="str">
        <f t="shared" si="178"/>
        <v>REFUNDED_PAYMENT</v>
      </c>
      <c r="AS431" s="1" t="s">
        <v>120</v>
      </c>
      <c r="AT431" s="4" t="str">
        <f t="shared" si="179"/>
        <v>Returned</v>
      </c>
      <c r="AU431" s="3" t="str">
        <f t="shared" si="180"/>
        <v>RETURNED_ORDER</v>
      </c>
      <c r="AV431" s="3" t="str">
        <f t="shared" si="186"/>
        <v>CLEAN</v>
      </c>
      <c r="AW431" t="str">
        <f t="shared" si="187"/>
        <v>MATCH</v>
      </c>
      <c r="AX431" t="str">
        <f t="shared" si="188"/>
        <v>MATCH</v>
      </c>
    </row>
    <row r="432" spans="1:50" ht="15.6">
      <c r="A432" s="1" t="s">
        <v>3103</v>
      </c>
      <c r="B432" s="1">
        <f t="shared" si="162"/>
        <v>1</v>
      </c>
      <c r="C432" s="16">
        <v>45552</v>
      </c>
      <c r="D432" s="16">
        <v>45552</v>
      </c>
      <c r="E432" s="16" t="str">
        <f t="shared" si="181"/>
        <v>Sep</v>
      </c>
      <c r="F432" s="1">
        <f t="shared" si="182"/>
        <v>2024</v>
      </c>
      <c r="G432" t="s">
        <v>1869</v>
      </c>
      <c r="H432" s="17">
        <v>45331</v>
      </c>
      <c r="I432" s="21">
        <f t="shared" si="183"/>
        <v>-221</v>
      </c>
      <c r="J432" s="6" t="str">
        <f t="shared" si="184"/>
        <v>INVALID_SHIPPING</v>
      </c>
      <c r="K432" s="1" t="s">
        <v>3104</v>
      </c>
      <c r="L432" s="1" t="s">
        <v>39</v>
      </c>
      <c r="M432" s="1" t="str">
        <f t="shared" si="163"/>
        <v>Mira Das</v>
      </c>
      <c r="N432" s="1" t="s">
        <v>104</v>
      </c>
      <c r="O432" s="1" t="str">
        <f t="shared" si="164"/>
        <v>Corporate</v>
      </c>
      <c r="P432" s="1" t="s">
        <v>71</v>
      </c>
      <c r="Q432" s="1" t="str">
        <f t="shared" si="165"/>
        <v>West</v>
      </c>
      <c r="R432" s="1" t="str">
        <f t="shared" si="166"/>
        <v>OK</v>
      </c>
      <c r="S432" s="1" t="s">
        <v>218</v>
      </c>
      <c r="T432" s="1" t="str">
        <f t="shared" si="167"/>
        <v>Gujarat</v>
      </c>
      <c r="U432" s="1" t="s">
        <v>219</v>
      </c>
      <c r="V432" s="1" t="str">
        <f t="shared" si="168"/>
        <v>Ahmedabad</v>
      </c>
      <c r="W432" s="1" t="s">
        <v>29</v>
      </c>
      <c r="X432" s="1" t="str">
        <f t="shared" si="169"/>
        <v>Office Supplies</v>
      </c>
      <c r="Y432" s="1" t="s">
        <v>53</v>
      </c>
      <c r="Z432" s="1" t="str">
        <f t="shared" si="170"/>
        <v>Art</v>
      </c>
      <c r="AA432" s="1" t="s">
        <v>3105</v>
      </c>
      <c r="AB432" s="1" t="s">
        <v>32</v>
      </c>
      <c r="AC432" s="1" t="str">
        <f t="shared" si="171"/>
        <v>Second Class</v>
      </c>
      <c r="AD432" s="1" t="str">
        <f t="shared" si="172"/>
        <v>OK</v>
      </c>
      <c r="AE432" s="1">
        <v>9</v>
      </c>
      <c r="AF432" s="1">
        <v>2307.96</v>
      </c>
      <c r="AG432" s="9">
        <v>0.2</v>
      </c>
      <c r="AH432" s="9">
        <f t="shared" si="173"/>
        <v>0.2</v>
      </c>
      <c r="AI432" s="1" t="str">
        <f t="shared" si="174"/>
        <v>OK</v>
      </c>
      <c r="AJ432" s="1">
        <v>16617.310000000001</v>
      </c>
      <c r="AK432" s="1">
        <v>9195.73</v>
      </c>
      <c r="AL432" s="1">
        <v>7421.58</v>
      </c>
      <c r="AM432" s="13">
        <f t="shared" si="175"/>
        <v>16617.312000000002</v>
      </c>
      <c r="AN432" s="9">
        <f t="shared" si="176"/>
        <v>7421.5820000000022</v>
      </c>
      <c r="AO432" s="9">
        <f t="shared" si="185"/>
        <v>0.44661747940942564</v>
      </c>
      <c r="AP432" s="1" t="s">
        <v>33</v>
      </c>
      <c r="AQ432" s="1" t="str">
        <f t="shared" si="177"/>
        <v>Paid</v>
      </c>
      <c r="AR432" s="1" t="str">
        <f t="shared" si="178"/>
        <v>OK</v>
      </c>
      <c r="AS432" s="1" t="s">
        <v>76</v>
      </c>
      <c r="AT432" s="4" t="str">
        <f t="shared" si="179"/>
        <v>Cancelled</v>
      </c>
      <c r="AU432" s="3" t="str">
        <f t="shared" si="180"/>
        <v>EXCLUDE_FROM_SALES</v>
      </c>
      <c r="AV432" s="3" t="str">
        <f t="shared" si="186"/>
        <v>INVALID</v>
      </c>
      <c r="AW432" t="str">
        <f t="shared" si="187"/>
        <v>MATCH</v>
      </c>
      <c r="AX432" t="str">
        <f t="shared" si="188"/>
        <v>MATCH</v>
      </c>
    </row>
    <row r="433" spans="1:50" ht="15.6">
      <c r="A433" s="1" t="s">
        <v>3106</v>
      </c>
      <c r="B433" s="1">
        <f t="shared" si="162"/>
        <v>1</v>
      </c>
      <c r="C433" s="16">
        <v>45356</v>
      </c>
      <c r="D433" s="16">
        <v>45356</v>
      </c>
      <c r="E433" s="16" t="str">
        <f t="shared" si="181"/>
        <v>Mar</v>
      </c>
      <c r="F433" s="1">
        <f t="shared" si="182"/>
        <v>2024</v>
      </c>
      <c r="G433" t="s">
        <v>1874</v>
      </c>
      <c r="H433" s="17">
        <v>45335</v>
      </c>
      <c r="I433" s="21">
        <f t="shared" si="183"/>
        <v>-21</v>
      </c>
      <c r="J433" s="6" t="str">
        <f t="shared" si="184"/>
        <v>INVALID_SHIPPING</v>
      </c>
      <c r="K433" s="1" t="s">
        <v>3107</v>
      </c>
      <c r="L433" s="1" t="s">
        <v>70</v>
      </c>
      <c r="M433" s="1" t="str">
        <f t="shared" si="163"/>
        <v>Ananya Rao</v>
      </c>
      <c r="N433" s="1" t="s">
        <v>110</v>
      </c>
      <c r="O433" s="1" t="str">
        <f t="shared" si="164"/>
        <v>Home Office</v>
      </c>
      <c r="P433" s="1" t="s">
        <v>26</v>
      </c>
      <c r="Q433" s="1" t="str">
        <f t="shared" si="165"/>
        <v>North</v>
      </c>
      <c r="R433" s="1" t="str">
        <f t="shared" si="166"/>
        <v>OK</v>
      </c>
      <c r="S433" s="1" t="s">
        <v>163</v>
      </c>
      <c r="T433" s="1" t="str">
        <f t="shared" si="167"/>
        <v>Uttar Pradesh</v>
      </c>
      <c r="U433" s="1" t="s">
        <v>164</v>
      </c>
      <c r="V433" s="1" t="str">
        <f t="shared" si="168"/>
        <v>Noida</v>
      </c>
      <c r="W433" s="1" t="s">
        <v>813</v>
      </c>
      <c r="X433" s="1" t="str">
        <f t="shared" si="169"/>
        <v>Office Supplies</v>
      </c>
      <c r="Y433" s="1" t="s">
        <v>184</v>
      </c>
      <c r="Z433" s="1" t="str">
        <f t="shared" si="170"/>
        <v>Binders</v>
      </c>
      <c r="AA433" s="1" t="s">
        <v>3108</v>
      </c>
      <c r="AB433" s="1" t="s">
        <v>65</v>
      </c>
      <c r="AC433" s="1" t="str">
        <f t="shared" si="171"/>
        <v>Standard Class</v>
      </c>
      <c r="AD433" s="1" t="str">
        <f t="shared" si="172"/>
        <v>OK</v>
      </c>
      <c r="AE433" s="1">
        <v>1</v>
      </c>
      <c r="AF433" s="1">
        <v>1244.58</v>
      </c>
      <c r="AG433" s="9">
        <v>0.25</v>
      </c>
      <c r="AH433" s="9">
        <f t="shared" si="173"/>
        <v>0.25</v>
      </c>
      <c r="AI433" s="1" t="str">
        <f t="shared" si="174"/>
        <v>OK</v>
      </c>
      <c r="AJ433" s="1">
        <v>933.43</v>
      </c>
      <c r="AK433" s="1">
        <v>583.09</v>
      </c>
      <c r="AL433" s="1">
        <v>350.34</v>
      </c>
      <c r="AM433" s="13">
        <f t="shared" si="175"/>
        <v>933.43499999999995</v>
      </c>
      <c r="AN433" s="9">
        <f t="shared" si="176"/>
        <v>350.34499999999991</v>
      </c>
      <c r="AO433" s="9">
        <f t="shared" si="185"/>
        <v>0.3753287588316272</v>
      </c>
      <c r="AP433" s="1" t="s">
        <v>33</v>
      </c>
      <c r="AQ433" s="1" t="str">
        <f t="shared" si="177"/>
        <v>Paid</v>
      </c>
      <c r="AR433" s="1" t="str">
        <f t="shared" si="178"/>
        <v>OK</v>
      </c>
      <c r="AS433" s="1" t="s">
        <v>34</v>
      </c>
      <c r="AT433" s="4" t="str">
        <f t="shared" si="179"/>
        <v>Completed</v>
      </c>
      <c r="AU433" s="3" t="str">
        <f t="shared" si="180"/>
        <v>OK</v>
      </c>
      <c r="AV433" s="3" t="str">
        <f t="shared" si="186"/>
        <v>INVALID</v>
      </c>
      <c r="AW433" t="str">
        <f t="shared" si="187"/>
        <v>MISMATCH</v>
      </c>
      <c r="AX433" t="str">
        <f t="shared" si="188"/>
        <v>MISMATCH</v>
      </c>
    </row>
    <row r="434" spans="1:50" ht="15.6">
      <c r="A434" s="1" t="s">
        <v>3113</v>
      </c>
      <c r="B434" s="1">
        <f t="shared" si="162"/>
        <v>1</v>
      </c>
      <c r="C434" s="16">
        <v>45601</v>
      </c>
      <c r="D434" s="16">
        <v>45601</v>
      </c>
      <c r="E434" s="16" t="str">
        <f t="shared" si="181"/>
        <v>Nov</v>
      </c>
      <c r="F434" s="1">
        <f t="shared" si="182"/>
        <v>2024</v>
      </c>
      <c r="G434" t="s">
        <v>1869</v>
      </c>
      <c r="H434" s="17">
        <v>45331</v>
      </c>
      <c r="I434" s="21">
        <f t="shared" si="183"/>
        <v>-270</v>
      </c>
      <c r="J434" s="6" t="str">
        <f t="shared" si="184"/>
        <v>INVALID_SHIPPING</v>
      </c>
      <c r="K434" s="1" t="s">
        <v>3114</v>
      </c>
      <c r="L434" s="1" t="s">
        <v>136</v>
      </c>
      <c r="M434" s="1" t="str">
        <f t="shared" si="163"/>
        <v>Priya Menon</v>
      </c>
      <c r="N434" s="1" t="s">
        <v>110</v>
      </c>
      <c r="O434" s="1" t="str">
        <f t="shared" si="164"/>
        <v>Home Office</v>
      </c>
      <c r="P434" s="1" t="s">
        <v>71</v>
      </c>
      <c r="Q434" s="1" t="str">
        <f t="shared" si="165"/>
        <v>West</v>
      </c>
      <c r="R434" s="1" t="str">
        <f t="shared" si="166"/>
        <v>OK</v>
      </c>
      <c r="S434" s="1" t="s">
        <v>230</v>
      </c>
      <c r="T434" s="1" t="str">
        <f t="shared" si="167"/>
        <v>Goa</v>
      </c>
      <c r="U434" s="1" t="s">
        <v>231</v>
      </c>
      <c r="V434" s="1" t="str">
        <f t="shared" si="168"/>
        <v>Panaji</v>
      </c>
      <c r="W434" s="1" t="s">
        <v>44</v>
      </c>
      <c r="X434" s="1" t="str">
        <f t="shared" si="169"/>
        <v>Furniture</v>
      </c>
      <c r="Y434" s="1" t="s">
        <v>190</v>
      </c>
      <c r="Z434" s="1" t="str">
        <f t="shared" si="170"/>
        <v>Bookcases</v>
      </c>
      <c r="AA434" s="1" t="s">
        <v>3115</v>
      </c>
      <c r="AB434" s="1" t="s">
        <v>47</v>
      </c>
      <c r="AC434" s="1" t="str">
        <f t="shared" si="171"/>
        <v>Same Day</v>
      </c>
      <c r="AD434" s="1" t="str">
        <f t="shared" si="172"/>
        <v>OK</v>
      </c>
      <c r="AE434" s="1">
        <v>3</v>
      </c>
      <c r="AF434" s="1">
        <v>3612.75</v>
      </c>
      <c r="AG434" s="9">
        <v>0.25</v>
      </c>
      <c r="AH434" s="9">
        <f t="shared" si="173"/>
        <v>0.25</v>
      </c>
      <c r="AI434" s="1" t="str">
        <f t="shared" si="174"/>
        <v>OK</v>
      </c>
      <c r="AJ434" s="1">
        <v>8128.69</v>
      </c>
      <c r="AK434" s="1">
        <v>5071.66</v>
      </c>
      <c r="AL434" s="1">
        <v>3057.03</v>
      </c>
      <c r="AM434" s="13">
        <f t="shared" si="175"/>
        <v>8128.6875</v>
      </c>
      <c r="AN434" s="9">
        <f t="shared" si="176"/>
        <v>3057.0275000000001</v>
      </c>
      <c r="AO434" s="9">
        <f t="shared" si="185"/>
        <v>0.3760788565189645</v>
      </c>
      <c r="AP434" s="1" t="s">
        <v>33</v>
      </c>
      <c r="AQ434" s="1" t="str">
        <f t="shared" si="177"/>
        <v>Paid</v>
      </c>
      <c r="AR434" s="1" t="str">
        <f t="shared" si="178"/>
        <v>OK</v>
      </c>
      <c r="AS434" s="1" t="s">
        <v>34</v>
      </c>
      <c r="AT434" s="4" t="str">
        <f t="shared" si="179"/>
        <v>Completed</v>
      </c>
      <c r="AU434" s="3" t="str">
        <f t="shared" si="180"/>
        <v>OK</v>
      </c>
      <c r="AV434" s="3" t="str">
        <f t="shared" si="186"/>
        <v>INVALID</v>
      </c>
      <c r="AW434" t="str">
        <f t="shared" si="187"/>
        <v>MATCH</v>
      </c>
      <c r="AX434" t="str">
        <f t="shared" si="188"/>
        <v>MATCH</v>
      </c>
    </row>
    <row r="435" spans="1:50" ht="15.6">
      <c r="A435" s="1" t="s">
        <v>3116</v>
      </c>
      <c r="B435" s="1">
        <f t="shared" si="162"/>
        <v>1</v>
      </c>
      <c r="C435" s="16">
        <v>45337</v>
      </c>
      <c r="D435" s="16">
        <v>45337</v>
      </c>
      <c r="E435" s="16" t="str">
        <f t="shared" si="181"/>
        <v>Feb</v>
      </c>
      <c r="F435" s="1">
        <f t="shared" si="182"/>
        <v>2024</v>
      </c>
      <c r="G435" t="s">
        <v>1881</v>
      </c>
      <c r="H435" s="17">
        <v>45402</v>
      </c>
      <c r="I435" s="21">
        <f t="shared" si="183"/>
        <v>65</v>
      </c>
      <c r="J435" s="6" t="str">
        <f t="shared" si="184"/>
        <v>OK</v>
      </c>
      <c r="K435" s="1" t="s">
        <v>3117</v>
      </c>
      <c r="L435" s="1" t="s">
        <v>90</v>
      </c>
      <c r="M435" s="1" t="str">
        <f t="shared" si="163"/>
        <v>Neha Gupta</v>
      </c>
      <c r="N435" s="1" t="s">
        <v>25</v>
      </c>
      <c r="O435" s="1" t="str">
        <f t="shared" si="164"/>
        <v>Consumer</v>
      </c>
      <c r="P435" s="1" t="s">
        <v>26</v>
      </c>
      <c r="Q435" s="1" t="str">
        <f t="shared" si="165"/>
        <v>North</v>
      </c>
      <c r="R435" s="1" t="str">
        <f t="shared" si="166"/>
        <v>OK</v>
      </c>
      <c r="S435" s="1" t="s">
        <v>163</v>
      </c>
      <c r="T435" s="1" t="str">
        <f t="shared" si="167"/>
        <v>Uttar Pradesh</v>
      </c>
      <c r="U435" s="1" t="s">
        <v>164</v>
      </c>
      <c r="V435" s="1" t="str">
        <f t="shared" si="168"/>
        <v>Noida</v>
      </c>
      <c r="W435" s="1" t="s">
        <v>83</v>
      </c>
      <c r="X435" s="1" t="str">
        <f t="shared" si="169"/>
        <v>Technology</v>
      </c>
      <c r="Y435" s="1" t="s">
        <v>91</v>
      </c>
      <c r="Z435" s="1" t="str">
        <f t="shared" si="170"/>
        <v>Copiers</v>
      </c>
      <c r="AA435" s="1" t="s">
        <v>3118</v>
      </c>
      <c r="AB435" s="1" t="s">
        <v>55</v>
      </c>
      <c r="AC435" s="1" t="str">
        <f t="shared" si="171"/>
        <v>First Class</v>
      </c>
      <c r="AD435" s="1" t="str">
        <f t="shared" si="172"/>
        <v>OK</v>
      </c>
      <c r="AE435" s="1">
        <v>4</v>
      </c>
      <c r="AF435" s="1">
        <v>863</v>
      </c>
      <c r="AG435" s="9"/>
      <c r="AH435" s="9">
        <f t="shared" si="173"/>
        <v>0</v>
      </c>
      <c r="AI435" s="1" t="str">
        <f t="shared" si="174"/>
        <v>Missing Discount</v>
      </c>
      <c r="AJ435" s="1">
        <v>3106.8</v>
      </c>
      <c r="AK435" s="1">
        <v>2376.62</v>
      </c>
      <c r="AL435" s="1">
        <v>730.18</v>
      </c>
      <c r="AM435" s="13">
        <f t="shared" si="175"/>
        <v>3452</v>
      </c>
      <c r="AN435" s="9">
        <f t="shared" si="176"/>
        <v>1075.3800000000001</v>
      </c>
      <c r="AO435" s="9">
        <f t="shared" si="185"/>
        <v>0.3115237543453071</v>
      </c>
      <c r="AP435" s="1" t="s">
        <v>33</v>
      </c>
      <c r="AQ435" s="1" t="str">
        <f t="shared" si="177"/>
        <v>Paid</v>
      </c>
      <c r="AR435" s="1" t="str">
        <f t="shared" si="178"/>
        <v>OK</v>
      </c>
      <c r="AS435" s="1" t="s">
        <v>34</v>
      </c>
      <c r="AT435" s="4" t="str">
        <f t="shared" si="179"/>
        <v>Completed</v>
      </c>
      <c r="AU435" s="3" t="str">
        <f t="shared" si="180"/>
        <v>OK</v>
      </c>
      <c r="AV435" s="3" t="str">
        <f t="shared" si="186"/>
        <v>INVALID</v>
      </c>
      <c r="AW435" t="str">
        <f t="shared" si="187"/>
        <v>MISMATCH</v>
      </c>
      <c r="AX435" t="str">
        <f t="shared" si="188"/>
        <v>MISMATCH</v>
      </c>
    </row>
    <row r="436" spans="1:50" ht="15.6">
      <c r="A436" s="1" t="s">
        <v>3119</v>
      </c>
      <c r="B436" s="1">
        <f t="shared" si="162"/>
        <v>1</v>
      </c>
      <c r="C436" s="16">
        <v>45633</v>
      </c>
      <c r="D436" s="16">
        <v>45633</v>
      </c>
      <c r="E436" s="16" t="str">
        <f t="shared" si="181"/>
        <v>Dec</v>
      </c>
      <c r="F436" s="1">
        <f t="shared" si="182"/>
        <v>2024</v>
      </c>
      <c r="G436" t="s">
        <v>1885</v>
      </c>
      <c r="H436" s="17">
        <v>45762</v>
      </c>
      <c r="I436" s="21">
        <f t="shared" si="183"/>
        <v>129</v>
      </c>
      <c r="J436" s="6" t="str">
        <f t="shared" si="184"/>
        <v>OK</v>
      </c>
      <c r="K436" s="1" t="s">
        <v>615</v>
      </c>
      <c r="L436" s="1" t="s">
        <v>70</v>
      </c>
      <c r="M436" s="1" t="str">
        <f t="shared" si="163"/>
        <v>Ananya Rao</v>
      </c>
      <c r="N436" s="1" t="s">
        <v>25</v>
      </c>
      <c r="O436" s="1" t="str">
        <f t="shared" si="164"/>
        <v>Consumer</v>
      </c>
      <c r="P436" s="1" t="s">
        <v>26</v>
      </c>
      <c r="Q436" s="1" t="str">
        <f t="shared" si="165"/>
        <v>North</v>
      </c>
      <c r="R436" s="1" t="str">
        <f t="shared" si="166"/>
        <v>OK</v>
      </c>
      <c r="S436" s="1" t="s">
        <v>294</v>
      </c>
      <c r="T436" s="1" t="str">
        <f t="shared" si="167"/>
        <v>Haryana</v>
      </c>
      <c r="U436" s="1" t="s">
        <v>295</v>
      </c>
      <c r="V436" s="1" t="str">
        <f t="shared" si="168"/>
        <v>Gurugram</v>
      </c>
      <c r="W436" s="1" t="s">
        <v>83</v>
      </c>
      <c r="X436" s="1" t="str">
        <f t="shared" si="169"/>
        <v>Technology</v>
      </c>
      <c r="Y436" s="1" t="s">
        <v>347</v>
      </c>
      <c r="Z436" s="1" t="str">
        <f t="shared" si="170"/>
        <v>Machines</v>
      </c>
      <c r="AA436" s="1" t="s">
        <v>3120</v>
      </c>
      <c r="AB436" s="1" t="s">
        <v>32</v>
      </c>
      <c r="AC436" s="1" t="str">
        <f t="shared" si="171"/>
        <v>Second Class</v>
      </c>
      <c r="AD436" s="1" t="str">
        <f t="shared" si="172"/>
        <v>OK</v>
      </c>
      <c r="AE436" s="1">
        <v>4</v>
      </c>
      <c r="AF436" s="1">
        <v>2131.41</v>
      </c>
      <c r="AG436" s="9"/>
      <c r="AH436" s="9">
        <f t="shared" si="173"/>
        <v>0</v>
      </c>
      <c r="AI436" s="1" t="str">
        <f t="shared" si="174"/>
        <v>Missing Discount</v>
      </c>
      <c r="AJ436" s="1">
        <v>6394.23</v>
      </c>
      <c r="AK436" s="1">
        <v>3520.69</v>
      </c>
      <c r="AL436" s="1">
        <v>2873.54</v>
      </c>
      <c r="AM436" s="13">
        <f t="shared" si="175"/>
        <v>8525.64</v>
      </c>
      <c r="AN436" s="9">
        <f t="shared" si="176"/>
        <v>5004.9499999999989</v>
      </c>
      <c r="AO436" s="9">
        <f t="shared" si="185"/>
        <v>0.58704683753946907</v>
      </c>
      <c r="AP436" s="1" t="s">
        <v>33</v>
      </c>
      <c r="AQ436" s="1" t="str">
        <f t="shared" si="177"/>
        <v>Paid</v>
      </c>
      <c r="AR436" s="1" t="str">
        <f t="shared" si="178"/>
        <v>OK</v>
      </c>
      <c r="AS436" s="1" t="s">
        <v>34</v>
      </c>
      <c r="AT436" s="4" t="str">
        <f t="shared" si="179"/>
        <v>Completed</v>
      </c>
      <c r="AU436" s="3" t="str">
        <f t="shared" si="180"/>
        <v>OK</v>
      </c>
      <c r="AV436" s="3" t="str">
        <f t="shared" si="186"/>
        <v>INVALID</v>
      </c>
      <c r="AW436" t="str">
        <f t="shared" si="187"/>
        <v>MISMATCH</v>
      </c>
      <c r="AX436" t="str">
        <f t="shared" si="188"/>
        <v>MISMATCH</v>
      </c>
    </row>
    <row r="437" spans="1:50" ht="15.6" hidden="1">
      <c r="A437" s="1" t="s">
        <v>3132</v>
      </c>
      <c r="B437" s="1">
        <f t="shared" si="162"/>
        <v>1</v>
      </c>
      <c r="C437" s="16">
        <v>45396</v>
      </c>
      <c r="D437" s="16">
        <v>45396</v>
      </c>
      <c r="E437" s="16" t="str">
        <f t="shared" si="181"/>
        <v>Apr</v>
      </c>
      <c r="F437" s="1">
        <f t="shared" si="182"/>
        <v>2024</v>
      </c>
      <c r="G437" t="s">
        <v>910</v>
      </c>
      <c r="H437" s="17">
        <v>45767</v>
      </c>
      <c r="I437" s="21">
        <f t="shared" si="183"/>
        <v>371</v>
      </c>
      <c r="J437" s="6" t="str">
        <f t="shared" si="184"/>
        <v>OK</v>
      </c>
      <c r="K437" s="1" t="s">
        <v>3134</v>
      </c>
      <c r="L437" s="1" t="s">
        <v>59</v>
      </c>
      <c r="M437" s="1" t="str">
        <f t="shared" si="163"/>
        <v>Arjun Bose</v>
      </c>
      <c r="N437" s="1" t="s">
        <v>25</v>
      </c>
      <c r="O437" s="1" t="str">
        <f t="shared" si="164"/>
        <v>Consumer</v>
      </c>
      <c r="P437" s="1" t="s">
        <v>26</v>
      </c>
      <c r="Q437" s="1" t="str">
        <f t="shared" si="165"/>
        <v>North</v>
      </c>
      <c r="R437" s="1" t="str">
        <f t="shared" si="166"/>
        <v>OK</v>
      </c>
      <c r="S437" s="1" t="s">
        <v>294</v>
      </c>
      <c r="T437" s="1" t="str">
        <f t="shared" si="167"/>
        <v>Haryana</v>
      </c>
      <c r="U437" s="1" t="s">
        <v>295</v>
      </c>
      <c r="V437" s="1" t="str">
        <f t="shared" si="168"/>
        <v>Gurugram</v>
      </c>
      <c r="W437" s="1" t="s">
        <v>83</v>
      </c>
      <c r="X437" s="1" t="str">
        <f t="shared" si="169"/>
        <v>Technology</v>
      </c>
      <c r="Y437" s="1" t="s">
        <v>84</v>
      </c>
      <c r="Z437" s="1" t="str">
        <f t="shared" si="170"/>
        <v>Accessories</v>
      </c>
      <c r="AA437" s="1" t="s">
        <v>3135</v>
      </c>
      <c r="AB437" s="1" t="s">
        <v>65</v>
      </c>
      <c r="AC437" s="1" t="str">
        <f t="shared" si="171"/>
        <v>Standard Class</v>
      </c>
      <c r="AD437" s="1" t="str">
        <f t="shared" si="172"/>
        <v>OK</v>
      </c>
      <c r="AE437" s="1">
        <v>8</v>
      </c>
      <c r="AF437" s="1">
        <v>3956.12</v>
      </c>
      <c r="AG437" s="9">
        <v>0.25</v>
      </c>
      <c r="AH437" s="9">
        <f t="shared" si="173"/>
        <v>0.25</v>
      </c>
      <c r="AI437" s="1" t="str">
        <f t="shared" si="174"/>
        <v>OK</v>
      </c>
      <c r="AJ437" s="1">
        <v>23736.720000000001</v>
      </c>
      <c r="AK437" s="1">
        <v>13890.9</v>
      </c>
      <c r="AL437" s="1">
        <v>9845.82</v>
      </c>
      <c r="AM437" s="13">
        <f t="shared" si="175"/>
        <v>23736.720000000001</v>
      </c>
      <c r="AN437" s="9">
        <f t="shared" si="176"/>
        <v>9845.8200000000015</v>
      </c>
      <c r="AO437" s="9">
        <f t="shared" si="185"/>
        <v>0.41479277676106896</v>
      </c>
      <c r="AP437" s="1" t="s">
        <v>33</v>
      </c>
      <c r="AQ437" s="1" t="str">
        <f t="shared" si="177"/>
        <v>Paid</v>
      </c>
      <c r="AR437" s="1" t="str">
        <f t="shared" si="178"/>
        <v>OK</v>
      </c>
      <c r="AS437" s="1" t="s">
        <v>34</v>
      </c>
      <c r="AT437" s="4" t="str">
        <f t="shared" si="179"/>
        <v>Completed</v>
      </c>
      <c r="AU437" s="3" t="str">
        <f t="shared" si="180"/>
        <v>OK</v>
      </c>
      <c r="AV437" s="3" t="str">
        <f t="shared" si="186"/>
        <v>CLEAN</v>
      </c>
      <c r="AW437" t="str">
        <f t="shared" si="187"/>
        <v>MATCH</v>
      </c>
      <c r="AX437" t="str">
        <f t="shared" si="188"/>
        <v>MATCH</v>
      </c>
    </row>
    <row r="438" spans="1:50" ht="15.6" hidden="1">
      <c r="A438" s="1" t="s">
        <v>3139</v>
      </c>
      <c r="B438" s="1">
        <f t="shared" si="162"/>
        <v>1</v>
      </c>
      <c r="C438" s="16">
        <v>45326</v>
      </c>
      <c r="D438" s="16">
        <v>45326</v>
      </c>
      <c r="E438" s="16" t="str">
        <f t="shared" si="181"/>
        <v>Feb</v>
      </c>
      <c r="F438" s="1">
        <f t="shared" si="182"/>
        <v>2024</v>
      </c>
      <c r="G438" t="s">
        <v>1892</v>
      </c>
      <c r="H438" s="17">
        <v>45464</v>
      </c>
      <c r="I438" s="21">
        <f t="shared" si="183"/>
        <v>138</v>
      </c>
      <c r="J438" s="6" t="str">
        <f t="shared" si="184"/>
        <v>OK</v>
      </c>
      <c r="K438" s="1" t="s">
        <v>3140</v>
      </c>
      <c r="L438" s="1" t="s">
        <v>334</v>
      </c>
      <c r="M438" s="1" t="str">
        <f t="shared" si="163"/>
        <v>Kabir Singh</v>
      </c>
      <c r="N438" s="1" t="s">
        <v>40</v>
      </c>
      <c r="O438" s="1" t="str">
        <f t="shared" si="164"/>
        <v>Small Business</v>
      </c>
      <c r="P438" s="1" t="s">
        <v>71</v>
      </c>
      <c r="Q438" s="1" t="str">
        <f t="shared" si="165"/>
        <v>West</v>
      </c>
      <c r="R438" s="1" t="str">
        <f t="shared" si="166"/>
        <v>OK</v>
      </c>
      <c r="S438" s="1" t="s">
        <v>81</v>
      </c>
      <c r="T438" s="1" t="str">
        <f t="shared" si="167"/>
        <v>Madhya Pradesh</v>
      </c>
      <c r="U438" s="1" t="s">
        <v>82</v>
      </c>
      <c r="V438" s="1" t="str">
        <f t="shared" si="168"/>
        <v>Indore</v>
      </c>
      <c r="W438" s="1" t="s">
        <v>83</v>
      </c>
      <c r="X438" s="1" t="str">
        <f t="shared" si="169"/>
        <v>Technology</v>
      </c>
      <c r="Y438" s="1" t="s">
        <v>84</v>
      </c>
      <c r="Z438" s="1" t="str">
        <f t="shared" si="170"/>
        <v>Accessories</v>
      </c>
      <c r="AA438" s="1" t="s">
        <v>3141</v>
      </c>
      <c r="AB438" s="1" t="s">
        <v>32</v>
      </c>
      <c r="AC438" s="1" t="str">
        <f t="shared" si="171"/>
        <v>Second Class</v>
      </c>
      <c r="AD438" s="1" t="str">
        <f t="shared" si="172"/>
        <v>OK</v>
      </c>
      <c r="AE438" s="1">
        <v>4</v>
      </c>
      <c r="AF438" s="1">
        <v>1489.74</v>
      </c>
      <c r="AG438" s="9">
        <v>0.15</v>
      </c>
      <c r="AH438" s="9">
        <f t="shared" si="173"/>
        <v>0.15</v>
      </c>
      <c r="AI438" s="1" t="str">
        <f t="shared" si="174"/>
        <v>OK</v>
      </c>
      <c r="AJ438" s="1">
        <v>5065.12</v>
      </c>
      <c r="AK438" s="1">
        <v>3530.12</v>
      </c>
      <c r="AL438" s="1">
        <v>1535</v>
      </c>
      <c r="AM438" s="13">
        <f t="shared" si="175"/>
        <v>5065.116</v>
      </c>
      <c r="AN438" s="9">
        <f t="shared" si="176"/>
        <v>1534.9960000000001</v>
      </c>
      <c r="AO438" s="9">
        <f t="shared" si="185"/>
        <v>0.30305248685321323</v>
      </c>
      <c r="AP438" s="1" t="s">
        <v>186</v>
      </c>
      <c r="AQ438" s="1" t="str">
        <f t="shared" si="177"/>
        <v>Failed</v>
      </c>
      <c r="AR438" s="1" t="str">
        <f t="shared" si="178"/>
        <v>EXCLUDE_FROM_SALES</v>
      </c>
      <c r="AS438" s="1" t="s">
        <v>76</v>
      </c>
      <c r="AT438" s="4" t="str">
        <f t="shared" si="179"/>
        <v>Cancelled</v>
      </c>
      <c r="AU438" s="3" t="str">
        <f t="shared" si="180"/>
        <v>EXCLUDE_FROM_SALES</v>
      </c>
      <c r="AV438" s="3" t="str">
        <f t="shared" si="186"/>
        <v>CLEAN</v>
      </c>
      <c r="AW438" t="str">
        <f t="shared" si="187"/>
        <v>MATCH</v>
      </c>
      <c r="AX438" t="str">
        <f t="shared" si="188"/>
        <v>MATCH</v>
      </c>
    </row>
    <row r="439" spans="1:50" ht="15.6">
      <c r="A439" s="1" t="s">
        <v>3142</v>
      </c>
      <c r="B439" s="1">
        <f t="shared" si="162"/>
        <v>1</v>
      </c>
      <c r="C439" s="16">
        <v>45497</v>
      </c>
      <c r="D439" s="16">
        <v>45497</v>
      </c>
      <c r="E439" s="16" t="str">
        <f t="shared" si="181"/>
        <v>Jul</v>
      </c>
      <c r="F439" s="1">
        <f t="shared" si="182"/>
        <v>2024</v>
      </c>
      <c r="G439" t="s">
        <v>1896</v>
      </c>
      <c r="H439" s="17">
        <v>45340</v>
      </c>
      <c r="I439" s="21">
        <f t="shared" si="183"/>
        <v>-157</v>
      </c>
      <c r="J439" s="6" t="str">
        <f t="shared" si="184"/>
        <v>INVALID_SHIPPING</v>
      </c>
      <c r="K439" s="1" t="s">
        <v>3144</v>
      </c>
      <c r="L439" s="1" t="s">
        <v>24</v>
      </c>
      <c r="M439" s="1" t="str">
        <f t="shared" si="163"/>
        <v>Karan Malhotra</v>
      </c>
      <c r="N439" s="1" t="s">
        <v>40</v>
      </c>
      <c r="O439" s="1" t="str">
        <f t="shared" si="164"/>
        <v>Small Business</v>
      </c>
      <c r="P439" s="1" t="s">
        <v>26</v>
      </c>
      <c r="Q439" s="1" t="str">
        <f t="shared" si="165"/>
        <v>North</v>
      </c>
      <c r="R439" s="1" t="str">
        <f t="shared" si="166"/>
        <v>OK</v>
      </c>
      <c r="S439" s="1" t="s">
        <v>294</v>
      </c>
      <c r="T439" s="1" t="str">
        <f t="shared" si="167"/>
        <v>Haryana</v>
      </c>
      <c r="U439" s="1" t="s">
        <v>295</v>
      </c>
      <c r="V439" s="1" t="str">
        <f t="shared" si="168"/>
        <v>Gurugram</v>
      </c>
      <c r="W439" s="1" t="s">
        <v>83</v>
      </c>
      <c r="X439" s="1" t="str">
        <f t="shared" si="169"/>
        <v>Technology</v>
      </c>
      <c r="Y439" s="1" t="s">
        <v>91</v>
      </c>
      <c r="Z439" s="1" t="str">
        <f t="shared" si="170"/>
        <v>Copiers</v>
      </c>
      <c r="AA439" s="1" t="s">
        <v>3145</v>
      </c>
      <c r="AB439" s="1" t="s">
        <v>32</v>
      </c>
      <c r="AC439" s="1" t="str">
        <f t="shared" si="171"/>
        <v>Second Class</v>
      </c>
      <c r="AD439" s="1" t="str">
        <f t="shared" si="172"/>
        <v>OK</v>
      </c>
      <c r="AE439" s="1">
        <v>4</v>
      </c>
      <c r="AF439" s="1">
        <v>1676.88</v>
      </c>
      <c r="AG439" s="9">
        <v>0</v>
      </c>
      <c r="AH439" s="9">
        <f t="shared" si="173"/>
        <v>0</v>
      </c>
      <c r="AI439" s="1" t="str">
        <f t="shared" si="174"/>
        <v>OK</v>
      </c>
      <c r="AJ439" s="1">
        <v>6707.52</v>
      </c>
      <c r="AK439" s="1">
        <v>5672.57</v>
      </c>
      <c r="AL439" s="1">
        <v>1034.95</v>
      </c>
      <c r="AM439" s="13">
        <f t="shared" si="175"/>
        <v>6707.52</v>
      </c>
      <c r="AN439" s="9">
        <f t="shared" si="176"/>
        <v>1034.9500000000007</v>
      </c>
      <c r="AO439" s="9">
        <f t="shared" si="185"/>
        <v>0.15429696817899918</v>
      </c>
      <c r="AP439" s="1" t="s">
        <v>33</v>
      </c>
      <c r="AQ439" s="1" t="str">
        <f t="shared" si="177"/>
        <v>Paid</v>
      </c>
      <c r="AR439" s="1" t="str">
        <f t="shared" si="178"/>
        <v>OK</v>
      </c>
      <c r="AS439" s="1" t="s">
        <v>34</v>
      </c>
      <c r="AT439" s="4" t="str">
        <f t="shared" si="179"/>
        <v>Completed</v>
      </c>
      <c r="AU439" s="3" t="str">
        <f t="shared" si="180"/>
        <v>OK</v>
      </c>
      <c r="AV439" s="3" t="str">
        <f t="shared" si="186"/>
        <v>INVALID</v>
      </c>
      <c r="AW439" t="str">
        <f t="shared" si="187"/>
        <v>MATCH</v>
      </c>
      <c r="AX439" t="str">
        <f t="shared" si="188"/>
        <v>MATCH</v>
      </c>
    </row>
    <row r="440" spans="1:50" ht="15.6" hidden="1">
      <c r="A440" s="1" t="s">
        <v>3146</v>
      </c>
      <c r="B440" s="1">
        <f t="shared" si="162"/>
        <v>1</v>
      </c>
      <c r="C440" s="16">
        <v>45306</v>
      </c>
      <c r="D440" s="16">
        <v>45306</v>
      </c>
      <c r="E440" s="16" t="str">
        <f t="shared" si="181"/>
        <v>Jan</v>
      </c>
      <c r="F440" s="1">
        <f t="shared" si="182"/>
        <v>2024</v>
      </c>
      <c r="G440" t="s">
        <v>1900</v>
      </c>
      <c r="H440" s="17">
        <v>45782</v>
      </c>
      <c r="I440" s="21">
        <f t="shared" si="183"/>
        <v>476</v>
      </c>
      <c r="J440" s="6" t="str">
        <f t="shared" si="184"/>
        <v>OK</v>
      </c>
      <c r="K440" s="1" t="s">
        <v>3148</v>
      </c>
      <c r="L440" s="1" t="s">
        <v>136</v>
      </c>
      <c r="M440" s="1" t="str">
        <f t="shared" si="163"/>
        <v>Priya Menon</v>
      </c>
      <c r="N440" s="1" t="s">
        <v>40</v>
      </c>
      <c r="O440" s="1" t="str">
        <f t="shared" si="164"/>
        <v>Small Business</v>
      </c>
      <c r="P440" s="1" t="s">
        <v>60</v>
      </c>
      <c r="Q440" s="1" t="str">
        <f t="shared" si="165"/>
        <v>South</v>
      </c>
      <c r="R440" s="1" t="str">
        <f t="shared" si="166"/>
        <v>OK</v>
      </c>
      <c r="S440" s="1" t="s">
        <v>97</v>
      </c>
      <c r="T440" s="1" t="str">
        <f t="shared" si="167"/>
        <v>Andhra Pradesh</v>
      </c>
      <c r="U440" s="1" t="s">
        <v>98</v>
      </c>
      <c r="V440" s="1" t="str">
        <f t="shared" si="168"/>
        <v>Vijayawada</v>
      </c>
      <c r="W440" s="1" t="s">
        <v>44</v>
      </c>
      <c r="X440" s="1" t="str">
        <f t="shared" si="169"/>
        <v>Furniture</v>
      </c>
      <c r="Y440" s="1" t="s">
        <v>74</v>
      </c>
      <c r="Z440" s="1" t="str">
        <f t="shared" si="170"/>
        <v>Chairs</v>
      </c>
      <c r="AA440" s="1" t="s">
        <v>3149</v>
      </c>
      <c r="AB440" s="1" t="s">
        <v>65</v>
      </c>
      <c r="AC440" s="1" t="str">
        <f t="shared" si="171"/>
        <v>Standard Class</v>
      </c>
      <c r="AD440" s="1" t="str">
        <f t="shared" si="172"/>
        <v>OK</v>
      </c>
      <c r="AE440" s="1">
        <v>4</v>
      </c>
      <c r="AF440" s="1">
        <v>3153.54</v>
      </c>
      <c r="AG440" s="9">
        <v>0.05</v>
      </c>
      <c r="AH440" s="9">
        <f t="shared" si="173"/>
        <v>0.05</v>
      </c>
      <c r="AI440" s="1" t="str">
        <f t="shared" si="174"/>
        <v>OK</v>
      </c>
      <c r="AJ440" s="1">
        <v>11983.45</v>
      </c>
      <c r="AK440" s="1">
        <v>8572.9</v>
      </c>
      <c r="AL440" s="1">
        <v>3410.55</v>
      </c>
      <c r="AM440" s="13">
        <f t="shared" si="175"/>
        <v>11983.451999999999</v>
      </c>
      <c r="AN440" s="9">
        <f t="shared" si="176"/>
        <v>3410.5519999999997</v>
      </c>
      <c r="AO440" s="9">
        <f t="shared" si="185"/>
        <v>0.2846051371507976</v>
      </c>
      <c r="AP440" s="1" t="s">
        <v>33</v>
      </c>
      <c r="AQ440" s="1" t="str">
        <f t="shared" si="177"/>
        <v>Paid</v>
      </c>
      <c r="AR440" s="1" t="str">
        <f t="shared" si="178"/>
        <v>OK</v>
      </c>
      <c r="AS440" s="1" t="s">
        <v>34</v>
      </c>
      <c r="AT440" s="4" t="str">
        <f t="shared" si="179"/>
        <v>Completed</v>
      </c>
      <c r="AU440" s="3" t="str">
        <f t="shared" si="180"/>
        <v>OK</v>
      </c>
      <c r="AV440" s="3" t="str">
        <f t="shared" si="186"/>
        <v>CLEAN</v>
      </c>
      <c r="AW440" t="str">
        <f t="shared" si="187"/>
        <v>MATCH</v>
      </c>
      <c r="AX440" t="str">
        <f t="shared" si="188"/>
        <v>MATCH</v>
      </c>
    </row>
    <row r="441" spans="1:50" ht="15.6" hidden="1">
      <c r="A441" s="1" t="s">
        <v>3150</v>
      </c>
      <c r="B441" s="1">
        <f t="shared" si="162"/>
        <v>1</v>
      </c>
      <c r="C441" s="16">
        <v>45390</v>
      </c>
      <c r="D441" s="16">
        <v>45390</v>
      </c>
      <c r="E441" s="16" t="str">
        <f t="shared" si="181"/>
        <v>Apr</v>
      </c>
      <c r="F441" s="1">
        <f t="shared" si="182"/>
        <v>2024</v>
      </c>
      <c r="G441" t="s">
        <v>1904</v>
      </c>
      <c r="H441" s="17">
        <v>45841</v>
      </c>
      <c r="I441" s="21">
        <f t="shared" si="183"/>
        <v>451</v>
      </c>
      <c r="J441" s="6" t="str">
        <f t="shared" si="184"/>
        <v>OK</v>
      </c>
      <c r="K441" s="1" t="s">
        <v>3151</v>
      </c>
      <c r="L441" s="1" t="s">
        <v>196</v>
      </c>
      <c r="M441" s="1" t="str">
        <f t="shared" si="163"/>
        <v>Diya Patel</v>
      </c>
      <c r="N441" s="1" t="s">
        <v>40</v>
      </c>
      <c r="O441" s="1" t="str">
        <f t="shared" si="164"/>
        <v>Small Business</v>
      </c>
      <c r="P441" s="1" t="s">
        <v>71</v>
      </c>
      <c r="Q441" s="1" t="str">
        <f t="shared" si="165"/>
        <v>West</v>
      </c>
      <c r="R441" s="1" t="str">
        <f t="shared" si="166"/>
        <v>OK</v>
      </c>
      <c r="S441" s="1" t="s">
        <v>27</v>
      </c>
      <c r="T441" s="1" t="str">
        <f t="shared" si="167"/>
        <v>Rajasthan</v>
      </c>
      <c r="U441" s="1" t="s">
        <v>129</v>
      </c>
      <c r="V441" s="1" t="str">
        <f t="shared" si="168"/>
        <v>Udaipur</v>
      </c>
      <c r="W441" s="1" t="s">
        <v>44</v>
      </c>
      <c r="X441" s="1" t="str">
        <f t="shared" si="169"/>
        <v>Furniture</v>
      </c>
      <c r="Y441" s="1" t="s">
        <v>74</v>
      </c>
      <c r="Z441" s="1" t="str">
        <f t="shared" si="170"/>
        <v>Chairs</v>
      </c>
      <c r="AA441" s="1" t="s">
        <v>3152</v>
      </c>
      <c r="AB441" s="1" t="s">
        <v>47</v>
      </c>
      <c r="AC441" s="1" t="str">
        <f t="shared" si="171"/>
        <v>Same Day</v>
      </c>
      <c r="AD441" s="1" t="str">
        <f t="shared" si="172"/>
        <v>OK</v>
      </c>
      <c r="AE441" s="1">
        <v>4</v>
      </c>
      <c r="AF441" s="1">
        <v>426.43</v>
      </c>
      <c r="AG441" s="9">
        <v>0.2</v>
      </c>
      <c r="AH441" s="9">
        <f t="shared" si="173"/>
        <v>0.2</v>
      </c>
      <c r="AI441" s="1" t="str">
        <f t="shared" si="174"/>
        <v>OK</v>
      </c>
      <c r="AJ441" s="1">
        <v>1364.58</v>
      </c>
      <c r="AK441" s="1">
        <v>978.16</v>
      </c>
      <c r="AL441" s="1">
        <v>386.42</v>
      </c>
      <c r="AM441" s="13">
        <f t="shared" si="175"/>
        <v>1364.576</v>
      </c>
      <c r="AN441" s="9">
        <f t="shared" si="176"/>
        <v>386.41600000000005</v>
      </c>
      <c r="AO441" s="9">
        <f t="shared" si="185"/>
        <v>0.28317660577351506</v>
      </c>
      <c r="AP441" s="1" t="s">
        <v>33</v>
      </c>
      <c r="AQ441" s="1" t="str">
        <f t="shared" si="177"/>
        <v>Paid</v>
      </c>
      <c r="AR441" s="1" t="str">
        <f t="shared" si="178"/>
        <v>OK</v>
      </c>
      <c r="AS441" s="1" t="s">
        <v>34</v>
      </c>
      <c r="AT441" s="4" t="str">
        <f t="shared" si="179"/>
        <v>Completed</v>
      </c>
      <c r="AU441" s="3" t="str">
        <f t="shared" si="180"/>
        <v>OK</v>
      </c>
      <c r="AV441" s="3" t="str">
        <f t="shared" si="186"/>
        <v>CLEAN</v>
      </c>
      <c r="AW441" t="str">
        <f t="shared" si="187"/>
        <v>MATCH</v>
      </c>
      <c r="AX441" t="str">
        <f t="shared" si="188"/>
        <v>MATCH</v>
      </c>
    </row>
    <row r="442" spans="1:50" ht="15.6" hidden="1">
      <c r="A442" s="1" t="s">
        <v>3153</v>
      </c>
      <c r="B442" s="1">
        <f t="shared" si="162"/>
        <v>1</v>
      </c>
      <c r="C442" s="16">
        <v>45324</v>
      </c>
      <c r="D442" s="16">
        <v>45324</v>
      </c>
      <c r="E442" s="16" t="str">
        <f t="shared" si="181"/>
        <v>Feb</v>
      </c>
      <c r="F442" s="1">
        <f t="shared" si="182"/>
        <v>2024</v>
      </c>
      <c r="G442" t="s">
        <v>1909</v>
      </c>
      <c r="H442" s="17">
        <v>45390</v>
      </c>
      <c r="I442" s="21">
        <f t="shared" si="183"/>
        <v>66</v>
      </c>
      <c r="J442" s="6" t="str">
        <f t="shared" si="184"/>
        <v>OK</v>
      </c>
      <c r="K442" s="1" t="s">
        <v>3154</v>
      </c>
      <c r="L442" s="1" t="s">
        <v>24</v>
      </c>
      <c r="M442" s="1" t="str">
        <f t="shared" si="163"/>
        <v>Karan Malhotra</v>
      </c>
      <c r="N442" s="1" t="s">
        <v>110</v>
      </c>
      <c r="O442" s="1" t="str">
        <f t="shared" si="164"/>
        <v>Home Office</v>
      </c>
      <c r="P442" s="1" t="s">
        <v>71</v>
      </c>
      <c r="Q442" s="1" t="str">
        <f t="shared" si="165"/>
        <v>West</v>
      </c>
      <c r="R442" s="1" t="str">
        <f t="shared" si="166"/>
        <v>OK</v>
      </c>
      <c r="S442" s="1" t="s">
        <v>27</v>
      </c>
      <c r="T442" s="1" t="str">
        <f t="shared" si="167"/>
        <v>Rajasthan</v>
      </c>
      <c r="U442" s="1" t="s">
        <v>129</v>
      </c>
      <c r="V442" s="1" t="str">
        <f t="shared" si="168"/>
        <v>Udaipur</v>
      </c>
      <c r="W442" s="1" t="s">
        <v>29</v>
      </c>
      <c r="X442" s="1" t="str">
        <f t="shared" si="169"/>
        <v>Office Supplies</v>
      </c>
      <c r="Y442" s="1" t="s">
        <v>105</v>
      </c>
      <c r="Z442" s="1" t="str">
        <f t="shared" si="170"/>
        <v>Labels</v>
      </c>
      <c r="AA442" s="1" t="s">
        <v>3155</v>
      </c>
      <c r="AB442" s="1" t="s">
        <v>55</v>
      </c>
      <c r="AC442" s="1" t="str">
        <f t="shared" si="171"/>
        <v>First Class</v>
      </c>
      <c r="AD442" s="1" t="str">
        <f t="shared" si="172"/>
        <v>OK</v>
      </c>
      <c r="AE442" s="1">
        <v>3</v>
      </c>
      <c r="AF442" s="1">
        <v>383.4</v>
      </c>
      <c r="AG442" s="9">
        <v>0.25</v>
      </c>
      <c r="AH442" s="9">
        <f t="shared" si="173"/>
        <v>0.25</v>
      </c>
      <c r="AI442" s="1" t="str">
        <f t="shared" si="174"/>
        <v>OK</v>
      </c>
      <c r="AJ442" s="1">
        <v>862.65</v>
      </c>
      <c r="AK442" s="1">
        <v>603.73</v>
      </c>
      <c r="AL442" s="1">
        <v>258.92</v>
      </c>
      <c r="AM442" s="13">
        <f t="shared" si="175"/>
        <v>862.64999999999986</v>
      </c>
      <c r="AN442" s="9">
        <f t="shared" si="176"/>
        <v>258.91999999999985</v>
      </c>
      <c r="AO442" s="9">
        <f t="shared" si="185"/>
        <v>0.30014490233582553</v>
      </c>
      <c r="AP442" s="1" t="s">
        <v>131</v>
      </c>
      <c r="AQ442" s="1" t="str">
        <f t="shared" si="177"/>
        <v>Pending</v>
      </c>
      <c r="AR442" s="1" t="str">
        <f t="shared" si="178"/>
        <v>OK</v>
      </c>
      <c r="AS442" s="1" t="s">
        <v>120</v>
      </c>
      <c r="AT442" s="4" t="str">
        <f t="shared" si="179"/>
        <v>Returned</v>
      </c>
      <c r="AU442" s="3" t="str">
        <f t="shared" si="180"/>
        <v>RETURNED_ORDER</v>
      </c>
      <c r="AV442" s="3" t="str">
        <f t="shared" si="186"/>
        <v>CLEAN</v>
      </c>
      <c r="AW442" t="str">
        <f t="shared" si="187"/>
        <v>MATCH</v>
      </c>
      <c r="AX442" t="str">
        <f t="shared" si="188"/>
        <v>MATCH</v>
      </c>
    </row>
    <row r="443" spans="1:50" ht="15.6" hidden="1">
      <c r="A443" s="1" t="s">
        <v>3160</v>
      </c>
      <c r="B443" s="1">
        <f t="shared" si="162"/>
        <v>1</v>
      </c>
      <c r="C443" s="16">
        <v>45479</v>
      </c>
      <c r="D443" s="16">
        <v>45479</v>
      </c>
      <c r="E443" s="16" t="str">
        <f t="shared" si="181"/>
        <v>Jul</v>
      </c>
      <c r="F443" s="1">
        <f t="shared" si="182"/>
        <v>2024</v>
      </c>
      <c r="G443" t="s">
        <v>471</v>
      </c>
      <c r="H443" s="17">
        <v>45568</v>
      </c>
      <c r="I443" s="21">
        <f t="shared" si="183"/>
        <v>89</v>
      </c>
      <c r="J443" s="6" t="str">
        <f t="shared" si="184"/>
        <v>OK</v>
      </c>
      <c r="K443" s="1" t="s">
        <v>3162</v>
      </c>
      <c r="L443" s="1" t="s">
        <v>153</v>
      </c>
      <c r="M443" s="1" t="str">
        <f t="shared" si="163"/>
        <v>Aarav Sharma</v>
      </c>
      <c r="N443" s="1" t="s">
        <v>40</v>
      </c>
      <c r="O443" s="1" t="str">
        <f t="shared" si="164"/>
        <v>Small Business</v>
      </c>
      <c r="P443" s="1" t="s">
        <v>41</v>
      </c>
      <c r="Q443" s="1" t="str">
        <f t="shared" si="165"/>
        <v>East</v>
      </c>
      <c r="R443" s="1" t="str">
        <f t="shared" si="166"/>
        <v>OK</v>
      </c>
      <c r="S443" s="1" t="s">
        <v>174</v>
      </c>
      <c r="T443" s="1" t="str">
        <f t="shared" si="167"/>
        <v>Bihar</v>
      </c>
      <c r="U443" s="1" t="s">
        <v>175</v>
      </c>
      <c r="V443" s="1" t="str">
        <f t="shared" si="168"/>
        <v>Patna</v>
      </c>
      <c r="W443" s="1" t="s">
        <v>29</v>
      </c>
      <c r="X443" s="1" t="str">
        <f t="shared" si="169"/>
        <v>Office Supplies</v>
      </c>
      <c r="Y443" s="1" t="s">
        <v>53</v>
      </c>
      <c r="Z443" s="1" t="str">
        <f t="shared" si="170"/>
        <v>Art</v>
      </c>
      <c r="AA443" s="1" t="s">
        <v>3163</v>
      </c>
      <c r="AB443" s="1" t="s">
        <v>32</v>
      </c>
      <c r="AC443" s="1" t="str">
        <f t="shared" si="171"/>
        <v>Second Class</v>
      </c>
      <c r="AD443" s="1" t="str">
        <f t="shared" si="172"/>
        <v>OK</v>
      </c>
      <c r="AE443" s="1">
        <v>1</v>
      </c>
      <c r="AF443" s="1">
        <v>2581.9299999999998</v>
      </c>
      <c r="AG443" s="9">
        <v>0.05</v>
      </c>
      <c r="AH443" s="9">
        <f t="shared" si="173"/>
        <v>0.05</v>
      </c>
      <c r="AI443" s="1" t="str">
        <f t="shared" si="174"/>
        <v>OK</v>
      </c>
      <c r="AJ443" s="1">
        <v>2452.83</v>
      </c>
      <c r="AK443" s="1">
        <v>1906.7</v>
      </c>
      <c r="AL443" s="1">
        <v>546.13</v>
      </c>
      <c r="AM443" s="13">
        <f t="shared" si="175"/>
        <v>2452.8334999999997</v>
      </c>
      <c r="AN443" s="9">
        <f t="shared" si="176"/>
        <v>546.13349999999969</v>
      </c>
      <c r="AO443" s="9">
        <f t="shared" si="185"/>
        <v>0.22265412634000625</v>
      </c>
      <c r="AP443" s="1" t="s">
        <v>33</v>
      </c>
      <c r="AQ443" s="1" t="str">
        <f t="shared" si="177"/>
        <v>Paid</v>
      </c>
      <c r="AR443" s="1" t="str">
        <f t="shared" si="178"/>
        <v>OK</v>
      </c>
      <c r="AS443" s="1" t="s">
        <v>34</v>
      </c>
      <c r="AT443" s="4" t="str">
        <f t="shared" si="179"/>
        <v>Completed</v>
      </c>
      <c r="AU443" s="3" t="str">
        <f t="shared" si="180"/>
        <v>OK</v>
      </c>
      <c r="AV443" s="3" t="str">
        <f t="shared" si="186"/>
        <v>CLEAN</v>
      </c>
      <c r="AW443" t="str">
        <f t="shared" si="187"/>
        <v>MATCH</v>
      </c>
      <c r="AX443" t="str">
        <f t="shared" si="188"/>
        <v>MATCH</v>
      </c>
    </row>
    <row r="444" spans="1:50" ht="15.6" hidden="1">
      <c r="A444" s="1" t="s">
        <v>3168</v>
      </c>
      <c r="B444" s="1">
        <f t="shared" si="162"/>
        <v>1</v>
      </c>
      <c r="C444" s="16">
        <v>45435</v>
      </c>
      <c r="D444" s="16">
        <v>45435</v>
      </c>
      <c r="E444" s="16" t="str">
        <f t="shared" si="181"/>
        <v>May</v>
      </c>
      <c r="F444" s="1">
        <f t="shared" si="182"/>
        <v>2024</v>
      </c>
      <c r="G444" t="s">
        <v>1916</v>
      </c>
      <c r="H444" s="17">
        <v>45676</v>
      </c>
      <c r="I444" s="21">
        <f t="shared" si="183"/>
        <v>241</v>
      </c>
      <c r="J444" s="6" t="str">
        <f t="shared" si="184"/>
        <v>OK</v>
      </c>
      <c r="K444" s="1" t="s">
        <v>3169</v>
      </c>
      <c r="L444" s="1" t="s">
        <v>196</v>
      </c>
      <c r="M444" s="1" t="str">
        <f t="shared" si="163"/>
        <v>Diya Patel</v>
      </c>
      <c r="N444" s="1" t="s">
        <v>40</v>
      </c>
      <c r="O444" s="1" t="str">
        <f t="shared" si="164"/>
        <v>Small Business</v>
      </c>
      <c r="P444" s="1" t="s">
        <v>26</v>
      </c>
      <c r="Q444" s="1" t="str">
        <f t="shared" si="165"/>
        <v>North</v>
      </c>
      <c r="R444" s="1" t="str">
        <f t="shared" si="166"/>
        <v>OK</v>
      </c>
      <c r="S444" s="1" t="s">
        <v>294</v>
      </c>
      <c r="T444" s="1" t="str">
        <f t="shared" si="167"/>
        <v>Haryana</v>
      </c>
      <c r="U444" s="1" t="s">
        <v>295</v>
      </c>
      <c r="V444" s="1" t="str">
        <f t="shared" si="168"/>
        <v>Gurugram</v>
      </c>
      <c r="W444" s="1" t="s">
        <v>29</v>
      </c>
      <c r="X444" s="1" t="str">
        <f t="shared" si="169"/>
        <v>Office Supplies</v>
      </c>
      <c r="Y444" s="1" t="s">
        <v>148</v>
      </c>
      <c r="Z444" s="1" t="str">
        <f t="shared" si="170"/>
        <v>Storage</v>
      </c>
      <c r="AA444" s="1" t="s">
        <v>3170</v>
      </c>
      <c r="AB444" s="1" t="s">
        <v>47</v>
      </c>
      <c r="AC444" s="1" t="str">
        <f t="shared" si="171"/>
        <v>Same Day</v>
      </c>
      <c r="AD444" s="1" t="str">
        <f t="shared" si="172"/>
        <v>OK</v>
      </c>
      <c r="AE444" s="1">
        <v>2</v>
      </c>
      <c r="AF444" s="1">
        <v>3012.94</v>
      </c>
      <c r="AG444" s="9">
        <v>0.25</v>
      </c>
      <c r="AH444" s="9">
        <f t="shared" si="173"/>
        <v>0.25</v>
      </c>
      <c r="AI444" s="1" t="str">
        <f t="shared" si="174"/>
        <v>OK</v>
      </c>
      <c r="AJ444" s="1">
        <v>4519.41</v>
      </c>
      <c r="AK444" s="1">
        <v>3504.16</v>
      </c>
      <c r="AL444" s="1">
        <v>1275.55</v>
      </c>
      <c r="AM444" s="13">
        <f t="shared" si="175"/>
        <v>4519.41</v>
      </c>
      <c r="AN444" s="9">
        <f t="shared" si="176"/>
        <v>1015.25</v>
      </c>
      <c r="AO444" s="9">
        <f t="shared" si="185"/>
        <v>0.22464215461752751</v>
      </c>
      <c r="AP444" s="1" t="s">
        <v>186</v>
      </c>
      <c r="AQ444" s="1" t="str">
        <f t="shared" si="177"/>
        <v>Failed</v>
      </c>
      <c r="AR444" s="1" t="str">
        <f t="shared" si="178"/>
        <v>EXCLUDE_FROM_SALES</v>
      </c>
      <c r="AS444" s="1" t="s">
        <v>76</v>
      </c>
      <c r="AT444" s="4" t="str">
        <f t="shared" si="179"/>
        <v>Cancelled</v>
      </c>
      <c r="AU444" s="3" t="str">
        <f t="shared" si="180"/>
        <v>EXCLUDE_FROM_SALES</v>
      </c>
      <c r="AV444" s="3" t="str">
        <f t="shared" si="186"/>
        <v>CLEAN</v>
      </c>
      <c r="AW444" t="str">
        <f t="shared" si="187"/>
        <v>MATCH</v>
      </c>
      <c r="AX444" t="str">
        <f t="shared" si="188"/>
        <v>MISMATCH</v>
      </c>
    </row>
    <row r="445" spans="1:50" ht="15.6">
      <c r="A445" s="1" t="s">
        <v>3174</v>
      </c>
      <c r="B445" s="1">
        <f t="shared" si="162"/>
        <v>1</v>
      </c>
      <c r="C445" s="16">
        <v>45635</v>
      </c>
      <c r="D445" s="16">
        <v>45635</v>
      </c>
      <c r="E445" s="16" t="str">
        <f t="shared" si="181"/>
        <v>Dec</v>
      </c>
      <c r="F445" s="1">
        <f t="shared" si="182"/>
        <v>2024</v>
      </c>
      <c r="G445" t="s">
        <v>1669</v>
      </c>
      <c r="H445" s="17">
        <v>45389</v>
      </c>
      <c r="I445" s="21">
        <f t="shared" si="183"/>
        <v>-246</v>
      </c>
      <c r="J445" s="6" t="str">
        <f t="shared" si="184"/>
        <v>INVALID_SHIPPING</v>
      </c>
      <c r="K445" s="1" t="s">
        <v>3176</v>
      </c>
      <c r="L445" s="1" t="s">
        <v>70</v>
      </c>
      <c r="M445" s="1" t="str">
        <f t="shared" si="163"/>
        <v>Ananya Rao</v>
      </c>
      <c r="N445" s="1" t="s">
        <v>110</v>
      </c>
      <c r="O445" s="1" t="str">
        <f t="shared" si="164"/>
        <v>Home Office</v>
      </c>
      <c r="P445" s="1" t="s">
        <v>41</v>
      </c>
      <c r="Q445" s="1" t="str">
        <f t="shared" si="165"/>
        <v>East</v>
      </c>
      <c r="R445" s="1" t="str">
        <f t="shared" si="166"/>
        <v>OK</v>
      </c>
      <c r="S445" s="1" t="s">
        <v>174</v>
      </c>
      <c r="T445" s="1" t="str">
        <f t="shared" si="167"/>
        <v>Bihar</v>
      </c>
      <c r="U445" s="1" t="s">
        <v>175</v>
      </c>
      <c r="V445" s="1" t="str">
        <f t="shared" si="168"/>
        <v>Patna</v>
      </c>
      <c r="W445" s="1" t="s">
        <v>29</v>
      </c>
      <c r="X445" s="1" t="str">
        <f t="shared" si="169"/>
        <v>Office Supplies</v>
      </c>
      <c r="Y445" s="1" t="s">
        <v>30</v>
      </c>
      <c r="Z445" s="1" t="str">
        <f t="shared" si="170"/>
        <v>Paper</v>
      </c>
      <c r="AA445" s="1" t="s">
        <v>3177</v>
      </c>
      <c r="AB445" s="1" t="s">
        <v>32</v>
      </c>
      <c r="AC445" s="1" t="str">
        <f t="shared" si="171"/>
        <v>Second Class</v>
      </c>
      <c r="AD445" s="1" t="str">
        <f t="shared" si="172"/>
        <v>OK</v>
      </c>
      <c r="AE445" s="1">
        <v>2</v>
      </c>
      <c r="AF445" s="1">
        <v>3718.77</v>
      </c>
      <c r="AG445" s="9">
        <v>0.05</v>
      </c>
      <c r="AH445" s="9">
        <f t="shared" si="173"/>
        <v>0.05</v>
      </c>
      <c r="AI445" s="1" t="str">
        <f t="shared" si="174"/>
        <v>OK</v>
      </c>
      <c r="AJ445" s="1">
        <v>7065.66</v>
      </c>
      <c r="AK445" s="1">
        <v>4915.2700000000004</v>
      </c>
      <c r="AL445" s="1">
        <v>2150.39</v>
      </c>
      <c r="AM445" s="13">
        <f t="shared" si="175"/>
        <v>7065.6629999999996</v>
      </c>
      <c r="AN445" s="9">
        <f t="shared" si="176"/>
        <v>2150.3929999999991</v>
      </c>
      <c r="AO445" s="9">
        <f t="shared" si="185"/>
        <v>0.30434412170521002</v>
      </c>
      <c r="AP445" s="1" t="s">
        <v>33</v>
      </c>
      <c r="AQ445" s="1" t="str">
        <f t="shared" si="177"/>
        <v>Paid</v>
      </c>
      <c r="AR445" s="1" t="str">
        <f t="shared" si="178"/>
        <v>OK</v>
      </c>
      <c r="AS445" s="1" t="s">
        <v>34</v>
      </c>
      <c r="AT445" s="4" t="str">
        <f t="shared" si="179"/>
        <v>Completed</v>
      </c>
      <c r="AU445" s="3" t="str">
        <f t="shared" si="180"/>
        <v>OK</v>
      </c>
      <c r="AV445" s="3" t="str">
        <f t="shared" si="186"/>
        <v>INVALID</v>
      </c>
      <c r="AW445" t="str">
        <f t="shared" si="187"/>
        <v>MATCH</v>
      </c>
      <c r="AX445" t="str">
        <f t="shared" si="188"/>
        <v>MATCH</v>
      </c>
    </row>
    <row r="446" spans="1:50" ht="15.6" hidden="1">
      <c r="A446" s="1" t="s">
        <v>3178</v>
      </c>
      <c r="B446" s="1">
        <f t="shared" si="162"/>
        <v>1</v>
      </c>
      <c r="C446" s="16">
        <v>45299</v>
      </c>
      <c r="D446" s="16">
        <v>45299</v>
      </c>
      <c r="E446" s="16" t="str">
        <f t="shared" si="181"/>
        <v>Jan</v>
      </c>
      <c r="F446" s="1">
        <f t="shared" si="182"/>
        <v>2024</v>
      </c>
      <c r="G446" t="s">
        <v>1636</v>
      </c>
      <c r="H446" s="17">
        <v>45885</v>
      </c>
      <c r="I446" s="21">
        <f t="shared" si="183"/>
        <v>586</v>
      </c>
      <c r="J446" s="6" t="str">
        <f t="shared" si="184"/>
        <v>OK</v>
      </c>
      <c r="K446" s="1" t="s">
        <v>3179</v>
      </c>
      <c r="L446" s="1" t="s">
        <v>52</v>
      </c>
      <c r="M446" s="1" t="str">
        <f t="shared" si="163"/>
        <v>Isha Nair</v>
      </c>
      <c r="N446" s="1" t="s">
        <v>104</v>
      </c>
      <c r="O446" s="1" t="str">
        <f t="shared" si="164"/>
        <v>Corporate</v>
      </c>
      <c r="P446" s="1" t="s">
        <v>26</v>
      </c>
      <c r="Q446" s="1" t="str">
        <f t="shared" si="165"/>
        <v>North</v>
      </c>
      <c r="R446" s="1" t="str">
        <f t="shared" si="166"/>
        <v>OK</v>
      </c>
      <c r="S446" s="1" t="s">
        <v>163</v>
      </c>
      <c r="T446" s="1" t="str">
        <f t="shared" si="167"/>
        <v>Uttar Pradesh</v>
      </c>
      <c r="U446" s="1" t="s">
        <v>164</v>
      </c>
      <c r="V446" s="1" t="str">
        <f t="shared" si="168"/>
        <v>Noida</v>
      </c>
      <c r="W446" s="1" t="s">
        <v>44</v>
      </c>
      <c r="X446" s="1" t="str">
        <f t="shared" si="169"/>
        <v>Furniture</v>
      </c>
      <c r="Y446" s="1" t="s">
        <v>74</v>
      </c>
      <c r="Z446" s="1" t="str">
        <f t="shared" si="170"/>
        <v>Chairs</v>
      </c>
      <c r="AA446" s="1" t="s">
        <v>3180</v>
      </c>
      <c r="AB446" s="1" t="s">
        <v>65</v>
      </c>
      <c r="AC446" s="1" t="str">
        <f t="shared" si="171"/>
        <v>Standard Class</v>
      </c>
      <c r="AD446" s="1" t="str">
        <f t="shared" si="172"/>
        <v>OK</v>
      </c>
      <c r="AE446" s="1">
        <v>8</v>
      </c>
      <c r="AF446" s="1">
        <v>2487.64</v>
      </c>
      <c r="AG446" s="9">
        <v>0.1</v>
      </c>
      <c r="AH446" s="9">
        <f t="shared" si="173"/>
        <v>0.1</v>
      </c>
      <c r="AI446" s="1" t="str">
        <f t="shared" si="174"/>
        <v>OK</v>
      </c>
      <c r="AJ446" s="1">
        <v>17911.009999999998</v>
      </c>
      <c r="AK446" s="1">
        <v>11546.05</v>
      </c>
      <c r="AL446" s="1">
        <v>6364.96</v>
      </c>
      <c r="AM446" s="13">
        <f t="shared" si="175"/>
        <v>17911.007999999998</v>
      </c>
      <c r="AN446" s="9">
        <f t="shared" si="176"/>
        <v>6364.9579999999987</v>
      </c>
      <c r="AO446" s="9">
        <f t="shared" si="185"/>
        <v>0.35536570582738836</v>
      </c>
      <c r="AP446" s="1" t="s">
        <v>186</v>
      </c>
      <c r="AQ446" s="1" t="str">
        <f t="shared" si="177"/>
        <v>Failed</v>
      </c>
      <c r="AR446" s="1" t="str">
        <f t="shared" si="178"/>
        <v>EXCLUDE_FROM_SALES</v>
      </c>
      <c r="AS446" s="1" t="s">
        <v>120</v>
      </c>
      <c r="AT446" s="4" t="str">
        <f t="shared" si="179"/>
        <v>Returned</v>
      </c>
      <c r="AU446" s="3" t="str">
        <f t="shared" si="180"/>
        <v>RETURNED_ORDER</v>
      </c>
      <c r="AV446" s="3" t="str">
        <f t="shared" si="186"/>
        <v>CLEAN</v>
      </c>
      <c r="AW446" t="str">
        <f t="shared" si="187"/>
        <v>MATCH</v>
      </c>
      <c r="AX446" t="str">
        <f t="shared" si="188"/>
        <v>MATCH</v>
      </c>
    </row>
    <row r="447" spans="1:50" ht="15.6">
      <c r="A447" s="1" t="s">
        <v>3184</v>
      </c>
      <c r="B447" s="1">
        <f t="shared" si="162"/>
        <v>1</v>
      </c>
      <c r="C447" s="16">
        <v>45443</v>
      </c>
      <c r="D447" s="16">
        <v>45443</v>
      </c>
      <c r="E447" s="16" t="str">
        <f t="shared" si="181"/>
        <v>May</v>
      </c>
      <c r="F447" s="1">
        <f t="shared" si="182"/>
        <v>2024</v>
      </c>
      <c r="G447" t="s">
        <v>1927</v>
      </c>
      <c r="H447" s="17">
        <v>45417</v>
      </c>
      <c r="I447" s="21">
        <f t="shared" si="183"/>
        <v>-26</v>
      </c>
      <c r="J447" s="6" t="str">
        <f t="shared" si="184"/>
        <v>INVALID_SHIPPING</v>
      </c>
      <c r="K447" s="1" t="s">
        <v>3186</v>
      </c>
      <c r="L447" s="1" t="s">
        <v>141</v>
      </c>
      <c r="M447" s="1" t="str">
        <f t="shared" si="163"/>
        <v>Rahul Verma</v>
      </c>
      <c r="N447" s="1" t="s">
        <v>104</v>
      </c>
      <c r="O447" s="1" t="str">
        <f t="shared" si="164"/>
        <v>Corporate</v>
      </c>
      <c r="P447" s="1" t="s">
        <v>60</v>
      </c>
      <c r="Q447" s="1" t="str">
        <f t="shared" si="165"/>
        <v>South</v>
      </c>
      <c r="R447" s="1" t="str">
        <f t="shared" si="166"/>
        <v>OK</v>
      </c>
      <c r="S447" s="1" t="s">
        <v>97</v>
      </c>
      <c r="T447" s="1" t="str">
        <f t="shared" si="167"/>
        <v>Andhra Pradesh</v>
      </c>
      <c r="U447" s="1" t="s">
        <v>98</v>
      </c>
      <c r="V447" s="1" t="str">
        <f t="shared" si="168"/>
        <v>Vijayawada</v>
      </c>
      <c r="W447" s="1" t="s">
        <v>29</v>
      </c>
      <c r="X447" s="1" t="str">
        <f t="shared" si="169"/>
        <v>Office Supplies</v>
      </c>
      <c r="Y447" s="1" t="s">
        <v>53</v>
      </c>
      <c r="Z447" s="1" t="str">
        <f t="shared" si="170"/>
        <v>Art</v>
      </c>
      <c r="AA447" s="1" t="s">
        <v>3187</v>
      </c>
      <c r="AB447" s="1" t="s">
        <v>65</v>
      </c>
      <c r="AC447" s="1" t="str">
        <f t="shared" si="171"/>
        <v>Standard Class</v>
      </c>
      <c r="AD447" s="1" t="str">
        <f t="shared" si="172"/>
        <v>OK</v>
      </c>
      <c r="AE447" s="1">
        <v>8</v>
      </c>
      <c r="AF447" s="1">
        <v>667.59</v>
      </c>
      <c r="AG447" s="9">
        <v>0.2</v>
      </c>
      <c r="AH447" s="9">
        <f t="shared" si="173"/>
        <v>0.2</v>
      </c>
      <c r="AI447" s="1" t="str">
        <f t="shared" si="174"/>
        <v>OK</v>
      </c>
      <c r="AJ447" s="1">
        <v>4272.58</v>
      </c>
      <c r="AK447" s="1">
        <v>3328.92</v>
      </c>
      <c r="AL447" s="1">
        <v>943.66</v>
      </c>
      <c r="AM447" s="13">
        <f t="shared" si="175"/>
        <v>4272.576</v>
      </c>
      <c r="AN447" s="9">
        <f t="shared" si="176"/>
        <v>943.65599999999995</v>
      </c>
      <c r="AO447" s="9">
        <f t="shared" si="185"/>
        <v>0.22086347908147214</v>
      </c>
      <c r="AP447" s="1" t="s">
        <v>33</v>
      </c>
      <c r="AQ447" s="1" t="str">
        <f t="shared" si="177"/>
        <v>Paid</v>
      </c>
      <c r="AR447" s="1" t="str">
        <f t="shared" si="178"/>
        <v>OK</v>
      </c>
      <c r="AS447" s="1" t="s">
        <v>34</v>
      </c>
      <c r="AT447" s="4" t="str">
        <f t="shared" si="179"/>
        <v>Completed</v>
      </c>
      <c r="AU447" s="3" t="str">
        <f t="shared" si="180"/>
        <v>OK</v>
      </c>
      <c r="AV447" s="3" t="str">
        <f t="shared" si="186"/>
        <v>INVALID</v>
      </c>
      <c r="AW447" t="str">
        <f t="shared" si="187"/>
        <v>MATCH</v>
      </c>
      <c r="AX447" t="str">
        <f t="shared" si="188"/>
        <v>MATCH</v>
      </c>
    </row>
    <row r="448" spans="1:50" ht="15.6" hidden="1">
      <c r="A448" s="1" t="s">
        <v>3188</v>
      </c>
      <c r="B448" s="1">
        <f t="shared" si="162"/>
        <v>1</v>
      </c>
      <c r="C448" s="16">
        <v>45332</v>
      </c>
      <c r="D448" s="16">
        <v>45332</v>
      </c>
      <c r="E448" s="16" t="str">
        <f t="shared" si="181"/>
        <v>Feb</v>
      </c>
      <c r="F448" s="1">
        <f t="shared" si="182"/>
        <v>2024</v>
      </c>
      <c r="G448" t="s">
        <v>1932</v>
      </c>
      <c r="H448" s="17">
        <v>45919</v>
      </c>
      <c r="I448" s="21">
        <f t="shared" si="183"/>
        <v>587</v>
      </c>
      <c r="J448" s="6" t="str">
        <f t="shared" si="184"/>
        <v>OK</v>
      </c>
      <c r="K448" s="1" t="s">
        <v>3190</v>
      </c>
      <c r="L448" s="1" t="s">
        <v>141</v>
      </c>
      <c r="M448" s="1" t="str">
        <f t="shared" si="163"/>
        <v>Rahul Verma</v>
      </c>
      <c r="N448" s="1" t="s">
        <v>110</v>
      </c>
      <c r="O448" s="1" t="str">
        <f t="shared" si="164"/>
        <v>Home Office</v>
      </c>
      <c r="P448" s="1" t="s">
        <v>60</v>
      </c>
      <c r="Q448" s="1" t="str">
        <f t="shared" si="165"/>
        <v>South</v>
      </c>
      <c r="R448" s="1" t="str">
        <f t="shared" si="166"/>
        <v>OK</v>
      </c>
      <c r="S448" s="1" t="s">
        <v>212</v>
      </c>
      <c r="T448" s="1" t="str">
        <f t="shared" si="167"/>
        <v>Karnataka</v>
      </c>
      <c r="U448" s="1" t="s">
        <v>213</v>
      </c>
      <c r="V448" s="1" t="str">
        <f t="shared" si="168"/>
        <v>Bengaluru</v>
      </c>
      <c r="W448" s="1" t="s">
        <v>44</v>
      </c>
      <c r="X448" s="1" t="str">
        <f t="shared" si="169"/>
        <v>Furniture</v>
      </c>
      <c r="Y448" s="1" t="s">
        <v>190</v>
      </c>
      <c r="Z448" s="1" t="str">
        <f t="shared" si="170"/>
        <v>Bookcases</v>
      </c>
      <c r="AA448" s="1" t="s">
        <v>3191</v>
      </c>
      <c r="AB448" s="1" t="s">
        <v>47</v>
      </c>
      <c r="AC448" s="1" t="str">
        <f t="shared" si="171"/>
        <v>Same Day</v>
      </c>
      <c r="AD448" s="1" t="str">
        <f t="shared" si="172"/>
        <v>OK</v>
      </c>
      <c r="AE448" s="1">
        <v>8</v>
      </c>
      <c r="AF448" s="1">
        <v>1558.77</v>
      </c>
      <c r="AG448" s="9">
        <v>0.25</v>
      </c>
      <c r="AH448" s="9">
        <f t="shared" si="173"/>
        <v>0.25</v>
      </c>
      <c r="AI448" s="1" t="str">
        <f t="shared" si="174"/>
        <v>OK</v>
      </c>
      <c r="AJ448" s="1">
        <v>9352.6200000000008</v>
      </c>
      <c r="AK448" s="1">
        <v>5269.41</v>
      </c>
      <c r="AL448" s="1">
        <v>4083.21</v>
      </c>
      <c r="AM448" s="13">
        <f t="shared" si="175"/>
        <v>9352.619999999999</v>
      </c>
      <c r="AN448" s="9">
        <f t="shared" si="176"/>
        <v>4083.2099999999991</v>
      </c>
      <c r="AO448" s="9">
        <f t="shared" si="185"/>
        <v>0.43658461479243243</v>
      </c>
      <c r="AP448" s="1" t="s">
        <v>33</v>
      </c>
      <c r="AQ448" s="1" t="str">
        <f t="shared" si="177"/>
        <v>Paid</v>
      </c>
      <c r="AR448" s="1" t="str">
        <f t="shared" si="178"/>
        <v>OK</v>
      </c>
      <c r="AS448" s="1" t="s">
        <v>34</v>
      </c>
      <c r="AT448" s="4" t="str">
        <f t="shared" si="179"/>
        <v>Completed</v>
      </c>
      <c r="AU448" s="3" t="str">
        <f t="shared" si="180"/>
        <v>OK</v>
      </c>
      <c r="AV448" s="3" t="str">
        <f t="shared" si="186"/>
        <v>CLEAN</v>
      </c>
      <c r="AW448" t="str">
        <f t="shared" si="187"/>
        <v>MATCH</v>
      </c>
      <c r="AX448" t="str">
        <f t="shared" si="188"/>
        <v>MATCH</v>
      </c>
    </row>
    <row r="449" spans="1:50" ht="15.6" hidden="1">
      <c r="A449" s="1" t="s">
        <v>3196</v>
      </c>
      <c r="B449" s="1">
        <f t="shared" si="162"/>
        <v>1</v>
      </c>
      <c r="C449" s="16">
        <v>45440</v>
      </c>
      <c r="D449" s="16">
        <v>45440</v>
      </c>
      <c r="E449" s="16" t="str">
        <f t="shared" si="181"/>
        <v>May</v>
      </c>
      <c r="F449" s="1">
        <f t="shared" si="182"/>
        <v>2024</v>
      </c>
      <c r="G449" t="s">
        <v>1936</v>
      </c>
      <c r="H449" s="17">
        <v>45879</v>
      </c>
      <c r="I449" s="21">
        <f t="shared" si="183"/>
        <v>439</v>
      </c>
      <c r="J449" s="6" t="str">
        <f t="shared" si="184"/>
        <v>OK</v>
      </c>
      <c r="K449" s="1" t="s">
        <v>3198</v>
      </c>
      <c r="L449" s="1" t="s">
        <v>80</v>
      </c>
      <c r="M449" s="1" t="str">
        <f t="shared" si="163"/>
        <v>Vikram Iyer</v>
      </c>
      <c r="N449" s="1" t="s">
        <v>104</v>
      </c>
      <c r="O449" s="1" t="str">
        <f t="shared" si="164"/>
        <v>Corporate</v>
      </c>
      <c r="P449" s="1" t="s">
        <v>26</v>
      </c>
      <c r="Q449" s="1" t="str">
        <f t="shared" si="165"/>
        <v>North</v>
      </c>
      <c r="R449" s="1" t="str">
        <f t="shared" si="166"/>
        <v>OK</v>
      </c>
      <c r="S449" s="1" t="s">
        <v>27</v>
      </c>
      <c r="T449" s="1" t="str">
        <f t="shared" si="167"/>
        <v>Rajasthan</v>
      </c>
      <c r="U449" s="1" t="s">
        <v>28</v>
      </c>
      <c r="V449" s="1" t="str">
        <f t="shared" si="168"/>
        <v>Jaipur</v>
      </c>
      <c r="W449" s="1" t="s">
        <v>83</v>
      </c>
      <c r="X449" s="1" t="str">
        <f t="shared" si="169"/>
        <v>Technology</v>
      </c>
      <c r="Y449" s="1" t="s">
        <v>91</v>
      </c>
      <c r="Z449" s="1" t="str">
        <f t="shared" si="170"/>
        <v>Copiers</v>
      </c>
      <c r="AA449" s="1" t="s">
        <v>3199</v>
      </c>
      <c r="AB449" s="1" t="s">
        <v>32</v>
      </c>
      <c r="AC449" s="1" t="str">
        <f t="shared" si="171"/>
        <v>Second Class</v>
      </c>
      <c r="AD449" s="1" t="str">
        <f t="shared" si="172"/>
        <v>OK</v>
      </c>
      <c r="AE449" s="1">
        <v>5</v>
      </c>
      <c r="AF449" s="1">
        <v>4302.32</v>
      </c>
      <c r="AG449" s="9">
        <v>0</v>
      </c>
      <c r="AH449" s="9">
        <f t="shared" si="173"/>
        <v>0</v>
      </c>
      <c r="AI449" s="1" t="str">
        <f t="shared" si="174"/>
        <v>OK</v>
      </c>
      <c r="AJ449" s="1">
        <v>21511.599999999999</v>
      </c>
      <c r="AK449" s="1">
        <v>15408.47</v>
      </c>
      <c r="AL449" s="1">
        <v>6103.13</v>
      </c>
      <c r="AM449" s="13">
        <f t="shared" si="175"/>
        <v>21511.599999999999</v>
      </c>
      <c r="AN449" s="9">
        <f t="shared" si="176"/>
        <v>6103.1299999999992</v>
      </c>
      <c r="AO449" s="9">
        <f t="shared" si="185"/>
        <v>0.28371343833094703</v>
      </c>
      <c r="AP449" s="1" t="s">
        <v>33</v>
      </c>
      <c r="AQ449" s="1" t="str">
        <f t="shared" si="177"/>
        <v>Paid</v>
      </c>
      <c r="AR449" s="1" t="str">
        <f t="shared" si="178"/>
        <v>OK</v>
      </c>
      <c r="AS449" s="1" t="s">
        <v>34</v>
      </c>
      <c r="AT449" s="4" t="str">
        <f t="shared" si="179"/>
        <v>Completed</v>
      </c>
      <c r="AU449" s="3" t="str">
        <f t="shared" si="180"/>
        <v>OK</v>
      </c>
      <c r="AV449" s="3" t="str">
        <f t="shared" si="186"/>
        <v>CLEAN</v>
      </c>
      <c r="AW449" t="str">
        <f t="shared" si="187"/>
        <v>MATCH</v>
      </c>
      <c r="AX449" t="str">
        <f t="shared" si="188"/>
        <v>MATCH</v>
      </c>
    </row>
    <row r="450" spans="1:50" ht="15.6">
      <c r="A450" s="1" t="s">
        <v>3203</v>
      </c>
      <c r="B450" s="1">
        <f t="shared" ref="B450:B513" si="189">COUNTIF($A:$A,A450)</f>
        <v>1</v>
      </c>
      <c r="C450" s="16">
        <v>45503</v>
      </c>
      <c r="D450" s="16">
        <v>45503</v>
      </c>
      <c r="E450" s="16" t="str">
        <f t="shared" si="181"/>
        <v>Jul</v>
      </c>
      <c r="F450" s="1">
        <f t="shared" si="182"/>
        <v>2024</v>
      </c>
      <c r="G450" t="s">
        <v>298</v>
      </c>
      <c r="H450" s="17">
        <v>45309</v>
      </c>
      <c r="I450" s="21">
        <f t="shared" si="183"/>
        <v>-194</v>
      </c>
      <c r="J450" s="6" t="str">
        <f t="shared" si="184"/>
        <v>INVALID_SHIPPING</v>
      </c>
      <c r="K450" s="1" t="s">
        <v>3204</v>
      </c>
      <c r="L450" s="1" t="s">
        <v>196</v>
      </c>
      <c r="M450" s="1" t="str">
        <f t="shared" ref="M450:M513" si="190">PROPER(TRIM(SUBSTITUTE(L450,CHAR(160)," ")))</f>
        <v>Diya Patel</v>
      </c>
      <c r="N450" s="1" t="s">
        <v>110</v>
      </c>
      <c r="O450" s="1" t="str">
        <f t="shared" ref="O450:O513" si="191">PROPER(TRIM(SUBSTITUTE(N450,CHAR(160)," ")))</f>
        <v>Home Office</v>
      </c>
      <c r="P450" s="1" t="s">
        <v>41</v>
      </c>
      <c r="Q450" s="1" t="str">
        <f t="shared" ref="Q450:Q513" si="192">IF(TRIM(P450)="","Unknown",PROPER(TRIM(P450)))</f>
        <v>East</v>
      </c>
      <c r="R450" s="1" t="str">
        <f t="shared" ref="R450:R513" si="193">IF(Q450="Unknown","MISSING_REGION","OK")</f>
        <v>OK</v>
      </c>
      <c r="S450" s="1" t="s">
        <v>42</v>
      </c>
      <c r="T450" s="1" t="str">
        <f t="shared" ref="T450:T513" si="194">PROPER(TRIM(SUBSTITUTE(S450,CHAR(160)," ")))</f>
        <v>Odisha</v>
      </c>
      <c r="U450" s="1" t="s">
        <v>43</v>
      </c>
      <c r="V450" s="1" t="str">
        <f t="shared" ref="V450:V513" si="195">PROPER(TRIM(SUBSTITUTE(U450,CHAR(160)," ")))</f>
        <v>Bhubaneswar</v>
      </c>
      <c r="W450" s="1" t="s">
        <v>83</v>
      </c>
      <c r="X450" s="1" t="str">
        <f t="shared" ref="X450:X513" si="196">PROPER(TRIM(SUBSTITUTE(W450,CHAR(160)," ")))</f>
        <v>Technology</v>
      </c>
      <c r="Y450" s="1" t="s">
        <v>91</v>
      </c>
      <c r="Z450" s="1" t="str">
        <f t="shared" ref="Z450:Z513" si="197">PROPER(TRIM(SUBSTITUTE(Y450,CHAR(160)," ")))</f>
        <v>Copiers</v>
      </c>
      <c r="AA450" s="1" t="s">
        <v>3205</v>
      </c>
      <c r="AB450" s="1" t="s">
        <v>47</v>
      </c>
      <c r="AC450" s="1" t="str">
        <f t="shared" ref="AC450:AC513" si="198">IF(TRIM(AB450)="","Unknown",PROPER(TRIM(AB450)))</f>
        <v>Same Day</v>
      </c>
      <c r="AD450" s="1" t="str">
        <f t="shared" ref="AD450:AD513" si="199">IF(AC450="Unknown","MISSING_SHIP_MODE","OK")</f>
        <v>OK</v>
      </c>
      <c r="AE450" s="1">
        <v>9</v>
      </c>
      <c r="AF450" s="1">
        <v>2894.66</v>
      </c>
      <c r="AG450" s="9">
        <v>0</v>
      </c>
      <c r="AH450" s="9">
        <f t="shared" ref="AH450:AH513" si="200">IF(RIGHT(AG450,1)="%",VALUE(SUBSTITUTE(AG450,"%",""))/100,AG450)</f>
        <v>0</v>
      </c>
      <c r="AI450" s="1" t="str">
        <f t="shared" ref="AI450:AI513" si="201">IF(AG450="","Missing Discount",
IF(AG450&lt;0,"Invalid Negative Discount",
"OK"))</f>
        <v>OK</v>
      </c>
      <c r="AJ450" s="1">
        <v>26051.94</v>
      </c>
      <c r="AK450" s="1">
        <v>16883.59</v>
      </c>
      <c r="AL450" s="1">
        <v>9168.35</v>
      </c>
      <c r="AM450" s="13">
        <f t="shared" ref="AM450:AM513" si="202">IF(AH450&lt;0,"INVALID",AE450*AF450*(1-AH450))</f>
        <v>26051.94</v>
      </c>
      <c r="AN450" s="9">
        <f t="shared" ref="AN450:AN513" si="203">IF(AM450="INVALID","INVALID",
AM450-AK450)</f>
        <v>9168.3499999999985</v>
      </c>
      <c r="AO450" s="9">
        <f t="shared" si="185"/>
        <v>0.3519258066769691</v>
      </c>
      <c r="AP450" s="1" t="s">
        <v>119</v>
      </c>
      <c r="AQ450" s="1" t="str">
        <f t="shared" ref="AQ450:AQ513" si="204">PROPER(TRIM(SUBSTITUTE(AP450,CHAR(160)," ")))</f>
        <v>Refunded</v>
      </c>
      <c r="AR450" s="1" t="str">
        <f t="shared" ref="AR450:AR513" si="205">IF(AQ450="Failed","EXCLUDE_FROM_SALES",
IF(AQ450="Refunded","REFUNDED_PAYMENT",
"OK"))</f>
        <v>REFUNDED_PAYMENT</v>
      </c>
      <c r="AS450" s="1" t="s">
        <v>76</v>
      </c>
      <c r="AT450" s="4" t="str">
        <f t="shared" ref="AT450:AT513" si="206">PROPER(TRIM(SUBSTITUTE(AS450,CHAR(160)," ")))</f>
        <v>Cancelled</v>
      </c>
      <c r="AU450" s="3" t="str">
        <f t="shared" ref="AU450:AU513" si="207">IF(AT450="Cancelled","EXCLUDE_FROM_SALES",
IF(AT450="Returned","RETURNED_ORDER",
"OK"))</f>
        <v>EXCLUDE_FROM_SALES</v>
      </c>
      <c r="AV450" s="3" t="str">
        <f t="shared" si="186"/>
        <v>INVALID</v>
      </c>
      <c r="AW450" t="str">
        <f t="shared" si="187"/>
        <v>MATCH</v>
      </c>
      <c r="AX450" t="str">
        <f t="shared" si="188"/>
        <v>MATCH</v>
      </c>
    </row>
    <row r="451" spans="1:50" ht="15.6" hidden="1">
      <c r="A451" s="1" t="s">
        <v>3206</v>
      </c>
      <c r="B451" s="1">
        <f t="shared" si="189"/>
        <v>1</v>
      </c>
      <c r="C451" s="16">
        <v>45374</v>
      </c>
      <c r="D451" s="16">
        <v>45374</v>
      </c>
      <c r="E451" s="16" t="str">
        <f t="shared" ref="E451:E514" si="208">TEXT(D451,"mmm")</f>
        <v>Mar</v>
      </c>
      <c r="F451" s="1">
        <f t="shared" ref="F451:F514" si="209">YEAR(D451)</f>
        <v>2024</v>
      </c>
      <c r="G451" t="s">
        <v>1943</v>
      </c>
      <c r="H451" s="17">
        <v>45456</v>
      </c>
      <c r="I451" s="21">
        <f t="shared" ref="I451:I514" si="210">H451-D451</f>
        <v>82</v>
      </c>
      <c r="J451" s="6" t="str">
        <f t="shared" ref="J451:J514" si="211">IF(I451&lt;0,"INVALID_SHIPPING","OK")</f>
        <v>OK</v>
      </c>
      <c r="K451" s="1" t="s">
        <v>3208</v>
      </c>
      <c r="L451" s="1" t="s">
        <v>169</v>
      </c>
      <c r="M451" s="1" t="str">
        <f t="shared" si="190"/>
        <v>Rohan Mehta</v>
      </c>
      <c r="N451" s="1" t="s">
        <v>40</v>
      </c>
      <c r="O451" s="1" t="str">
        <f t="shared" si="191"/>
        <v>Small Business</v>
      </c>
      <c r="P451" s="1" t="s">
        <v>60</v>
      </c>
      <c r="Q451" s="1" t="str">
        <f t="shared" si="192"/>
        <v>South</v>
      </c>
      <c r="R451" s="1" t="str">
        <f t="shared" si="193"/>
        <v>OK</v>
      </c>
      <c r="S451" s="1" t="s">
        <v>97</v>
      </c>
      <c r="T451" s="1" t="str">
        <f t="shared" si="194"/>
        <v>Andhra Pradesh</v>
      </c>
      <c r="U451" s="1" t="s">
        <v>98</v>
      </c>
      <c r="V451" s="1" t="str">
        <f t="shared" si="195"/>
        <v>Vijayawada</v>
      </c>
      <c r="W451" s="1" t="s">
        <v>83</v>
      </c>
      <c r="X451" s="1" t="str">
        <f t="shared" si="196"/>
        <v>Technology</v>
      </c>
      <c r="Y451" s="1" t="s">
        <v>347</v>
      </c>
      <c r="Z451" s="1" t="str">
        <f t="shared" si="197"/>
        <v>Machines</v>
      </c>
      <c r="AA451" s="1" t="s">
        <v>3209</v>
      </c>
      <c r="AB451" s="1" t="s">
        <v>55</v>
      </c>
      <c r="AC451" s="1" t="str">
        <f t="shared" si="198"/>
        <v>First Class</v>
      </c>
      <c r="AD451" s="1" t="str">
        <f t="shared" si="199"/>
        <v>OK</v>
      </c>
      <c r="AE451" s="1">
        <v>6</v>
      </c>
      <c r="AF451" s="1">
        <v>1894.44</v>
      </c>
      <c r="AG451" s="9">
        <v>0.15</v>
      </c>
      <c r="AH451" s="9">
        <f t="shared" si="200"/>
        <v>0.15</v>
      </c>
      <c r="AI451" s="1" t="str">
        <f t="shared" si="201"/>
        <v>OK</v>
      </c>
      <c r="AJ451" s="1">
        <v>9661.64</v>
      </c>
      <c r="AK451" s="1">
        <v>6303.77</v>
      </c>
      <c r="AL451" s="1">
        <v>3357.87</v>
      </c>
      <c r="AM451" s="13">
        <f t="shared" si="202"/>
        <v>9661.6439999999984</v>
      </c>
      <c r="AN451" s="9">
        <f t="shared" si="203"/>
        <v>3357.873999999998</v>
      </c>
      <c r="AO451" s="9">
        <f t="shared" ref="AO451:AO514" si="212">IF(OR(AM451="INVALID",AN451="INVALID"),"",AN451/AM451)</f>
        <v>0.34754685641491223</v>
      </c>
      <c r="AP451" s="1" t="s">
        <v>33</v>
      </c>
      <c r="AQ451" s="1" t="str">
        <f t="shared" si="204"/>
        <v>Paid</v>
      </c>
      <c r="AR451" s="1" t="str">
        <f t="shared" si="205"/>
        <v>OK</v>
      </c>
      <c r="AS451" s="1" t="s">
        <v>34</v>
      </c>
      <c r="AT451" s="4" t="str">
        <f t="shared" si="206"/>
        <v>Completed</v>
      </c>
      <c r="AU451" s="3" t="str">
        <f t="shared" si="207"/>
        <v>OK</v>
      </c>
      <c r="AV451" s="3" t="str">
        <f t="shared" ref="AV451:AV514" si="213">IF(OR(AI451&lt;&gt;"OK",J451="INVALID_SHIPPING"),
"INVALID",
IF(OR(R451&lt;&gt;"OK",AD451&lt;&gt;"OK"),
"WARNING",
"CLEAN"))</f>
        <v>CLEAN</v>
      </c>
      <c r="AW451" t="str">
        <f t="shared" ref="AW451:AW514" si="214">IF(AM451="INVALID","INVALID",
IF(ROUND(AJ451,2)=ROUND(AM451,2),"MATCH","MISMATCH"))</f>
        <v>MATCH</v>
      </c>
      <c r="AX451" t="str">
        <f t="shared" ref="AX451:AX514" si="215">IF(AN451="INVALID","INVALID",IF(ROUND(AL451,2)=ROUND(AN451,2),"MATCH","MISMATCH"))</f>
        <v>MATCH</v>
      </c>
    </row>
    <row r="452" spans="1:50" ht="15.6" hidden="1">
      <c r="A452" s="1" t="s">
        <v>3210</v>
      </c>
      <c r="B452" s="1">
        <f t="shared" si="189"/>
        <v>1</v>
      </c>
      <c r="C452" s="16">
        <v>45400</v>
      </c>
      <c r="D452" s="16">
        <v>45400</v>
      </c>
      <c r="E452" s="16" t="str">
        <f t="shared" si="208"/>
        <v>Apr</v>
      </c>
      <c r="F452" s="1">
        <f t="shared" si="209"/>
        <v>2024</v>
      </c>
      <c r="G452" t="s">
        <v>1389</v>
      </c>
      <c r="H452" s="17">
        <v>45827</v>
      </c>
      <c r="I452" s="21">
        <f t="shared" si="210"/>
        <v>427</v>
      </c>
      <c r="J452" s="6" t="str">
        <f t="shared" si="211"/>
        <v>OK</v>
      </c>
      <c r="K452" s="1" t="s">
        <v>3211</v>
      </c>
      <c r="L452" s="1" t="s">
        <v>153</v>
      </c>
      <c r="M452" s="1" t="str">
        <f t="shared" si="190"/>
        <v>Aarav Sharma</v>
      </c>
      <c r="N452" s="1" t="s">
        <v>25</v>
      </c>
      <c r="O452" s="1" t="str">
        <f t="shared" si="191"/>
        <v>Consumer</v>
      </c>
      <c r="P452" s="1" t="s">
        <v>41</v>
      </c>
      <c r="Q452" s="1" t="str">
        <f t="shared" si="192"/>
        <v>East</v>
      </c>
      <c r="R452" s="1" t="str">
        <f t="shared" si="193"/>
        <v>OK</v>
      </c>
      <c r="S452" s="1" t="s">
        <v>42</v>
      </c>
      <c r="T452" s="1" t="str">
        <f t="shared" si="194"/>
        <v>Odisha</v>
      </c>
      <c r="U452" s="1" t="s">
        <v>43</v>
      </c>
      <c r="V452" s="1" t="str">
        <f t="shared" si="195"/>
        <v>Bhubaneswar</v>
      </c>
      <c r="W452" s="1" t="s">
        <v>29</v>
      </c>
      <c r="X452" s="1" t="str">
        <f t="shared" si="196"/>
        <v>Office Supplies</v>
      </c>
      <c r="Y452" s="1" t="s">
        <v>184</v>
      </c>
      <c r="Z452" s="1" t="str">
        <f t="shared" si="197"/>
        <v>Binders</v>
      </c>
      <c r="AA452" s="1" t="s">
        <v>3212</v>
      </c>
      <c r="AB452" s="1" t="s">
        <v>55</v>
      </c>
      <c r="AC452" s="1" t="str">
        <f t="shared" si="198"/>
        <v>First Class</v>
      </c>
      <c r="AD452" s="1" t="str">
        <f t="shared" si="199"/>
        <v>OK</v>
      </c>
      <c r="AE452" s="1">
        <v>8</v>
      </c>
      <c r="AF452" s="1">
        <v>1714.37</v>
      </c>
      <c r="AG452" s="9">
        <v>0</v>
      </c>
      <c r="AH452" s="9">
        <f t="shared" si="200"/>
        <v>0</v>
      </c>
      <c r="AI452" s="1" t="str">
        <f t="shared" si="201"/>
        <v>OK</v>
      </c>
      <c r="AJ452" s="1">
        <v>13714.96</v>
      </c>
      <c r="AK452" s="1">
        <v>10550.47</v>
      </c>
      <c r="AL452" s="1">
        <v>3164.49</v>
      </c>
      <c r="AM452" s="13">
        <f t="shared" si="202"/>
        <v>13714.96</v>
      </c>
      <c r="AN452" s="9">
        <f t="shared" si="203"/>
        <v>3164.49</v>
      </c>
      <c r="AO452" s="9">
        <f t="shared" si="212"/>
        <v>0.23073271814135804</v>
      </c>
      <c r="AP452" s="1" t="s">
        <v>186</v>
      </c>
      <c r="AQ452" s="1" t="str">
        <f t="shared" si="204"/>
        <v>Failed</v>
      </c>
      <c r="AR452" s="1" t="str">
        <f t="shared" si="205"/>
        <v>EXCLUDE_FROM_SALES</v>
      </c>
      <c r="AS452" s="1" t="s">
        <v>76</v>
      </c>
      <c r="AT452" s="4" t="str">
        <f t="shared" si="206"/>
        <v>Cancelled</v>
      </c>
      <c r="AU452" s="3" t="str">
        <f t="shared" si="207"/>
        <v>EXCLUDE_FROM_SALES</v>
      </c>
      <c r="AV452" s="3" t="str">
        <f t="shared" si="213"/>
        <v>CLEAN</v>
      </c>
      <c r="AW452" t="str">
        <f t="shared" si="214"/>
        <v>MATCH</v>
      </c>
      <c r="AX452" t="str">
        <f t="shared" si="215"/>
        <v>MATCH</v>
      </c>
    </row>
    <row r="453" spans="1:50" ht="15.6">
      <c r="A453" s="1" t="s">
        <v>3217</v>
      </c>
      <c r="B453" s="1">
        <f t="shared" si="189"/>
        <v>1</v>
      </c>
      <c r="C453" s="16">
        <v>45575</v>
      </c>
      <c r="D453" s="16">
        <v>45575</v>
      </c>
      <c r="E453" s="16" t="str">
        <f t="shared" si="208"/>
        <v>Oct</v>
      </c>
      <c r="F453" s="1">
        <f t="shared" si="209"/>
        <v>2024</v>
      </c>
      <c r="G453" t="s">
        <v>1950</v>
      </c>
      <c r="H453" s="17">
        <v>45377</v>
      </c>
      <c r="I453" s="21">
        <f t="shared" si="210"/>
        <v>-198</v>
      </c>
      <c r="J453" s="6" t="str">
        <f t="shared" si="211"/>
        <v>INVALID_SHIPPING</v>
      </c>
      <c r="K453" s="1" t="s">
        <v>3218</v>
      </c>
      <c r="L453" s="1" t="s">
        <v>52</v>
      </c>
      <c r="M453" s="1" t="str">
        <f t="shared" si="190"/>
        <v>Isha Nair</v>
      </c>
      <c r="N453" s="1" t="s">
        <v>110</v>
      </c>
      <c r="O453" s="1" t="str">
        <f t="shared" si="191"/>
        <v>Home Office</v>
      </c>
      <c r="P453" s="1" t="s">
        <v>26</v>
      </c>
      <c r="Q453" s="1" t="str">
        <f t="shared" si="192"/>
        <v>North</v>
      </c>
      <c r="R453" s="1" t="str">
        <f t="shared" si="193"/>
        <v>OK</v>
      </c>
      <c r="S453" s="1" t="s">
        <v>294</v>
      </c>
      <c r="T453" s="1" t="str">
        <f t="shared" si="194"/>
        <v>Haryana</v>
      </c>
      <c r="U453" s="1" t="s">
        <v>295</v>
      </c>
      <c r="V453" s="1" t="str">
        <f t="shared" si="195"/>
        <v>Gurugram</v>
      </c>
      <c r="W453" s="1" t="s">
        <v>83</v>
      </c>
      <c r="X453" s="1" t="str">
        <f t="shared" si="196"/>
        <v>Technology</v>
      </c>
      <c r="Y453" s="1" t="s">
        <v>84</v>
      </c>
      <c r="Z453" s="1" t="str">
        <f t="shared" si="197"/>
        <v>Accessories</v>
      </c>
      <c r="AA453" s="1" t="s">
        <v>3219</v>
      </c>
      <c r="AB453" s="1"/>
      <c r="AC453" s="1" t="str">
        <f t="shared" si="198"/>
        <v>Unknown</v>
      </c>
      <c r="AD453" s="1" t="str">
        <f t="shared" si="199"/>
        <v>MISSING_SHIP_MODE</v>
      </c>
      <c r="AE453" s="1">
        <v>5</v>
      </c>
      <c r="AF453" s="1">
        <v>967.41</v>
      </c>
      <c r="AG453" s="9">
        <v>0.05</v>
      </c>
      <c r="AH453" s="9">
        <f t="shared" si="200"/>
        <v>0.05</v>
      </c>
      <c r="AI453" s="1" t="str">
        <f t="shared" si="201"/>
        <v>OK</v>
      </c>
      <c r="AJ453" s="1">
        <v>4595.2</v>
      </c>
      <c r="AK453" s="1">
        <v>3887.41</v>
      </c>
      <c r="AL453" s="1">
        <v>707.79</v>
      </c>
      <c r="AM453" s="13">
        <f t="shared" si="202"/>
        <v>4595.1975000000002</v>
      </c>
      <c r="AN453" s="9">
        <f t="shared" si="203"/>
        <v>707.78750000000036</v>
      </c>
      <c r="AO453" s="9">
        <f t="shared" si="212"/>
        <v>0.15402765604742785</v>
      </c>
      <c r="AP453" s="1" t="s">
        <v>33</v>
      </c>
      <c r="AQ453" s="1" t="str">
        <f t="shared" si="204"/>
        <v>Paid</v>
      </c>
      <c r="AR453" s="1" t="str">
        <f t="shared" si="205"/>
        <v>OK</v>
      </c>
      <c r="AS453" s="1" t="s">
        <v>120</v>
      </c>
      <c r="AT453" s="4" t="str">
        <f t="shared" si="206"/>
        <v>Returned</v>
      </c>
      <c r="AU453" s="3" t="str">
        <f t="shared" si="207"/>
        <v>RETURNED_ORDER</v>
      </c>
      <c r="AV453" s="3" t="str">
        <f t="shared" si="213"/>
        <v>INVALID</v>
      </c>
      <c r="AW453" t="str">
        <f t="shared" si="214"/>
        <v>MATCH</v>
      </c>
      <c r="AX453" t="str">
        <f t="shared" si="215"/>
        <v>MATCH</v>
      </c>
    </row>
    <row r="454" spans="1:50" ht="15.6" hidden="1">
      <c r="A454" s="1" t="s">
        <v>3220</v>
      </c>
      <c r="B454" s="1">
        <f t="shared" si="189"/>
        <v>1</v>
      </c>
      <c r="C454" s="16">
        <v>45294</v>
      </c>
      <c r="D454" s="16">
        <v>45294</v>
      </c>
      <c r="E454" s="16" t="str">
        <f t="shared" si="208"/>
        <v>Jan</v>
      </c>
      <c r="F454" s="1">
        <f t="shared" si="209"/>
        <v>2024</v>
      </c>
      <c r="G454" t="s">
        <v>1206</v>
      </c>
      <c r="H454" s="17">
        <v>45428</v>
      </c>
      <c r="I454" s="21">
        <f t="shared" si="210"/>
        <v>134</v>
      </c>
      <c r="J454" s="6" t="str">
        <f t="shared" si="211"/>
        <v>OK</v>
      </c>
      <c r="K454" s="1" t="s">
        <v>3222</v>
      </c>
      <c r="L454" s="1" t="s">
        <v>80</v>
      </c>
      <c r="M454" s="1" t="str">
        <f t="shared" si="190"/>
        <v>Vikram Iyer</v>
      </c>
      <c r="N454" s="1" t="s">
        <v>40</v>
      </c>
      <c r="O454" s="1" t="str">
        <f t="shared" si="191"/>
        <v>Small Business</v>
      </c>
      <c r="P454" s="1" t="s">
        <v>71</v>
      </c>
      <c r="Q454" s="1" t="str">
        <f t="shared" si="192"/>
        <v>West</v>
      </c>
      <c r="R454" s="1" t="str">
        <f t="shared" si="193"/>
        <v>OK</v>
      </c>
      <c r="S454" s="1" t="s">
        <v>72</v>
      </c>
      <c r="T454" s="1" t="str">
        <f t="shared" si="194"/>
        <v>Maharashtra</v>
      </c>
      <c r="U454" s="1" t="s">
        <v>73</v>
      </c>
      <c r="V454" s="1" t="str">
        <f t="shared" si="195"/>
        <v>Mumbai</v>
      </c>
      <c r="W454" s="1" t="s">
        <v>29</v>
      </c>
      <c r="X454" s="1" t="str">
        <f t="shared" si="196"/>
        <v>Office Supplies</v>
      </c>
      <c r="Y454" s="1" t="s">
        <v>148</v>
      </c>
      <c r="Z454" s="1" t="str">
        <f t="shared" si="197"/>
        <v>Storage</v>
      </c>
      <c r="AA454" s="1" t="s">
        <v>3223</v>
      </c>
      <c r="AB454" s="1" t="s">
        <v>32</v>
      </c>
      <c r="AC454" s="1" t="str">
        <f t="shared" si="198"/>
        <v>Second Class</v>
      </c>
      <c r="AD454" s="1" t="str">
        <f t="shared" si="199"/>
        <v>OK</v>
      </c>
      <c r="AE454" s="1">
        <v>6</v>
      </c>
      <c r="AF454" s="1">
        <v>4163.72</v>
      </c>
      <c r="AG454" s="9">
        <v>0.15</v>
      </c>
      <c r="AH454" s="9">
        <f t="shared" si="200"/>
        <v>0.15</v>
      </c>
      <c r="AI454" s="1" t="str">
        <f t="shared" si="201"/>
        <v>OK</v>
      </c>
      <c r="AJ454" s="1">
        <v>21234.97</v>
      </c>
      <c r="AK454" s="1">
        <v>16736.09</v>
      </c>
      <c r="AL454" s="1">
        <v>4498.88</v>
      </c>
      <c r="AM454" s="13">
        <f t="shared" si="202"/>
        <v>21234.971999999998</v>
      </c>
      <c r="AN454" s="9">
        <f t="shared" si="203"/>
        <v>4498.8819999999978</v>
      </c>
      <c r="AO454" s="9">
        <f t="shared" si="212"/>
        <v>0.21186192286950029</v>
      </c>
      <c r="AP454" s="1" t="s">
        <v>33</v>
      </c>
      <c r="AQ454" s="1" t="str">
        <f t="shared" si="204"/>
        <v>Paid</v>
      </c>
      <c r="AR454" s="1" t="str">
        <f t="shared" si="205"/>
        <v>OK</v>
      </c>
      <c r="AS454" s="1" t="s">
        <v>34</v>
      </c>
      <c r="AT454" s="4" t="str">
        <f t="shared" si="206"/>
        <v>Completed</v>
      </c>
      <c r="AU454" s="3" t="str">
        <f t="shared" si="207"/>
        <v>OK</v>
      </c>
      <c r="AV454" s="3" t="str">
        <f t="shared" si="213"/>
        <v>CLEAN</v>
      </c>
      <c r="AW454" t="str">
        <f t="shared" si="214"/>
        <v>MATCH</v>
      </c>
      <c r="AX454" t="str">
        <f t="shared" si="215"/>
        <v>MATCH</v>
      </c>
    </row>
    <row r="455" spans="1:50" ht="15.6" hidden="1">
      <c r="A455" s="1" t="s">
        <v>3232</v>
      </c>
      <c r="B455" s="1">
        <f t="shared" si="189"/>
        <v>1</v>
      </c>
      <c r="C455" s="16">
        <v>45547</v>
      </c>
      <c r="D455" s="16">
        <v>45547</v>
      </c>
      <c r="E455" s="16" t="str">
        <f t="shared" si="208"/>
        <v>Sep</v>
      </c>
      <c r="F455" s="1">
        <f t="shared" si="209"/>
        <v>2024</v>
      </c>
      <c r="G455" t="s">
        <v>1957</v>
      </c>
      <c r="H455" s="17">
        <v>45788</v>
      </c>
      <c r="I455" s="21">
        <f t="shared" si="210"/>
        <v>241</v>
      </c>
      <c r="J455" s="6" t="str">
        <f t="shared" si="211"/>
        <v>OK</v>
      </c>
      <c r="K455" s="1" t="s">
        <v>3233</v>
      </c>
      <c r="L455" s="1" t="s">
        <v>169</v>
      </c>
      <c r="M455" s="1" t="str">
        <f t="shared" si="190"/>
        <v>Rohan Mehta</v>
      </c>
      <c r="N455" s="1" t="s">
        <v>25</v>
      </c>
      <c r="O455" s="1" t="str">
        <f t="shared" si="191"/>
        <v>Consumer</v>
      </c>
      <c r="P455" s="1"/>
      <c r="Q455" s="1" t="str">
        <f t="shared" si="192"/>
        <v>Unknown</v>
      </c>
      <c r="R455" s="1" t="str">
        <f t="shared" si="193"/>
        <v>MISSING_REGION</v>
      </c>
      <c r="S455" s="1" t="s">
        <v>284</v>
      </c>
      <c r="T455" s="1" t="str">
        <f t="shared" si="194"/>
        <v>Jharkhand</v>
      </c>
      <c r="U455" s="1" t="s">
        <v>285</v>
      </c>
      <c r="V455" s="1" t="str">
        <f t="shared" si="195"/>
        <v>Ranchi</v>
      </c>
      <c r="W455" s="1" t="s">
        <v>29</v>
      </c>
      <c r="X455" s="1" t="str">
        <f t="shared" si="196"/>
        <v>Office Supplies</v>
      </c>
      <c r="Y455" s="1" t="s">
        <v>105</v>
      </c>
      <c r="Z455" s="1" t="str">
        <f t="shared" si="197"/>
        <v>Labels</v>
      </c>
      <c r="AA455" s="1" t="s">
        <v>3234</v>
      </c>
      <c r="AB455" s="1" t="s">
        <v>55</v>
      </c>
      <c r="AC455" s="1" t="str">
        <f t="shared" si="198"/>
        <v>First Class</v>
      </c>
      <c r="AD455" s="1" t="str">
        <f t="shared" si="199"/>
        <v>OK</v>
      </c>
      <c r="AE455" s="1">
        <v>1</v>
      </c>
      <c r="AF455" s="1">
        <v>4306.6499999999996</v>
      </c>
      <c r="AG455" s="9">
        <v>0</v>
      </c>
      <c r="AH455" s="9">
        <f t="shared" si="200"/>
        <v>0</v>
      </c>
      <c r="AI455" s="1" t="str">
        <f t="shared" si="201"/>
        <v>OK</v>
      </c>
      <c r="AJ455" s="1">
        <v>4306.6499999999996</v>
      </c>
      <c r="AK455" s="1">
        <v>2568.8200000000002</v>
      </c>
      <c r="AL455" s="1">
        <v>1737.83</v>
      </c>
      <c r="AM455" s="13">
        <f t="shared" si="202"/>
        <v>4306.6499999999996</v>
      </c>
      <c r="AN455" s="9">
        <f t="shared" si="203"/>
        <v>1737.8299999999995</v>
      </c>
      <c r="AO455" s="9">
        <f t="shared" si="212"/>
        <v>0.40352245945224235</v>
      </c>
      <c r="AP455" s="1" t="s">
        <v>33</v>
      </c>
      <c r="AQ455" s="1" t="str">
        <f t="shared" si="204"/>
        <v>Paid</v>
      </c>
      <c r="AR455" s="1" t="str">
        <f t="shared" si="205"/>
        <v>OK</v>
      </c>
      <c r="AS455" s="1" t="s">
        <v>34</v>
      </c>
      <c r="AT455" s="4" t="str">
        <f t="shared" si="206"/>
        <v>Completed</v>
      </c>
      <c r="AU455" s="3" t="str">
        <f t="shared" si="207"/>
        <v>OK</v>
      </c>
      <c r="AV455" s="3" t="str">
        <f t="shared" si="213"/>
        <v>WARNING</v>
      </c>
      <c r="AW455" t="str">
        <f t="shared" si="214"/>
        <v>MATCH</v>
      </c>
      <c r="AX455" t="str">
        <f t="shared" si="215"/>
        <v>MATCH</v>
      </c>
    </row>
    <row r="456" spans="1:50" ht="15.6" hidden="1">
      <c r="A456" s="1" t="s">
        <v>3240</v>
      </c>
      <c r="B456" s="1">
        <f t="shared" si="189"/>
        <v>1</v>
      </c>
      <c r="C456" s="16">
        <v>45605</v>
      </c>
      <c r="D456" s="16">
        <v>45605</v>
      </c>
      <c r="E456" s="16" t="str">
        <f t="shared" si="208"/>
        <v>Nov</v>
      </c>
      <c r="F456" s="1">
        <f t="shared" si="209"/>
        <v>2024</v>
      </c>
      <c r="G456" t="s">
        <v>1962</v>
      </c>
      <c r="H456" s="17">
        <v>45744</v>
      </c>
      <c r="I456" s="21">
        <f t="shared" si="210"/>
        <v>139</v>
      </c>
      <c r="J456" s="6" t="str">
        <f t="shared" si="211"/>
        <v>OK</v>
      </c>
      <c r="K456" s="1" t="s">
        <v>3242</v>
      </c>
      <c r="L456" s="1" t="s">
        <v>52</v>
      </c>
      <c r="M456" s="1" t="str">
        <f t="shared" si="190"/>
        <v>Isha Nair</v>
      </c>
      <c r="N456" s="1" t="s">
        <v>110</v>
      </c>
      <c r="O456" s="1" t="str">
        <f t="shared" si="191"/>
        <v>Home Office</v>
      </c>
      <c r="P456" s="1" t="s">
        <v>26</v>
      </c>
      <c r="Q456" s="1" t="str">
        <f t="shared" si="192"/>
        <v>North</v>
      </c>
      <c r="R456" s="1" t="str">
        <f t="shared" si="193"/>
        <v>OK</v>
      </c>
      <c r="S456" s="1" t="s">
        <v>27</v>
      </c>
      <c r="T456" s="1" t="str">
        <f t="shared" si="194"/>
        <v>Rajasthan</v>
      </c>
      <c r="U456" s="1" t="s">
        <v>28</v>
      </c>
      <c r="V456" s="1" t="str">
        <f t="shared" si="195"/>
        <v>Jaipur</v>
      </c>
      <c r="W456" s="1" t="s">
        <v>83</v>
      </c>
      <c r="X456" s="1" t="str">
        <f t="shared" si="196"/>
        <v>Technology</v>
      </c>
      <c r="Y456" s="1" t="s">
        <v>91</v>
      </c>
      <c r="Z456" s="1" t="str">
        <f t="shared" si="197"/>
        <v>Copiers</v>
      </c>
      <c r="AA456" s="1" t="s">
        <v>3243</v>
      </c>
      <c r="AB456" s="1" t="s">
        <v>65</v>
      </c>
      <c r="AC456" s="1" t="str">
        <f t="shared" si="198"/>
        <v>Standard Class</v>
      </c>
      <c r="AD456" s="1" t="str">
        <f t="shared" si="199"/>
        <v>OK</v>
      </c>
      <c r="AE456" s="1">
        <v>1</v>
      </c>
      <c r="AF456" s="1">
        <v>3665.97</v>
      </c>
      <c r="AG456" s="9">
        <v>0.2</v>
      </c>
      <c r="AH456" s="9">
        <f t="shared" si="200"/>
        <v>0.2</v>
      </c>
      <c r="AI456" s="1" t="str">
        <f t="shared" si="201"/>
        <v>OK</v>
      </c>
      <c r="AJ456" s="1">
        <v>2932.78</v>
      </c>
      <c r="AK456" s="1">
        <v>1900.35</v>
      </c>
      <c r="AL456" s="1">
        <v>1032.43</v>
      </c>
      <c r="AM456" s="13">
        <f t="shared" si="202"/>
        <v>2932.7759999999998</v>
      </c>
      <c r="AN456" s="9">
        <f t="shared" si="203"/>
        <v>1032.4259999999999</v>
      </c>
      <c r="AO456" s="9">
        <f t="shared" si="212"/>
        <v>0.35203029484692999</v>
      </c>
      <c r="AP456" s="1" t="s">
        <v>186</v>
      </c>
      <c r="AQ456" s="1" t="str">
        <f t="shared" si="204"/>
        <v>Failed</v>
      </c>
      <c r="AR456" s="1" t="str">
        <f t="shared" si="205"/>
        <v>EXCLUDE_FROM_SALES</v>
      </c>
      <c r="AS456" s="1" t="s">
        <v>76</v>
      </c>
      <c r="AT456" s="4" t="str">
        <f t="shared" si="206"/>
        <v>Cancelled</v>
      </c>
      <c r="AU456" s="3" t="str">
        <f t="shared" si="207"/>
        <v>EXCLUDE_FROM_SALES</v>
      </c>
      <c r="AV456" s="3" t="str">
        <f t="shared" si="213"/>
        <v>CLEAN</v>
      </c>
      <c r="AW456" t="str">
        <f t="shared" si="214"/>
        <v>MATCH</v>
      </c>
      <c r="AX456" t="str">
        <f t="shared" si="215"/>
        <v>MATCH</v>
      </c>
    </row>
    <row r="457" spans="1:50" ht="15.6" hidden="1">
      <c r="A457" s="1" t="s">
        <v>3254</v>
      </c>
      <c r="B457" s="1">
        <f t="shared" si="189"/>
        <v>1</v>
      </c>
      <c r="C457" s="16">
        <v>45355</v>
      </c>
      <c r="D457" s="16">
        <v>45355</v>
      </c>
      <c r="E457" s="16" t="str">
        <f t="shared" si="208"/>
        <v>Mar</v>
      </c>
      <c r="F457" s="1">
        <f t="shared" si="209"/>
        <v>2024</v>
      </c>
      <c r="G457" t="s">
        <v>1966</v>
      </c>
      <c r="H457" s="17">
        <v>45495</v>
      </c>
      <c r="I457" s="21">
        <f t="shared" si="210"/>
        <v>140</v>
      </c>
      <c r="J457" s="6" t="str">
        <f t="shared" si="211"/>
        <v>OK</v>
      </c>
      <c r="K457" s="1" t="s">
        <v>2222</v>
      </c>
      <c r="L457" s="1" t="s">
        <v>334</v>
      </c>
      <c r="M457" s="1" t="str">
        <f t="shared" si="190"/>
        <v>Kabir Singh</v>
      </c>
      <c r="N457" s="1" t="s">
        <v>110</v>
      </c>
      <c r="O457" s="1" t="str">
        <f t="shared" si="191"/>
        <v>Home Office</v>
      </c>
      <c r="P457" s="1" t="s">
        <v>71</v>
      </c>
      <c r="Q457" s="1" t="str">
        <f t="shared" si="192"/>
        <v>West</v>
      </c>
      <c r="R457" s="1" t="str">
        <f t="shared" si="193"/>
        <v>OK</v>
      </c>
      <c r="S457" s="1" t="s">
        <v>218</v>
      </c>
      <c r="T457" s="1" t="str">
        <f t="shared" si="194"/>
        <v>Gujarat</v>
      </c>
      <c r="U457" s="1" t="s">
        <v>219</v>
      </c>
      <c r="V457" s="1" t="str">
        <f t="shared" si="195"/>
        <v>Ahmedabad</v>
      </c>
      <c r="W457" s="1" t="s">
        <v>83</v>
      </c>
      <c r="X457" s="1" t="str">
        <f t="shared" si="196"/>
        <v>Technology</v>
      </c>
      <c r="Y457" s="1" t="s">
        <v>91</v>
      </c>
      <c r="Z457" s="1" t="str">
        <f t="shared" si="197"/>
        <v>Copiers</v>
      </c>
      <c r="AA457" s="1" t="s">
        <v>3256</v>
      </c>
      <c r="AB457" s="1" t="s">
        <v>55</v>
      </c>
      <c r="AC457" s="1" t="str">
        <f t="shared" si="198"/>
        <v>First Class</v>
      </c>
      <c r="AD457" s="1" t="str">
        <f t="shared" si="199"/>
        <v>OK</v>
      </c>
      <c r="AE457" s="1">
        <v>1</v>
      </c>
      <c r="AF457" s="1">
        <v>3151.85</v>
      </c>
      <c r="AG457" s="9">
        <v>0.25</v>
      </c>
      <c r="AH457" s="9">
        <f t="shared" si="200"/>
        <v>0.25</v>
      </c>
      <c r="AI457" s="1" t="str">
        <f t="shared" si="201"/>
        <v>OK</v>
      </c>
      <c r="AJ457" s="1">
        <v>2363.89</v>
      </c>
      <c r="AK457" s="1">
        <v>1471.51</v>
      </c>
      <c r="AL457" s="1">
        <v>892.38</v>
      </c>
      <c r="AM457" s="13">
        <f t="shared" si="202"/>
        <v>2363.8874999999998</v>
      </c>
      <c r="AN457" s="9">
        <f t="shared" si="203"/>
        <v>892.37749999999983</v>
      </c>
      <c r="AO457" s="9">
        <f t="shared" si="212"/>
        <v>0.37750421710000998</v>
      </c>
      <c r="AP457" s="1" t="s">
        <v>33</v>
      </c>
      <c r="AQ457" s="1" t="str">
        <f t="shared" si="204"/>
        <v>Paid</v>
      </c>
      <c r="AR457" s="1" t="str">
        <f t="shared" si="205"/>
        <v>OK</v>
      </c>
      <c r="AS457" s="1" t="s">
        <v>34</v>
      </c>
      <c r="AT457" s="4" t="str">
        <f t="shared" si="206"/>
        <v>Completed</v>
      </c>
      <c r="AU457" s="3" t="str">
        <f t="shared" si="207"/>
        <v>OK</v>
      </c>
      <c r="AV457" s="3" t="str">
        <f t="shared" si="213"/>
        <v>CLEAN</v>
      </c>
      <c r="AW457" t="str">
        <f t="shared" si="214"/>
        <v>MATCH</v>
      </c>
      <c r="AX457" t="str">
        <f t="shared" si="215"/>
        <v>MATCH</v>
      </c>
    </row>
    <row r="458" spans="1:50" ht="15.6">
      <c r="A458" s="1" t="s">
        <v>3257</v>
      </c>
      <c r="B458" s="1">
        <f t="shared" si="189"/>
        <v>1</v>
      </c>
      <c r="C458" s="16">
        <v>45638</v>
      </c>
      <c r="D458" s="16">
        <v>45638</v>
      </c>
      <c r="E458" s="16" t="str">
        <f t="shared" si="208"/>
        <v>Dec</v>
      </c>
      <c r="F458" s="1">
        <f t="shared" si="209"/>
        <v>2024</v>
      </c>
      <c r="G458" t="s">
        <v>1837</v>
      </c>
      <c r="H458" s="17">
        <v>45342</v>
      </c>
      <c r="I458" s="21">
        <f t="shared" si="210"/>
        <v>-296</v>
      </c>
      <c r="J458" s="6" t="str">
        <f t="shared" si="211"/>
        <v>INVALID_SHIPPING</v>
      </c>
      <c r="K458" s="1" t="s">
        <v>3259</v>
      </c>
      <c r="L458" s="1" t="s">
        <v>169</v>
      </c>
      <c r="M458" s="1" t="str">
        <f t="shared" si="190"/>
        <v>Rohan Mehta</v>
      </c>
      <c r="N458" s="1" t="s">
        <v>110</v>
      </c>
      <c r="O458" s="1" t="str">
        <f t="shared" si="191"/>
        <v>Home Office</v>
      </c>
      <c r="P458" s="1" t="s">
        <v>26</v>
      </c>
      <c r="Q458" s="1" t="str">
        <f t="shared" si="192"/>
        <v>North</v>
      </c>
      <c r="R458" s="1" t="str">
        <f t="shared" si="193"/>
        <v>OK</v>
      </c>
      <c r="S458" s="1" t="s">
        <v>294</v>
      </c>
      <c r="T458" s="1" t="str">
        <f t="shared" si="194"/>
        <v>Haryana</v>
      </c>
      <c r="U458" s="1" t="s">
        <v>295</v>
      </c>
      <c r="V458" s="1" t="str">
        <f t="shared" si="195"/>
        <v>Gurugram</v>
      </c>
      <c r="W458" s="1" t="s">
        <v>83</v>
      </c>
      <c r="X458" s="1" t="str">
        <f t="shared" si="196"/>
        <v>Technology</v>
      </c>
      <c r="Y458" s="1" t="s">
        <v>84</v>
      </c>
      <c r="Z458" s="1" t="str">
        <f t="shared" si="197"/>
        <v>Accessories</v>
      </c>
      <c r="AA458" s="1" t="s">
        <v>3260</v>
      </c>
      <c r="AB458" s="1" t="s">
        <v>55</v>
      </c>
      <c r="AC458" s="1" t="str">
        <f t="shared" si="198"/>
        <v>First Class</v>
      </c>
      <c r="AD458" s="1" t="str">
        <f t="shared" si="199"/>
        <v>OK</v>
      </c>
      <c r="AE458" s="1">
        <v>2</v>
      </c>
      <c r="AF458" s="1">
        <v>1610.75</v>
      </c>
      <c r="AG458" s="9">
        <v>0.2</v>
      </c>
      <c r="AH458" s="9">
        <f t="shared" si="200"/>
        <v>0.2</v>
      </c>
      <c r="AI458" s="1" t="str">
        <f t="shared" si="201"/>
        <v>OK</v>
      </c>
      <c r="AJ458" s="1">
        <v>2577.1999999999998</v>
      </c>
      <c r="AK458" s="1">
        <v>1475.87</v>
      </c>
      <c r="AL458" s="1">
        <v>1101.33</v>
      </c>
      <c r="AM458" s="13">
        <f t="shared" si="202"/>
        <v>2577.2000000000003</v>
      </c>
      <c r="AN458" s="9">
        <f t="shared" si="203"/>
        <v>1101.3300000000004</v>
      </c>
      <c r="AO458" s="9">
        <f t="shared" si="212"/>
        <v>0.42733586838429316</v>
      </c>
      <c r="AP458" s="1" t="s">
        <v>33</v>
      </c>
      <c r="AQ458" s="1" t="str">
        <f t="shared" si="204"/>
        <v>Paid</v>
      </c>
      <c r="AR458" s="1" t="str">
        <f t="shared" si="205"/>
        <v>OK</v>
      </c>
      <c r="AS458" s="1" t="s">
        <v>34</v>
      </c>
      <c r="AT458" s="4" t="str">
        <f t="shared" si="206"/>
        <v>Completed</v>
      </c>
      <c r="AU458" s="3" t="str">
        <f t="shared" si="207"/>
        <v>OK</v>
      </c>
      <c r="AV458" s="3" t="str">
        <f t="shared" si="213"/>
        <v>INVALID</v>
      </c>
      <c r="AW458" t="str">
        <f t="shared" si="214"/>
        <v>MATCH</v>
      </c>
      <c r="AX458" t="str">
        <f t="shared" si="215"/>
        <v>MATCH</v>
      </c>
    </row>
    <row r="459" spans="1:50" ht="15.6">
      <c r="A459" s="1" t="s">
        <v>3261</v>
      </c>
      <c r="B459" s="1">
        <f t="shared" si="189"/>
        <v>1</v>
      </c>
      <c r="C459" s="16">
        <v>45458</v>
      </c>
      <c r="D459" s="16">
        <v>45458</v>
      </c>
      <c r="E459" s="16" t="str">
        <f t="shared" si="208"/>
        <v>Jun</v>
      </c>
      <c r="F459" s="1">
        <f t="shared" si="209"/>
        <v>2024</v>
      </c>
      <c r="G459" t="s">
        <v>1973</v>
      </c>
      <c r="H459" s="17">
        <v>45416</v>
      </c>
      <c r="I459" s="21">
        <f t="shared" si="210"/>
        <v>-42</v>
      </c>
      <c r="J459" s="6" t="str">
        <f t="shared" si="211"/>
        <v>INVALID_SHIPPING</v>
      </c>
      <c r="K459" s="1" t="s">
        <v>3263</v>
      </c>
      <c r="L459" s="1" t="s">
        <v>158</v>
      </c>
      <c r="M459" s="1" t="str">
        <f t="shared" si="190"/>
        <v>Sneha Kapoor</v>
      </c>
      <c r="N459" s="1" t="s">
        <v>40</v>
      </c>
      <c r="O459" s="1" t="str">
        <f t="shared" si="191"/>
        <v>Small Business</v>
      </c>
      <c r="P459" s="1" t="s">
        <v>41</v>
      </c>
      <c r="Q459" s="1" t="str">
        <f t="shared" si="192"/>
        <v>East</v>
      </c>
      <c r="R459" s="1" t="str">
        <f t="shared" si="193"/>
        <v>OK</v>
      </c>
      <c r="S459" s="1" t="s">
        <v>284</v>
      </c>
      <c r="T459" s="1" t="str">
        <f t="shared" si="194"/>
        <v>Jharkhand</v>
      </c>
      <c r="U459" s="1" t="s">
        <v>285</v>
      </c>
      <c r="V459" s="1" t="str">
        <f t="shared" si="195"/>
        <v>Ranchi</v>
      </c>
      <c r="W459" s="1" t="s">
        <v>44</v>
      </c>
      <c r="X459" s="1" t="str">
        <f t="shared" si="196"/>
        <v>Furniture</v>
      </c>
      <c r="Y459" s="1" t="s">
        <v>45</v>
      </c>
      <c r="Z459" s="1" t="str">
        <f t="shared" si="197"/>
        <v>Tables</v>
      </c>
      <c r="AA459" s="1" t="s">
        <v>3264</v>
      </c>
      <c r="AB459" s="1" t="s">
        <v>55</v>
      </c>
      <c r="AC459" s="1" t="str">
        <f t="shared" si="198"/>
        <v>First Class</v>
      </c>
      <c r="AD459" s="1" t="str">
        <f t="shared" si="199"/>
        <v>OK</v>
      </c>
      <c r="AE459" s="1">
        <v>8</v>
      </c>
      <c r="AF459" s="1">
        <v>2228.4699999999998</v>
      </c>
      <c r="AG459" s="9">
        <v>0</v>
      </c>
      <c r="AH459" s="9">
        <f t="shared" si="200"/>
        <v>0</v>
      </c>
      <c r="AI459" s="1" t="str">
        <f t="shared" si="201"/>
        <v>OK</v>
      </c>
      <c r="AJ459" s="1">
        <v>17827.759999999998</v>
      </c>
      <c r="AK459" s="1">
        <v>14122.13</v>
      </c>
      <c r="AL459" s="1">
        <v>3705.63</v>
      </c>
      <c r="AM459" s="13">
        <f t="shared" si="202"/>
        <v>17827.759999999998</v>
      </c>
      <c r="AN459" s="9">
        <f t="shared" si="203"/>
        <v>3705.6299999999992</v>
      </c>
      <c r="AO459" s="9">
        <f t="shared" si="212"/>
        <v>0.20785729671029896</v>
      </c>
      <c r="AP459" s="1" t="s">
        <v>33</v>
      </c>
      <c r="AQ459" s="1" t="str">
        <f t="shared" si="204"/>
        <v>Paid</v>
      </c>
      <c r="AR459" s="1" t="str">
        <f t="shared" si="205"/>
        <v>OK</v>
      </c>
      <c r="AS459" s="1" t="s">
        <v>34</v>
      </c>
      <c r="AT459" s="4" t="str">
        <f t="shared" si="206"/>
        <v>Completed</v>
      </c>
      <c r="AU459" s="3" t="str">
        <f t="shared" si="207"/>
        <v>OK</v>
      </c>
      <c r="AV459" s="3" t="str">
        <f t="shared" si="213"/>
        <v>INVALID</v>
      </c>
      <c r="AW459" t="str">
        <f t="shared" si="214"/>
        <v>MATCH</v>
      </c>
      <c r="AX459" t="str">
        <f t="shared" si="215"/>
        <v>MATCH</v>
      </c>
    </row>
    <row r="460" spans="1:50" ht="15.6" hidden="1">
      <c r="A460" s="1" t="s">
        <v>3271</v>
      </c>
      <c r="B460" s="1">
        <f t="shared" si="189"/>
        <v>1</v>
      </c>
      <c r="C460" s="16">
        <v>45295</v>
      </c>
      <c r="D460" s="16">
        <v>45295</v>
      </c>
      <c r="E460" s="16" t="str">
        <f t="shared" si="208"/>
        <v>Jan</v>
      </c>
      <c r="F460" s="1">
        <f t="shared" si="209"/>
        <v>2024</v>
      </c>
      <c r="G460" t="s">
        <v>763</v>
      </c>
      <c r="H460" s="17">
        <v>45333</v>
      </c>
      <c r="I460" s="21">
        <f t="shared" si="210"/>
        <v>38</v>
      </c>
      <c r="J460" s="6" t="str">
        <f t="shared" si="211"/>
        <v>OK</v>
      </c>
      <c r="K460" s="1" t="s">
        <v>3273</v>
      </c>
      <c r="L460" s="1" t="s">
        <v>196</v>
      </c>
      <c r="M460" s="1" t="str">
        <f t="shared" si="190"/>
        <v>Diya Patel</v>
      </c>
      <c r="N460" s="1" t="s">
        <v>25</v>
      </c>
      <c r="O460" s="1" t="str">
        <f t="shared" si="191"/>
        <v>Consumer</v>
      </c>
      <c r="P460" s="1" t="s">
        <v>41</v>
      </c>
      <c r="Q460" s="1" t="str">
        <f t="shared" si="192"/>
        <v>East</v>
      </c>
      <c r="R460" s="1" t="str">
        <f t="shared" si="193"/>
        <v>OK</v>
      </c>
      <c r="S460" s="1" t="s">
        <v>42</v>
      </c>
      <c r="T460" s="1" t="str">
        <f t="shared" si="194"/>
        <v>Odisha</v>
      </c>
      <c r="U460" s="1" t="s">
        <v>43</v>
      </c>
      <c r="V460" s="1" t="str">
        <f t="shared" si="195"/>
        <v>Bhubaneswar</v>
      </c>
      <c r="W460" s="1" t="s">
        <v>83</v>
      </c>
      <c r="X460" s="1" t="str">
        <f t="shared" si="196"/>
        <v>Technology</v>
      </c>
      <c r="Y460" s="1" t="s">
        <v>347</v>
      </c>
      <c r="Z460" s="1" t="str">
        <f t="shared" si="197"/>
        <v>Machines</v>
      </c>
      <c r="AA460" s="1" t="s">
        <v>3274</v>
      </c>
      <c r="AB460" s="1" t="s">
        <v>65</v>
      </c>
      <c r="AC460" s="1" t="str">
        <f t="shared" si="198"/>
        <v>Standard Class</v>
      </c>
      <c r="AD460" s="1" t="str">
        <f t="shared" si="199"/>
        <v>OK</v>
      </c>
      <c r="AE460" s="1">
        <v>7</v>
      </c>
      <c r="AF460" s="1">
        <v>715.81</v>
      </c>
      <c r="AG460" s="9">
        <v>0.15</v>
      </c>
      <c r="AH460" s="9">
        <f t="shared" si="200"/>
        <v>0.15</v>
      </c>
      <c r="AI460" s="1" t="str">
        <f t="shared" si="201"/>
        <v>OK</v>
      </c>
      <c r="AJ460" s="1">
        <v>4259.07</v>
      </c>
      <c r="AK460" s="1">
        <v>3130.32</v>
      </c>
      <c r="AL460" s="1">
        <v>1128.75</v>
      </c>
      <c r="AM460" s="13">
        <f t="shared" si="202"/>
        <v>4259.0694999999996</v>
      </c>
      <c r="AN460" s="9">
        <f t="shared" si="203"/>
        <v>1128.7494999999994</v>
      </c>
      <c r="AO460" s="9">
        <f t="shared" si="212"/>
        <v>0.26502255950507486</v>
      </c>
      <c r="AP460" s="1" t="s">
        <v>131</v>
      </c>
      <c r="AQ460" s="1" t="str">
        <f t="shared" si="204"/>
        <v>Pending</v>
      </c>
      <c r="AR460" s="1" t="str">
        <f t="shared" si="205"/>
        <v>OK</v>
      </c>
      <c r="AS460" s="1" t="s">
        <v>76</v>
      </c>
      <c r="AT460" s="4" t="str">
        <f t="shared" si="206"/>
        <v>Cancelled</v>
      </c>
      <c r="AU460" s="3" t="str">
        <f t="shared" si="207"/>
        <v>EXCLUDE_FROM_SALES</v>
      </c>
      <c r="AV460" s="3" t="str">
        <f t="shared" si="213"/>
        <v>CLEAN</v>
      </c>
      <c r="AW460" t="str">
        <f t="shared" si="214"/>
        <v>MATCH</v>
      </c>
      <c r="AX460" t="str">
        <f t="shared" si="215"/>
        <v>MATCH</v>
      </c>
    </row>
    <row r="461" spans="1:50" ht="15.6">
      <c r="A461" s="1" t="s">
        <v>3275</v>
      </c>
      <c r="B461" s="1">
        <f t="shared" si="189"/>
        <v>1</v>
      </c>
      <c r="C461" s="16">
        <v>45623</v>
      </c>
      <c r="D461" s="16">
        <v>45623</v>
      </c>
      <c r="E461" s="16" t="str">
        <f t="shared" si="208"/>
        <v>Nov</v>
      </c>
      <c r="F461" s="1">
        <f t="shared" si="209"/>
        <v>2024</v>
      </c>
      <c r="G461" t="s">
        <v>1920</v>
      </c>
      <c r="H461" s="17">
        <v>45386</v>
      </c>
      <c r="I461" s="21">
        <f t="shared" si="210"/>
        <v>-237</v>
      </c>
      <c r="J461" s="6" t="str">
        <f t="shared" si="211"/>
        <v>INVALID_SHIPPING</v>
      </c>
      <c r="K461" s="1" t="s">
        <v>3277</v>
      </c>
      <c r="L461" s="1" t="s">
        <v>141</v>
      </c>
      <c r="M461" s="1" t="str">
        <f t="shared" si="190"/>
        <v>Rahul Verma</v>
      </c>
      <c r="N461" s="1" t="s">
        <v>40</v>
      </c>
      <c r="O461" s="1" t="str">
        <f t="shared" si="191"/>
        <v>Small Business</v>
      </c>
      <c r="P461" s="1" t="s">
        <v>41</v>
      </c>
      <c r="Q461" s="1" t="str">
        <f t="shared" si="192"/>
        <v>East</v>
      </c>
      <c r="R461" s="1" t="str">
        <f t="shared" si="193"/>
        <v>OK</v>
      </c>
      <c r="S461" s="1" t="s">
        <v>284</v>
      </c>
      <c r="T461" s="1" t="str">
        <f t="shared" si="194"/>
        <v>Jharkhand</v>
      </c>
      <c r="U461" s="1" t="s">
        <v>285</v>
      </c>
      <c r="V461" s="1" t="str">
        <f t="shared" si="195"/>
        <v>Ranchi</v>
      </c>
      <c r="W461" s="1" t="s">
        <v>44</v>
      </c>
      <c r="X461" s="1" t="str">
        <f t="shared" si="196"/>
        <v>Furniture</v>
      </c>
      <c r="Y461" s="1" t="s">
        <v>63</v>
      </c>
      <c r="Z461" s="1" t="str">
        <f t="shared" si="197"/>
        <v>Furnishings</v>
      </c>
      <c r="AA461" s="1" t="s">
        <v>3278</v>
      </c>
      <c r="AB461" s="1" t="s">
        <v>55</v>
      </c>
      <c r="AC461" s="1" t="str">
        <f t="shared" si="198"/>
        <v>First Class</v>
      </c>
      <c r="AD461" s="1" t="str">
        <f t="shared" si="199"/>
        <v>OK</v>
      </c>
      <c r="AE461" s="1">
        <v>1</v>
      </c>
      <c r="AF461" s="1">
        <v>874.3</v>
      </c>
      <c r="AG461" s="9">
        <v>0.1</v>
      </c>
      <c r="AH461" s="9">
        <f t="shared" si="200"/>
        <v>0.1</v>
      </c>
      <c r="AI461" s="1" t="str">
        <f t="shared" si="201"/>
        <v>OK</v>
      </c>
      <c r="AJ461" s="1">
        <v>786.87</v>
      </c>
      <c r="AK461" s="1">
        <v>498.5</v>
      </c>
      <c r="AL461" s="1">
        <v>288.37</v>
      </c>
      <c r="AM461" s="13">
        <f t="shared" si="202"/>
        <v>786.87</v>
      </c>
      <c r="AN461" s="9">
        <f t="shared" si="203"/>
        <v>288.37</v>
      </c>
      <c r="AO461" s="9">
        <f t="shared" si="212"/>
        <v>0.36647730883119195</v>
      </c>
      <c r="AP461" s="1" t="s">
        <v>33</v>
      </c>
      <c r="AQ461" s="1" t="str">
        <f t="shared" si="204"/>
        <v>Paid</v>
      </c>
      <c r="AR461" s="1" t="str">
        <f t="shared" si="205"/>
        <v>OK</v>
      </c>
      <c r="AS461" s="1" t="s">
        <v>34</v>
      </c>
      <c r="AT461" s="4" t="str">
        <f t="shared" si="206"/>
        <v>Completed</v>
      </c>
      <c r="AU461" s="3" t="str">
        <f t="shared" si="207"/>
        <v>OK</v>
      </c>
      <c r="AV461" s="3" t="str">
        <f t="shared" si="213"/>
        <v>INVALID</v>
      </c>
      <c r="AW461" t="str">
        <f t="shared" si="214"/>
        <v>MATCH</v>
      </c>
      <c r="AX461" t="str">
        <f t="shared" si="215"/>
        <v>MATCH</v>
      </c>
    </row>
    <row r="462" spans="1:50" ht="15.6">
      <c r="A462" s="1" t="s">
        <v>3283</v>
      </c>
      <c r="B462" s="1">
        <f t="shared" si="189"/>
        <v>1</v>
      </c>
      <c r="C462" s="16">
        <v>45564</v>
      </c>
      <c r="D462" s="16">
        <v>45564</v>
      </c>
      <c r="E462" s="16" t="str">
        <f t="shared" si="208"/>
        <v>Sep</v>
      </c>
      <c r="F462" s="1">
        <f t="shared" si="209"/>
        <v>2024</v>
      </c>
      <c r="G462" t="s">
        <v>1983</v>
      </c>
      <c r="H462" s="17">
        <v>45936</v>
      </c>
      <c r="I462" s="21">
        <f t="shared" si="210"/>
        <v>372</v>
      </c>
      <c r="J462" s="6" t="str">
        <f t="shared" si="211"/>
        <v>OK</v>
      </c>
      <c r="K462" s="1" t="s">
        <v>3284</v>
      </c>
      <c r="L462" s="1" t="s">
        <v>136</v>
      </c>
      <c r="M462" s="1" t="str">
        <f t="shared" si="190"/>
        <v>Priya Menon</v>
      </c>
      <c r="N462" s="1" t="s">
        <v>40</v>
      </c>
      <c r="O462" s="1" t="str">
        <f t="shared" si="191"/>
        <v>Small Business</v>
      </c>
      <c r="P462" s="1" t="s">
        <v>71</v>
      </c>
      <c r="Q462" s="1" t="str">
        <f t="shared" si="192"/>
        <v>West</v>
      </c>
      <c r="R462" s="1" t="str">
        <f t="shared" si="193"/>
        <v>OK</v>
      </c>
      <c r="S462" s="1" t="s">
        <v>72</v>
      </c>
      <c r="T462" s="1" t="str">
        <f t="shared" si="194"/>
        <v>Maharashtra</v>
      </c>
      <c r="U462" s="1" t="s">
        <v>73</v>
      </c>
      <c r="V462" s="1" t="str">
        <f t="shared" si="195"/>
        <v>Mumbai</v>
      </c>
      <c r="W462" s="1" t="s">
        <v>29</v>
      </c>
      <c r="X462" s="1" t="str">
        <f t="shared" si="196"/>
        <v>Office Supplies</v>
      </c>
      <c r="Y462" s="1" t="s">
        <v>105</v>
      </c>
      <c r="Z462" s="1" t="str">
        <f t="shared" si="197"/>
        <v>Labels</v>
      </c>
      <c r="AA462" s="1" t="s">
        <v>3285</v>
      </c>
      <c r="AB462" s="1" t="s">
        <v>55</v>
      </c>
      <c r="AC462" s="1" t="str">
        <f t="shared" si="198"/>
        <v>First Class</v>
      </c>
      <c r="AD462" s="1" t="str">
        <f t="shared" si="199"/>
        <v>OK</v>
      </c>
      <c r="AE462" s="1">
        <v>8</v>
      </c>
      <c r="AF462" s="1">
        <v>1981.04</v>
      </c>
      <c r="AG462" s="9">
        <v>-0.14000000000000001</v>
      </c>
      <c r="AH462" s="9">
        <f t="shared" si="200"/>
        <v>-0.14000000000000001</v>
      </c>
      <c r="AI462" s="1" t="str">
        <f t="shared" si="201"/>
        <v>Invalid Negative Discount</v>
      </c>
      <c r="AJ462" s="1">
        <v>12678.66</v>
      </c>
      <c r="AK462" s="1">
        <v>10088.65</v>
      </c>
      <c r="AL462" s="1">
        <v>2590.0100000000002</v>
      </c>
      <c r="AM462" s="13" t="str">
        <f t="shared" si="202"/>
        <v>INVALID</v>
      </c>
      <c r="AN462" s="9" t="str">
        <f t="shared" si="203"/>
        <v>INVALID</v>
      </c>
      <c r="AO462" s="9" t="str">
        <f t="shared" si="212"/>
        <v/>
      </c>
      <c r="AP462" s="1" t="s">
        <v>33</v>
      </c>
      <c r="AQ462" s="1" t="str">
        <f t="shared" si="204"/>
        <v>Paid</v>
      </c>
      <c r="AR462" s="1" t="str">
        <f t="shared" si="205"/>
        <v>OK</v>
      </c>
      <c r="AS462" s="1" t="s">
        <v>34</v>
      </c>
      <c r="AT462" s="4" t="str">
        <f t="shared" si="206"/>
        <v>Completed</v>
      </c>
      <c r="AU462" s="3" t="str">
        <f t="shared" si="207"/>
        <v>OK</v>
      </c>
      <c r="AV462" s="3" t="str">
        <f t="shared" si="213"/>
        <v>INVALID</v>
      </c>
      <c r="AW462" t="str">
        <f t="shared" si="214"/>
        <v>INVALID</v>
      </c>
      <c r="AX462" t="str">
        <f t="shared" si="215"/>
        <v>INVALID</v>
      </c>
    </row>
    <row r="463" spans="1:50" ht="15.6" hidden="1">
      <c r="A463" s="1" t="s">
        <v>3286</v>
      </c>
      <c r="B463" s="1">
        <f t="shared" si="189"/>
        <v>1</v>
      </c>
      <c r="C463" s="16">
        <v>45504</v>
      </c>
      <c r="D463" s="16">
        <v>45504</v>
      </c>
      <c r="E463" s="16" t="str">
        <f t="shared" si="208"/>
        <v>Jul</v>
      </c>
      <c r="F463" s="1">
        <f t="shared" si="209"/>
        <v>2024</v>
      </c>
      <c r="G463" t="s">
        <v>1341</v>
      </c>
      <c r="H463" s="17">
        <v>45803</v>
      </c>
      <c r="I463" s="21">
        <f t="shared" si="210"/>
        <v>299</v>
      </c>
      <c r="J463" s="6" t="str">
        <f t="shared" si="211"/>
        <v>OK</v>
      </c>
      <c r="K463" s="1" t="s">
        <v>3288</v>
      </c>
      <c r="L463" s="1" t="s">
        <v>24</v>
      </c>
      <c r="M463" s="1" t="str">
        <f t="shared" si="190"/>
        <v>Karan Malhotra</v>
      </c>
      <c r="N463" s="1" t="s">
        <v>110</v>
      </c>
      <c r="O463" s="1" t="str">
        <f t="shared" si="191"/>
        <v>Home Office</v>
      </c>
      <c r="P463" s="1" t="s">
        <v>60</v>
      </c>
      <c r="Q463" s="1" t="str">
        <f t="shared" si="192"/>
        <v>South</v>
      </c>
      <c r="R463" s="1" t="str">
        <f t="shared" si="193"/>
        <v>OK</v>
      </c>
      <c r="S463" s="1" t="s">
        <v>224</v>
      </c>
      <c r="T463" s="1" t="str">
        <f t="shared" si="194"/>
        <v>Kerala</v>
      </c>
      <c r="U463" s="1" t="s">
        <v>225</v>
      </c>
      <c r="V463" s="1" t="str">
        <f t="shared" si="195"/>
        <v>Kochi</v>
      </c>
      <c r="W463" s="1" t="s">
        <v>83</v>
      </c>
      <c r="X463" s="1" t="str">
        <f t="shared" si="196"/>
        <v>Technology</v>
      </c>
      <c r="Y463" s="1" t="s">
        <v>3289</v>
      </c>
      <c r="Z463" s="1" t="str">
        <f t="shared" si="197"/>
        <v>Machines</v>
      </c>
      <c r="AA463" s="1" t="s">
        <v>3290</v>
      </c>
      <c r="AB463" s="1" t="s">
        <v>65</v>
      </c>
      <c r="AC463" s="1" t="str">
        <f t="shared" si="198"/>
        <v>Standard Class</v>
      </c>
      <c r="AD463" s="1" t="str">
        <f t="shared" si="199"/>
        <v>OK</v>
      </c>
      <c r="AE463" s="1">
        <v>8</v>
      </c>
      <c r="AF463" s="1">
        <v>4246.01</v>
      </c>
      <c r="AG463" s="9">
        <v>0</v>
      </c>
      <c r="AH463" s="9">
        <f t="shared" si="200"/>
        <v>0</v>
      </c>
      <c r="AI463" s="1" t="str">
        <f t="shared" si="201"/>
        <v>OK</v>
      </c>
      <c r="AJ463" s="1">
        <v>33968.080000000002</v>
      </c>
      <c r="AK463" s="1">
        <v>26902.44</v>
      </c>
      <c r="AL463" s="1">
        <v>7065.64</v>
      </c>
      <c r="AM463" s="13">
        <f t="shared" si="202"/>
        <v>33968.080000000002</v>
      </c>
      <c r="AN463" s="9">
        <f t="shared" si="203"/>
        <v>7065.6400000000031</v>
      </c>
      <c r="AO463" s="9">
        <f t="shared" si="212"/>
        <v>0.20800822419165294</v>
      </c>
      <c r="AP463" s="1" t="s">
        <v>186</v>
      </c>
      <c r="AQ463" s="1" t="str">
        <f t="shared" si="204"/>
        <v>Failed</v>
      </c>
      <c r="AR463" s="1" t="str">
        <f t="shared" si="205"/>
        <v>EXCLUDE_FROM_SALES</v>
      </c>
      <c r="AS463" s="1" t="s">
        <v>76</v>
      </c>
      <c r="AT463" s="4" t="str">
        <f t="shared" si="206"/>
        <v>Cancelled</v>
      </c>
      <c r="AU463" s="3" t="str">
        <f t="shared" si="207"/>
        <v>EXCLUDE_FROM_SALES</v>
      </c>
      <c r="AV463" s="3" t="str">
        <f t="shared" si="213"/>
        <v>CLEAN</v>
      </c>
      <c r="AW463" t="str">
        <f t="shared" si="214"/>
        <v>MATCH</v>
      </c>
      <c r="AX463" t="str">
        <f t="shared" si="215"/>
        <v>MATCH</v>
      </c>
    </row>
    <row r="464" spans="1:50" ht="15.6" hidden="1">
      <c r="A464" s="1" t="s">
        <v>3295</v>
      </c>
      <c r="B464" s="1">
        <f t="shared" si="189"/>
        <v>1</v>
      </c>
      <c r="C464" s="16">
        <v>45358</v>
      </c>
      <c r="D464" s="16">
        <v>45358</v>
      </c>
      <c r="E464" s="16" t="str">
        <f t="shared" si="208"/>
        <v>Mar</v>
      </c>
      <c r="F464" s="1">
        <f t="shared" si="209"/>
        <v>2024</v>
      </c>
      <c r="G464" t="s">
        <v>1990</v>
      </c>
      <c r="H464" s="17">
        <v>45560</v>
      </c>
      <c r="I464" s="21">
        <f t="shared" si="210"/>
        <v>202</v>
      </c>
      <c r="J464" s="6" t="str">
        <f t="shared" si="211"/>
        <v>OK</v>
      </c>
      <c r="K464" s="1" t="s">
        <v>3298</v>
      </c>
      <c r="L464" s="1" t="s">
        <v>153</v>
      </c>
      <c r="M464" s="1" t="str">
        <f t="shared" si="190"/>
        <v>Aarav Sharma</v>
      </c>
      <c r="N464" s="1" t="s">
        <v>104</v>
      </c>
      <c r="O464" s="1" t="str">
        <f t="shared" si="191"/>
        <v>Corporate</v>
      </c>
      <c r="P464" s="1" t="s">
        <v>60</v>
      </c>
      <c r="Q464" s="1" t="str">
        <f t="shared" si="192"/>
        <v>South</v>
      </c>
      <c r="R464" s="1" t="str">
        <f t="shared" si="193"/>
        <v>OK</v>
      </c>
      <c r="S464" s="1" t="s">
        <v>212</v>
      </c>
      <c r="T464" s="1" t="str">
        <f t="shared" si="194"/>
        <v>Karnataka</v>
      </c>
      <c r="U464" s="1" t="s">
        <v>213</v>
      </c>
      <c r="V464" s="1" t="str">
        <f t="shared" si="195"/>
        <v>Bengaluru</v>
      </c>
      <c r="W464" s="1" t="s">
        <v>83</v>
      </c>
      <c r="X464" s="1" t="str">
        <f t="shared" si="196"/>
        <v>Technology</v>
      </c>
      <c r="Y464" s="1" t="s">
        <v>84</v>
      </c>
      <c r="Z464" s="1" t="str">
        <f t="shared" si="197"/>
        <v>Accessories</v>
      </c>
      <c r="AA464" s="1" t="s">
        <v>3299</v>
      </c>
      <c r="AB464" s="1" t="s">
        <v>55</v>
      </c>
      <c r="AC464" s="1" t="str">
        <f t="shared" si="198"/>
        <v>First Class</v>
      </c>
      <c r="AD464" s="1" t="str">
        <f t="shared" si="199"/>
        <v>OK</v>
      </c>
      <c r="AE464" s="1">
        <v>7</v>
      </c>
      <c r="AF464" s="1">
        <v>1942.49</v>
      </c>
      <c r="AG464" s="9">
        <v>0.2</v>
      </c>
      <c r="AH464" s="9">
        <f t="shared" si="200"/>
        <v>0.2</v>
      </c>
      <c r="AI464" s="1" t="str">
        <f t="shared" si="201"/>
        <v>OK</v>
      </c>
      <c r="AJ464" s="1">
        <v>10877.94</v>
      </c>
      <c r="AK464" s="1">
        <v>9110.14</v>
      </c>
      <c r="AL464" s="1">
        <v>1767.8</v>
      </c>
      <c r="AM464" s="13">
        <f t="shared" si="202"/>
        <v>10877.944000000001</v>
      </c>
      <c r="AN464" s="9">
        <f t="shared" si="203"/>
        <v>1767.8040000000019</v>
      </c>
      <c r="AO464" s="9">
        <f t="shared" si="212"/>
        <v>0.16251269541376584</v>
      </c>
      <c r="AP464" s="1" t="s">
        <v>33</v>
      </c>
      <c r="AQ464" s="1" t="str">
        <f t="shared" si="204"/>
        <v>Paid</v>
      </c>
      <c r="AR464" s="1" t="str">
        <f t="shared" si="205"/>
        <v>OK</v>
      </c>
      <c r="AS464" s="1" t="s">
        <v>34</v>
      </c>
      <c r="AT464" s="4" t="str">
        <f t="shared" si="206"/>
        <v>Completed</v>
      </c>
      <c r="AU464" s="3" t="str">
        <f t="shared" si="207"/>
        <v>OK</v>
      </c>
      <c r="AV464" s="3" t="str">
        <f t="shared" si="213"/>
        <v>CLEAN</v>
      </c>
      <c r="AW464" t="str">
        <f t="shared" si="214"/>
        <v>MATCH</v>
      </c>
      <c r="AX464" t="str">
        <f t="shared" si="215"/>
        <v>MATCH</v>
      </c>
    </row>
    <row r="465" spans="1:50" ht="15.6" hidden="1">
      <c r="A465" s="1" t="s">
        <v>3300</v>
      </c>
      <c r="B465" s="1">
        <f t="shared" si="189"/>
        <v>1</v>
      </c>
      <c r="C465" s="16">
        <v>45636</v>
      </c>
      <c r="D465" s="16">
        <v>45636</v>
      </c>
      <c r="E465" s="16" t="str">
        <f t="shared" si="208"/>
        <v>Dec</v>
      </c>
      <c r="F465" s="1">
        <f t="shared" si="209"/>
        <v>2024</v>
      </c>
      <c r="G465" t="s">
        <v>1994</v>
      </c>
      <c r="H465" s="17">
        <v>45696</v>
      </c>
      <c r="I465" s="21">
        <f t="shared" si="210"/>
        <v>60</v>
      </c>
      <c r="J465" s="6" t="str">
        <f t="shared" si="211"/>
        <v>OK</v>
      </c>
      <c r="K465" s="1" t="s">
        <v>3302</v>
      </c>
      <c r="L465" s="1" t="s">
        <v>39</v>
      </c>
      <c r="M465" s="1" t="str">
        <f t="shared" si="190"/>
        <v>Mira Das</v>
      </c>
      <c r="N465" s="1" t="s">
        <v>104</v>
      </c>
      <c r="O465" s="1" t="str">
        <f t="shared" si="191"/>
        <v>Corporate</v>
      </c>
      <c r="P465" s="1" t="s">
        <v>41</v>
      </c>
      <c r="Q465" s="1" t="str">
        <f t="shared" si="192"/>
        <v>East</v>
      </c>
      <c r="R465" s="1" t="str">
        <f t="shared" si="193"/>
        <v>OK</v>
      </c>
      <c r="S465" s="1" t="s">
        <v>201</v>
      </c>
      <c r="T465" s="1" t="str">
        <f t="shared" si="194"/>
        <v>Assam</v>
      </c>
      <c r="U465" s="1" t="s">
        <v>202</v>
      </c>
      <c r="V465" s="1" t="str">
        <f t="shared" si="195"/>
        <v>Guwahati</v>
      </c>
      <c r="W465" s="1" t="s">
        <v>44</v>
      </c>
      <c r="X465" s="1" t="str">
        <f t="shared" si="196"/>
        <v>Furniture</v>
      </c>
      <c r="Y465" s="1" t="s">
        <v>63</v>
      </c>
      <c r="Z465" s="1" t="str">
        <f t="shared" si="197"/>
        <v>Furnishings</v>
      </c>
      <c r="AA465" s="1" t="s">
        <v>3303</v>
      </c>
      <c r="AB465" s="1" t="s">
        <v>32</v>
      </c>
      <c r="AC465" s="1" t="str">
        <f t="shared" si="198"/>
        <v>Second Class</v>
      </c>
      <c r="AD465" s="1" t="str">
        <f t="shared" si="199"/>
        <v>OK</v>
      </c>
      <c r="AE465" s="1">
        <v>4</v>
      </c>
      <c r="AF465" s="1">
        <v>3202.04</v>
      </c>
      <c r="AG465" s="9">
        <v>0.2</v>
      </c>
      <c r="AH465" s="9">
        <f t="shared" si="200"/>
        <v>0.2</v>
      </c>
      <c r="AI465" s="1" t="str">
        <f t="shared" si="201"/>
        <v>OK</v>
      </c>
      <c r="AJ465" s="1">
        <v>10246.530000000001</v>
      </c>
      <c r="AK465" s="1">
        <v>8634.42</v>
      </c>
      <c r="AL465" s="1">
        <v>1612.11</v>
      </c>
      <c r="AM465" s="13">
        <f t="shared" si="202"/>
        <v>10246.528</v>
      </c>
      <c r="AN465" s="9">
        <f t="shared" si="203"/>
        <v>1612.1080000000002</v>
      </c>
      <c r="AO465" s="9">
        <f t="shared" si="212"/>
        <v>0.15733212264681268</v>
      </c>
      <c r="AP465" s="1" t="s">
        <v>131</v>
      </c>
      <c r="AQ465" s="1" t="str">
        <f t="shared" si="204"/>
        <v>Pending</v>
      </c>
      <c r="AR465" s="1" t="str">
        <f t="shared" si="205"/>
        <v>OK</v>
      </c>
      <c r="AS465" s="1" t="s">
        <v>120</v>
      </c>
      <c r="AT465" s="4" t="str">
        <f t="shared" si="206"/>
        <v>Returned</v>
      </c>
      <c r="AU465" s="3" t="str">
        <f t="shared" si="207"/>
        <v>RETURNED_ORDER</v>
      </c>
      <c r="AV465" s="3" t="str">
        <f t="shared" si="213"/>
        <v>CLEAN</v>
      </c>
      <c r="AW465" t="str">
        <f t="shared" si="214"/>
        <v>MATCH</v>
      </c>
      <c r="AX465" t="str">
        <f t="shared" si="215"/>
        <v>MATCH</v>
      </c>
    </row>
    <row r="466" spans="1:50" ht="15.6" hidden="1">
      <c r="A466" s="1" t="s">
        <v>3318</v>
      </c>
      <c r="B466" s="1">
        <f t="shared" si="189"/>
        <v>1</v>
      </c>
      <c r="C466" s="16">
        <v>45620</v>
      </c>
      <c r="D466" s="16">
        <v>45620</v>
      </c>
      <c r="E466" s="16" t="str">
        <f t="shared" si="208"/>
        <v>Nov</v>
      </c>
      <c r="F466" s="1">
        <f t="shared" si="209"/>
        <v>2024</v>
      </c>
      <c r="G466" t="s">
        <v>1998</v>
      </c>
      <c r="H466" s="17">
        <v>45731</v>
      </c>
      <c r="I466" s="21">
        <f t="shared" si="210"/>
        <v>111</v>
      </c>
      <c r="J466" s="6" t="str">
        <f t="shared" si="211"/>
        <v>OK</v>
      </c>
      <c r="K466" s="1" t="s">
        <v>3319</v>
      </c>
      <c r="L466" s="1" t="s">
        <v>136</v>
      </c>
      <c r="M466" s="1" t="str">
        <f t="shared" si="190"/>
        <v>Priya Menon</v>
      </c>
      <c r="N466" s="1" t="s">
        <v>110</v>
      </c>
      <c r="O466" s="1" t="str">
        <f t="shared" si="191"/>
        <v>Home Office</v>
      </c>
      <c r="P466" s="1" t="s">
        <v>60</v>
      </c>
      <c r="Q466" s="1" t="str">
        <f t="shared" si="192"/>
        <v>South</v>
      </c>
      <c r="R466" s="1" t="str">
        <f t="shared" si="193"/>
        <v>OK</v>
      </c>
      <c r="S466" s="1" t="s">
        <v>309</v>
      </c>
      <c r="T466" s="1" t="str">
        <f t="shared" si="194"/>
        <v>Tamil Nadu</v>
      </c>
      <c r="U466" s="1" t="s">
        <v>310</v>
      </c>
      <c r="V466" s="1" t="str">
        <f t="shared" si="195"/>
        <v>Chennai</v>
      </c>
      <c r="W466" s="1" t="s">
        <v>29</v>
      </c>
      <c r="X466" s="1" t="str">
        <f t="shared" si="196"/>
        <v>Office Supplies</v>
      </c>
      <c r="Y466" s="1" t="s">
        <v>30</v>
      </c>
      <c r="Z466" s="1" t="str">
        <f t="shared" si="197"/>
        <v>Paper</v>
      </c>
      <c r="AA466" s="1" t="s">
        <v>3320</v>
      </c>
      <c r="AB466" s="1" t="s">
        <v>47</v>
      </c>
      <c r="AC466" s="1" t="str">
        <f t="shared" si="198"/>
        <v>Same Day</v>
      </c>
      <c r="AD466" s="1" t="str">
        <f t="shared" si="199"/>
        <v>OK</v>
      </c>
      <c r="AE466" s="1">
        <v>1</v>
      </c>
      <c r="AF466" s="1">
        <v>844.89</v>
      </c>
      <c r="AG466" s="9">
        <v>0.25</v>
      </c>
      <c r="AH466" s="9">
        <f t="shared" si="200"/>
        <v>0.25</v>
      </c>
      <c r="AI466" s="1" t="str">
        <f t="shared" si="201"/>
        <v>OK</v>
      </c>
      <c r="AJ466" s="1">
        <v>633.66999999999996</v>
      </c>
      <c r="AK466" s="1">
        <v>520.47</v>
      </c>
      <c r="AL466" s="1">
        <v>113.2</v>
      </c>
      <c r="AM466" s="13">
        <f t="shared" si="202"/>
        <v>633.66750000000002</v>
      </c>
      <c r="AN466" s="9">
        <f t="shared" si="203"/>
        <v>113.19749999999999</v>
      </c>
      <c r="AO466" s="9">
        <f t="shared" si="212"/>
        <v>0.17863863934950111</v>
      </c>
      <c r="AP466" s="1" t="s">
        <v>33</v>
      </c>
      <c r="AQ466" s="1" t="str">
        <f t="shared" si="204"/>
        <v>Paid</v>
      </c>
      <c r="AR466" s="1" t="str">
        <f t="shared" si="205"/>
        <v>OK</v>
      </c>
      <c r="AS466" s="1" t="s">
        <v>76</v>
      </c>
      <c r="AT466" s="4" t="str">
        <f t="shared" si="206"/>
        <v>Cancelled</v>
      </c>
      <c r="AU466" s="3" t="str">
        <f t="shared" si="207"/>
        <v>EXCLUDE_FROM_SALES</v>
      </c>
      <c r="AV466" s="3" t="str">
        <f t="shared" si="213"/>
        <v>CLEAN</v>
      </c>
      <c r="AW466" t="str">
        <f t="shared" si="214"/>
        <v>MATCH</v>
      </c>
      <c r="AX466" t="str">
        <f t="shared" si="215"/>
        <v>MATCH</v>
      </c>
    </row>
    <row r="467" spans="1:50" ht="15.6">
      <c r="A467" s="1" t="s">
        <v>3325</v>
      </c>
      <c r="B467" s="1">
        <f t="shared" si="189"/>
        <v>1</v>
      </c>
      <c r="C467" s="16">
        <v>45348</v>
      </c>
      <c r="D467" s="16">
        <v>45348</v>
      </c>
      <c r="E467" s="16" t="str">
        <f t="shared" si="208"/>
        <v>Feb</v>
      </c>
      <c r="F467" s="1">
        <f t="shared" si="209"/>
        <v>2024</v>
      </c>
      <c r="G467" t="s">
        <v>2002</v>
      </c>
      <c r="H467" s="17">
        <v>45328</v>
      </c>
      <c r="I467" s="21">
        <f t="shared" si="210"/>
        <v>-20</v>
      </c>
      <c r="J467" s="6" t="str">
        <f t="shared" si="211"/>
        <v>INVALID_SHIPPING</v>
      </c>
      <c r="K467" s="1" t="s">
        <v>3326</v>
      </c>
      <c r="L467" s="1" t="s">
        <v>103</v>
      </c>
      <c r="M467" s="1" t="str">
        <f t="shared" si="190"/>
        <v>Aditi Sen</v>
      </c>
      <c r="N467" s="1" t="s">
        <v>40</v>
      </c>
      <c r="O467" s="1" t="str">
        <f t="shared" si="191"/>
        <v>Small Business</v>
      </c>
      <c r="P467" s="1" t="s">
        <v>71</v>
      </c>
      <c r="Q467" s="1" t="str">
        <f t="shared" si="192"/>
        <v>West</v>
      </c>
      <c r="R467" s="1" t="str">
        <f t="shared" si="193"/>
        <v>OK</v>
      </c>
      <c r="S467" s="1" t="s">
        <v>230</v>
      </c>
      <c r="T467" s="1" t="str">
        <f t="shared" si="194"/>
        <v>Goa</v>
      </c>
      <c r="U467" s="1" t="s">
        <v>231</v>
      </c>
      <c r="V467" s="1" t="str">
        <f t="shared" si="195"/>
        <v>Panaji</v>
      </c>
      <c r="W467" s="1" t="s">
        <v>44</v>
      </c>
      <c r="X467" s="1" t="str">
        <f t="shared" si="196"/>
        <v>Furniture</v>
      </c>
      <c r="Y467" s="1" t="s">
        <v>63</v>
      </c>
      <c r="Z467" s="1" t="str">
        <f t="shared" si="197"/>
        <v>Furnishings</v>
      </c>
      <c r="AA467" s="1" t="s">
        <v>3327</v>
      </c>
      <c r="AB467" s="1" t="s">
        <v>32</v>
      </c>
      <c r="AC467" s="1" t="str">
        <f t="shared" si="198"/>
        <v>Second Class</v>
      </c>
      <c r="AD467" s="1" t="str">
        <f t="shared" si="199"/>
        <v>OK</v>
      </c>
      <c r="AE467" s="1">
        <v>7</v>
      </c>
      <c r="AF467" s="1">
        <v>1035.1400000000001</v>
      </c>
      <c r="AG467" s="9">
        <v>0.1</v>
      </c>
      <c r="AH467" s="9">
        <f t="shared" si="200"/>
        <v>0.1</v>
      </c>
      <c r="AI467" s="1" t="str">
        <f t="shared" si="201"/>
        <v>OK</v>
      </c>
      <c r="AJ467" s="1">
        <v>6521.38</v>
      </c>
      <c r="AK467" s="1">
        <v>4511.1000000000004</v>
      </c>
      <c r="AL467" s="1">
        <v>2010.28</v>
      </c>
      <c r="AM467" s="13">
        <f t="shared" si="202"/>
        <v>6521.3820000000005</v>
      </c>
      <c r="AN467" s="9">
        <f t="shared" si="203"/>
        <v>2010.2820000000002</v>
      </c>
      <c r="AO467" s="9">
        <f t="shared" si="212"/>
        <v>0.30826012032418892</v>
      </c>
      <c r="AP467" s="1" t="s">
        <v>33</v>
      </c>
      <c r="AQ467" s="1" t="str">
        <f t="shared" si="204"/>
        <v>Paid</v>
      </c>
      <c r="AR467" s="1" t="str">
        <f t="shared" si="205"/>
        <v>OK</v>
      </c>
      <c r="AS467" s="1" t="s">
        <v>34</v>
      </c>
      <c r="AT467" s="4" t="str">
        <f t="shared" si="206"/>
        <v>Completed</v>
      </c>
      <c r="AU467" s="3" t="str">
        <f t="shared" si="207"/>
        <v>OK</v>
      </c>
      <c r="AV467" s="3" t="str">
        <f t="shared" si="213"/>
        <v>INVALID</v>
      </c>
      <c r="AW467" t="str">
        <f t="shared" si="214"/>
        <v>MATCH</v>
      </c>
      <c r="AX467" t="str">
        <f t="shared" si="215"/>
        <v>MATCH</v>
      </c>
    </row>
    <row r="468" spans="1:50" ht="15.6">
      <c r="A468" s="1" t="s">
        <v>3338</v>
      </c>
      <c r="B468" s="1">
        <f t="shared" si="189"/>
        <v>1</v>
      </c>
      <c r="C468" s="16">
        <v>45388</v>
      </c>
      <c r="D468" s="16">
        <v>45388</v>
      </c>
      <c r="E468" s="16" t="str">
        <f t="shared" si="208"/>
        <v>Apr</v>
      </c>
      <c r="F468" s="1">
        <f t="shared" si="209"/>
        <v>2024</v>
      </c>
      <c r="G468" t="s">
        <v>2006</v>
      </c>
      <c r="H468" s="17">
        <v>45299</v>
      </c>
      <c r="I468" s="21">
        <f t="shared" si="210"/>
        <v>-89</v>
      </c>
      <c r="J468" s="6" t="str">
        <f t="shared" si="211"/>
        <v>INVALID_SHIPPING</v>
      </c>
      <c r="K468" s="1" t="s">
        <v>3340</v>
      </c>
      <c r="L468" s="1" t="s">
        <v>141</v>
      </c>
      <c r="M468" s="1" t="str">
        <f t="shared" si="190"/>
        <v>Rahul Verma</v>
      </c>
      <c r="N468" s="1" t="s">
        <v>110</v>
      </c>
      <c r="O468" s="1" t="str">
        <f t="shared" si="191"/>
        <v>Home Office</v>
      </c>
      <c r="P468" s="1" t="s">
        <v>41</v>
      </c>
      <c r="Q468" s="1" t="str">
        <f t="shared" si="192"/>
        <v>East</v>
      </c>
      <c r="R468" s="1" t="str">
        <f t="shared" si="193"/>
        <v>OK</v>
      </c>
      <c r="S468" s="1" t="s">
        <v>116</v>
      </c>
      <c r="T468" s="1" t="str">
        <f t="shared" si="194"/>
        <v>West Bengal</v>
      </c>
      <c r="U468" s="1" t="s">
        <v>117</v>
      </c>
      <c r="V468" s="1" t="str">
        <f t="shared" si="195"/>
        <v>Kolkata</v>
      </c>
      <c r="W468" s="1" t="s">
        <v>44</v>
      </c>
      <c r="X468" s="1" t="str">
        <f t="shared" si="196"/>
        <v>Furniture</v>
      </c>
      <c r="Y468" s="1" t="s">
        <v>190</v>
      </c>
      <c r="Z468" s="1" t="str">
        <f t="shared" si="197"/>
        <v>Bookcases</v>
      </c>
      <c r="AA468" s="1" t="s">
        <v>3341</v>
      </c>
      <c r="AB468" s="1" t="s">
        <v>55</v>
      </c>
      <c r="AC468" s="1" t="str">
        <f t="shared" si="198"/>
        <v>First Class</v>
      </c>
      <c r="AD468" s="1" t="str">
        <f t="shared" si="199"/>
        <v>OK</v>
      </c>
      <c r="AE468" s="1">
        <v>6</v>
      </c>
      <c r="AF468" s="1">
        <v>3949.4</v>
      </c>
      <c r="AG468" s="9">
        <v>0</v>
      </c>
      <c r="AH468" s="9">
        <f t="shared" si="200"/>
        <v>0</v>
      </c>
      <c r="AI468" s="1" t="str">
        <f t="shared" si="201"/>
        <v>OK</v>
      </c>
      <c r="AJ468" s="1">
        <v>23696.400000000001</v>
      </c>
      <c r="AK468" s="1">
        <v>18109.77</v>
      </c>
      <c r="AL468" s="1">
        <v>5586.63</v>
      </c>
      <c r="AM468" s="13">
        <f t="shared" si="202"/>
        <v>23696.400000000001</v>
      </c>
      <c r="AN468" s="9">
        <f t="shared" si="203"/>
        <v>5586.630000000001</v>
      </c>
      <c r="AO468" s="9">
        <f t="shared" si="212"/>
        <v>0.23575859624246723</v>
      </c>
      <c r="AP468" s="1" t="s">
        <v>33</v>
      </c>
      <c r="AQ468" s="1" t="str">
        <f t="shared" si="204"/>
        <v>Paid</v>
      </c>
      <c r="AR468" s="1" t="str">
        <f t="shared" si="205"/>
        <v>OK</v>
      </c>
      <c r="AS468" s="1" t="s">
        <v>34</v>
      </c>
      <c r="AT468" s="4" t="str">
        <f t="shared" si="206"/>
        <v>Completed</v>
      </c>
      <c r="AU468" s="3" t="str">
        <f t="shared" si="207"/>
        <v>OK</v>
      </c>
      <c r="AV468" s="3" t="str">
        <f t="shared" si="213"/>
        <v>INVALID</v>
      </c>
      <c r="AW468" t="str">
        <f t="shared" si="214"/>
        <v>MATCH</v>
      </c>
      <c r="AX468" t="str">
        <f t="shared" si="215"/>
        <v>MATCH</v>
      </c>
    </row>
    <row r="469" spans="1:50" ht="15.6">
      <c r="A469" s="1" t="s">
        <v>3342</v>
      </c>
      <c r="B469" s="1">
        <f t="shared" si="189"/>
        <v>1</v>
      </c>
      <c r="C469" s="16">
        <v>45583</v>
      </c>
      <c r="D469" s="16">
        <v>45583</v>
      </c>
      <c r="E469" s="16" t="str">
        <f t="shared" si="208"/>
        <v>Oct</v>
      </c>
      <c r="F469" s="1">
        <f t="shared" si="209"/>
        <v>2024</v>
      </c>
      <c r="G469" t="s">
        <v>1431</v>
      </c>
      <c r="H469" s="17">
        <v>45525</v>
      </c>
      <c r="I469" s="21">
        <f t="shared" si="210"/>
        <v>-58</v>
      </c>
      <c r="J469" s="6" t="str">
        <f t="shared" si="211"/>
        <v>INVALID_SHIPPING</v>
      </c>
      <c r="K469" s="1" t="s">
        <v>3344</v>
      </c>
      <c r="L469" s="1" t="s">
        <v>153</v>
      </c>
      <c r="M469" s="1" t="str">
        <f t="shared" si="190"/>
        <v>Aarav Sharma</v>
      </c>
      <c r="N469" s="1" t="s">
        <v>110</v>
      </c>
      <c r="O469" s="1" t="str">
        <f t="shared" si="191"/>
        <v>Home Office</v>
      </c>
      <c r="P469" s="1" t="s">
        <v>60</v>
      </c>
      <c r="Q469" s="1" t="str">
        <f t="shared" si="192"/>
        <v>South</v>
      </c>
      <c r="R469" s="1" t="str">
        <f t="shared" si="193"/>
        <v>OK</v>
      </c>
      <c r="S469" s="1" t="s">
        <v>61</v>
      </c>
      <c r="T469" s="1" t="str">
        <f t="shared" si="194"/>
        <v>Telangana</v>
      </c>
      <c r="U469" s="1" t="s">
        <v>62</v>
      </c>
      <c r="V469" s="1" t="str">
        <f t="shared" si="195"/>
        <v>Hyderabad</v>
      </c>
      <c r="W469" s="1" t="s">
        <v>29</v>
      </c>
      <c r="X469" s="1" t="str">
        <f t="shared" si="196"/>
        <v>Office Supplies</v>
      </c>
      <c r="Y469" s="1" t="s">
        <v>53</v>
      </c>
      <c r="Z469" s="1" t="str">
        <f t="shared" si="197"/>
        <v>Art</v>
      </c>
      <c r="AA469" s="1" t="s">
        <v>3345</v>
      </c>
      <c r="AB469" s="1" t="s">
        <v>55</v>
      </c>
      <c r="AC469" s="1" t="str">
        <f t="shared" si="198"/>
        <v>First Class</v>
      </c>
      <c r="AD469" s="1" t="str">
        <f t="shared" si="199"/>
        <v>OK</v>
      </c>
      <c r="AE469" s="1">
        <v>6</v>
      </c>
      <c r="AF469" s="1">
        <v>674.61</v>
      </c>
      <c r="AG469" s="9">
        <v>0</v>
      </c>
      <c r="AH469" s="9">
        <f t="shared" si="200"/>
        <v>0</v>
      </c>
      <c r="AI469" s="1" t="str">
        <f t="shared" si="201"/>
        <v>OK</v>
      </c>
      <c r="AJ469" s="1">
        <v>4047.66</v>
      </c>
      <c r="AK469" s="1">
        <v>3078.93</v>
      </c>
      <c r="AL469" s="1">
        <v>1279.79</v>
      </c>
      <c r="AM469" s="13">
        <f t="shared" si="202"/>
        <v>4047.66</v>
      </c>
      <c r="AN469" s="9">
        <f t="shared" si="203"/>
        <v>968.73</v>
      </c>
      <c r="AO469" s="9">
        <f t="shared" si="212"/>
        <v>0.23933087265234729</v>
      </c>
      <c r="AP469" s="1" t="s">
        <v>33</v>
      </c>
      <c r="AQ469" s="1" t="str">
        <f t="shared" si="204"/>
        <v>Paid</v>
      </c>
      <c r="AR469" s="1" t="str">
        <f t="shared" si="205"/>
        <v>OK</v>
      </c>
      <c r="AS469" s="1" t="s">
        <v>34</v>
      </c>
      <c r="AT469" s="4" t="str">
        <f t="shared" si="206"/>
        <v>Completed</v>
      </c>
      <c r="AU469" s="3" t="str">
        <f t="shared" si="207"/>
        <v>OK</v>
      </c>
      <c r="AV469" s="3" t="str">
        <f t="shared" si="213"/>
        <v>INVALID</v>
      </c>
      <c r="AW469" t="str">
        <f t="shared" si="214"/>
        <v>MATCH</v>
      </c>
      <c r="AX469" t="str">
        <f t="shared" si="215"/>
        <v>MISMATCH</v>
      </c>
    </row>
    <row r="470" spans="1:50" ht="15.6" hidden="1">
      <c r="A470" s="1" t="s">
        <v>3349</v>
      </c>
      <c r="B470" s="1">
        <f t="shared" si="189"/>
        <v>1</v>
      </c>
      <c r="C470" s="16">
        <v>45641</v>
      </c>
      <c r="D470" s="16">
        <v>45641</v>
      </c>
      <c r="E470" s="16" t="str">
        <f t="shared" si="208"/>
        <v>Dec</v>
      </c>
      <c r="F470" s="1">
        <f t="shared" si="209"/>
        <v>2024</v>
      </c>
      <c r="G470" t="s">
        <v>2014</v>
      </c>
      <c r="H470" s="17">
        <v>45664</v>
      </c>
      <c r="I470" s="21">
        <f t="shared" si="210"/>
        <v>23</v>
      </c>
      <c r="J470" s="6" t="str">
        <f t="shared" si="211"/>
        <v>OK</v>
      </c>
      <c r="K470" s="1" t="s">
        <v>3351</v>
      </c>
      <c r="L470" s="1" t="s">
        <v>52</v>
      </c>
      <c r="M470" s="1" t="str">
        <f t="shared" si="190"/>
        <v>Isha Nair</v>
      </c>
      <c r="N470" s="1" t="s">
        <v>40</v>
      </c>
      <c r="O470" s="1" t="str">
        <f t="shared" si="191"/>
        <v>Small Business</v>
      </c>
      <c r="P470" s="1" t="s">
        <v>26</v>
      </c>
      <c r="Q470" s="1" t="str">
        <f t="shared" si="192"/>
        <v>North</v>
      </c>
      <c r="R470" s="1" t="str">
        <f t="shared" si="193"/>
        <v>OK</v>
      </c>
      <c r="S470" s="1" t="s">
        <v>27</v>
      </c>
      <c r="T470" s="1" t="str">
        <f t="shared" si="194"/>
        <v>Rajasthan</v>
      </c>
      <c r="U470" s="1" t="s">
        <v>28</v>
      </c>
      <c r="V470" s="1" t="str">
        <f t="shared" si="195"/>
        <v>Jaipur</v>
      </c>
      <c r="W470" s="1" t="s">
        <v>29</v>
      </c>
      <c r="X470" s="1" t="str">
        <f t="shared" si="196"/>
        <v>Office Supplies</v>
      </c>
      <c r="Y470" s="1" t="s">
        <v>105</v>
      </c>
      <c r="Z470" s="1" t="str">
        <f t="shared" si="197"/>
        <v>Labels</v>
      </c>
      <c r="AA470" s="1" t="s">
        <v>3352</v>
      </c>
      <c r="AB470" s="1" t="s">
        <v>32</v>
      </c>
      <c r="AC470" s="1" t="str">
        <f t="shared" si="198"/>
        <v>Second Class</v>
      </c>
      <c r="AD470" s="1" t="str">
        <f t="shared" si="199"/>
        <v>OK</v>
      </c>
      <c r="AE470" s="1">
        <v>2</v>
      </c>
      <c r="AF470" s="1">
        <v>537.11</v>
      </c>
      <c r="AG470" s="9">
        <v>0</v>
      </c>
      <c r="AH470" s="9">
        <f t="shared" si="200"/>
        <v>0</v>
      </c>
      <c r="AI470" s="1" t="str">
        <f t="shared" si="201"/>
        <v>OK</v>
      </c>
      <c r="AJ470" s="1">
        <v>1074.22</v>
      </c>
      <c r="AK470" s="1">
        <v>850.86</v>
      </c>
      <c r="AL470" s="1">
        <v>223.36</v>
      </c>
      <c r="AM470" s="13">
        <f t="shared" si="202"/>
        <v>1074.22</v>
      </c>
      <c r="AN470" s="9">
        <f t="shared" si="203"/>
        <v>223.36</v>
      </c>
      <c r="AO470" s="9">
        <f t="shared" si="212"/>
        <v>0.20792761259332354</v>
      </c>
      <c r="AP470" s="1" t="s">
        <v>33</v>
      </c>
      <c r="AQ470" s="1" t="str">
        <f t="shared" si="204"/>
        <v>Paid</v>
      </c>
      <c r="AR470" s="1" t="str">
        <f t="shared" si="205"/>
        <v>OK</v>
      </c>
      <c r="AS470" s="1" t="s">
        <v>34</v>
      </c>
      <c r="AT470" s="4" t="str">
        <f t="shared" si="206"/>
        <v>Completed</v>
      </c>
      <c r="AU470" s="3" t="str">
        <f t="shared" si="207"/>
        <v>OK</v>
      </c>
      <c r="AV470" s="3" t="str">
        <f t="shared" si="213"/>
        <v>CLEAN</v>
      </c>
      <c r="AW470" t="str">
        <f t="shared" si="214"/>
        <v>MATCH</v>
      </c>
      <c r="AX470" t="str">
        <f t="shared" si="215"/>
        <v>MATCH</v>
      </c>
    </row>
    <row r="471" spans="1:50" ht="15.6">
      <c r="A471" s="1" t="s">
        <v>3361</v>
      </c>
      <c r="B471" s="1">
        <f t="shared" si="189"/>
        <v>1</v>
      </c>
      <c r="C471" s="16">
        <v>45555</v>
      </c>
      <c r="D471" s="16">
        <v>45555</v>
      </c>
      <c r="E471" s="16" t="str">
        <f t="shared" si="208"/>
        <v>Sep</v>
      </c>
      <c r="F471" s="1">
        <f t="shared" si="209"/>
        <v>2024</v>
      </c>
      <c r="G471" t="s">
        <v>1805</v>
      </c>
      <c r="H471" s="17">
        <v>45316</v>
      </c>
      <c r="I471" s="21">
        <f t="shared" si="210"/>
        <v>-239</v>
      </c>
      <c r="J471" s="6" t="str">
        <f t="shared" si="211"/>
        <v>INVALID_SHIPPING</v>
      </c>
      <c r="K471" s="1" t="s">
        <v>3363</v>
      </c>
      <c r="L471" s="1" t="s">
        <v>169</v>
      </c>
      <c r="M471" s="1" t="str">
        <f t="shared" si="190"/>
        <v>Rohan Mehta</v>
      </c>
      <c r="N471" s="1" t="s">
        <v>110</v>
      </c>
      <c r="O471" s="1" t="str">
        <f t="shared" si="191"/>
        <v>Home Office</v>
      </c>
      <c r="P471" s="1" t="s">
        <v>41</v>
      </c>
      <c r="Q471" s="1" t="str">
        <f t="shared" si="192"/>
        <v>East</v>
      </c>
      <c r="R471" s="1" t="str">
        <f t="shared" si="193"/>
        <v>OK</v>
      </c>
      <c r="S471" s="1" t="s">
        <v>42</v>
      </c>
      <c r="T471" s="1" t="str">
        <f t="shared" si="194"/>
        <v>Odisha</v>
      </c>
      <c r="U471" s="1" t="s">
        <v>43</v>
      </c>
      <c r="V471" s="1" t="str">
        <f t="shared" si="195"/>
        <v>Bhubaneswar</v>
      </c>
      <c r="W471" s="1" t="s">
        <v>83</v>
      </c>
      <c r="X471" s="1" t="str">
        <f t="shared" si="196"/>
        <v>Technology</v>
      </c>
      <c r="Y471" s="1" t="s">
        <v>207</v>
      </c>
      <c r="Z471" s="1" t="str">
        <f t="shared" si="197"/>
        <v>Phones</v>
      </c>
      <c r="AA471" s="1" t="s">
        <v>3364</v>
      </c>
      <c r="AB471" s="1" t="s">
        <v>65</v>
      </c>
      <c r="AC471" s="1" t="str">
        <f t="shared" si="198"/>
        <v>Standard Class</v>
      </c>
      <c r="AD471" s="1" t="str">
        <f t="shared" si="199"/>
        <v>OK</v>
      </c>
      <c r="AE471" s="1">
        <v>8</v>
      </c>
      <c r="AF471" s="1">
        <v>531.42999999999995</v>
      </c>
      <c r="AG471" s="9">
        <v>0.1</v>
      </c>
      <c r="AH471" s="9">
        <f t="shared" si="200"/>
        <v>0.1</v>
      </c>
      <c r="AI471" s="1" t="str">
        <f t="shared" si="201"/>
        <v>OK</v>
      </c>
      <c r="AJ471" s="1">
        <v>3826.3</v>
      </c>
      <c r="AK471" s="1">
        <v>2194.12</v>
      </c>
      <c r="AL471" s="1">
        <v>1632.18</v>
      </c>
      <c r="AM471" s="13">
        <f t="shared" si="202"/>
        <v>3826.2959999999998</v>
      </c>
      <c r="AN471" s="9">
        <f t="shared" si="203"/>
        <v>1632.1759999999999</v>
      </c>
      <c r="AO471" s="9">
        <f t="shared" si="212"/>
        <v>0.42656814841298218</v>
      </c>
      <c r="AP471" s="1" t="s">
        <v>33</v>
      </c>
      <c r="AQ471" s="1" t="str">
        <f t="shared" si="204"/>
        <v>Paid</v>
      </c>
      <c r="AR471" s="1" t="str">
        <f t="shared" si="205"/>
        <v>OK</v>
      </c>
      <c r="AS471" s="1" t="s">
        <v>34</v>
      </c>
      <c r="AT471" s="4" t="str">
        <f t="shared" si="206"/>
        <v>Completed</v>
      </c>
      <c r="AU471" s="3" t="str">
        <f t="shared" si="207"/>
        <v>OK</v>
      </c>
      <c r="AV471" s="3" t="str">
        <f t="shared" si="213"/>
        <v>INVALID</v>
      </c>
      <c r="AW471" t="str">
        <f t="shared" si="214"/>
        <v>MATCH</v>
      </c>
      <c r="AX471" t="str">
        <f t="shared" si="215"/>
        <v>MATCH</v>
      </c>
    </row>
    <row r="472" spans="1:50" ht="15.6" hidden="1">
      <c r="A472" s="1" t="s">
        <v>3372</v>
      </c>
      <c r="B472" s="1">
        <f t="shared" si="189"/>
        <v>1</v>
      </c>
      <c r="C472" s="16">
        <v>45382</v>
      </c>
      <c r="D472" s="16">
        <v>45382</v>
      </c>
      <c r="E472" s="16" t="str">
        <f t="shared" si="208"/>
        <v>Mar</v>
      </c>
      <c r="F472" s="1">
        <f t="shared" si="209"/>
        <v>2024</v>
      </c>
      <c r="G472" t="s">
        <v>1403</v>
      </c>
      <c r="H472" s="17">
        <v>45504</v>
      </c>
      <c r="I472" s="21">
        <f t="shared" si="210"/>
        <v>122</v>
      </c>
      <c r="J472" s="6" t="str">
        <f t="shared" si="211"/>
        <v>OK</v>
      </c>
      <c r="K472" s="1" t="s">
        <v>3374</v>
      </c>
      <c r="L472" s="1" t="s">
        <v>3375</v>
      </c>
      <c r="M472" s="1" t="str">
        <f t="shared" si="190"/>
        <v>Kabir Singh</v>
      </c>
      <c r="N472" s="1" t="s">
        <v>25</v>
      </c>
      <c r="O472" s="1" t="str">
        <f t="shared" si="191"/>
        <v>Consumer</v>
      </c>
      <c r="P472" s="1" t="s">
        <v>26</v>
      </c>
      <c r="Q472" s="1" t="str">
        <f t="shared" si="192"/>
        <v>North</v>
      </c>
      <c r="R472" s="1" t="str">
        <f t="shared" si="193"/>
        <v>OK</v>
      </c>
      <c r="S472" s="1" t="s">
        <v>294</v>
      </c>
      <c r="T472" s="1" t="str">
        <f t="shared" si="194"/>
        <v>Haryana</v>
      </c>
      <c r="U472" s="1" t="s">
        <v>295</v>
      </c>
      <c r="V472" s="1" t="str">
        <f t="shared" si="195"/>
        <v>Gurugram</v>
      </c>
      <c r="W472" s="1" t="s">
        <v>83</v>
      </c>
      <c r="X472" s="1" t="str">
        <f t="shared" si="196"/>
        <v>Technology</v>
      </c>
      <c r="Y472" s="1" t="s">
        <v>347</v>
      </c>
      <c r="Z472" s="1" t="str">
        <f t="shared" si="197"/>
        <v>Machines</v>
      </c>
      <c r="AA472" s="1" t="s">
        <v>3376</v>
      </c>
      <c r="AB472" s="1" t="s">
        <v>55</v>
      </c>
      <c r="AC472" s="1" t="str">
        <f t="shared" si="198"/>
        <v>First Class</v>
      </c>
      <c r="AD472" s="1" t="str">
        <f t="shared" si="199"/>
        <v>OK</v>
      </c>
      <c r="AE472" s="1">
        <v>4</v>
      </c>
      <c r="AF472" s="1">
        <v>2192.08</v>
      </c>
      <c r="AG472" s="9">
        <v>0.15</v>
      </c>
      <c r="AH472" s="9">
        <f t="shared" si="200"/>
        <v>0.15</v>
      </c>
      <c r="AI472" s="1" t="str">
        <f t="shared" si="201"/>
        <v>OK</v>
      </c>
      <c r="AJ472" s="1">
        <v>7453.07</v>
      </c>
      <c r="AK472" s="1">
        <v>5133.78</v>
      </c>
      <c r="AL472" s="1">
        <v>2319.29</v>
      </c>
      <c r="AM472" s="13">
        <f t="shared" si="202"/>
        <v>7453.0719999999992</v>
      </c>
      <c r="AN472" s="9">
        <f t="shared" si="203"/>
        <v>2319.2919999999995</v>
      </c>
      <c r="AO472" s="9">
        <f t="shared" si="212"/>
        <v>0.31118604516365866</v>
      </c>
      <c r="AP472" s="1" t="s">
        <v>33</v>
      </c>
      <c r="AQ472" s="1" t="str">
        <f t="shared" si="204"/>
        <v>Paid</v>
      </c>
      <c r="AR472" s="1" t="str">
        <f t="shared" si="205"/>
        <v>OK</v>
      </c>
      <c r="AS472" s="1" t="s">
        <v>120</v>
      </c>
      <c r="AT472" s="4" t="str">
        <f t="shared" si="206"/>
        <v>Returned</v>
      </c>
      <c r="AU472" s="3" t="str">
        <f t="shared" si="207"/>
        <v>RETURNED_ORDER</v>
      </c>
      <c r="AV472" s="3" t="str">
        <f t="shared" si="213"/>
        <v>CLEAN</v>
      </c>
      <c r="AW472" t="str">
        <f t="shared" si="214"/>
        <v>MATCH</v>
      </c>
      <c r="AX472" t="str">
        <f t="shared" si="215"/>
        <v>MATCH</v>
      </c>
    </row>
    <row r="473" spans="1:50" ht="15.6">
      <c r="A473" s="1" t="s">
        <v>3385</v>
      </c>
      <c r="B473" s="1">
        <f t="shared" si="189"/>
        <v>1</v>
      </c>
      <c r="C473" s="16">
        <v>45345</v>
      </c>
      <c r="D473" s="16">
        <v>45345</v>
      </c>
      <c r="E473" s="16" t="str">
        <f t="shared" si="208"/>
        <v>Feb</v>
      </c>
      <c r="F473" s="1">
        <f t="shared" si="209"/>
        <v>2024</v>
      </c>
      <c r="G473" t="s">
        <v>2024</v>
      </c>
      <c r="H473" s="17">
        <v>45337</v>
      </c>
      <c r="I473" s="21">
        <f t="shared" si="210"/>
        <v>-8</v>
      </c>
      <c r="J473" s="6" t="str">
        <f t="shared" si="211"/>
        <v>INVALID_SHIPPING</v>
      </c>
      <c r="K473" s="1" t="s">
        <v>791</v>
      </c>
      <c r="L473" s="1" t="s">
        <v>24</v>
      </c>
      <c r="M473" s="1" t="str">
        <f t="shared" si="190"/>
        <v>Karan Malhotra</v>
      </c>
      <c r="N473" s="1" t="s">
        <v>25</v>
      </c>
      <c r="O473" s="1" t="str">
        <f t="shared" si="191"/>
        <v>Consumer</v>
      </c>
      <c r="P473" s="1" t="s">
        <v>41</v>
      </c>
      <c r="Q473" s="1" t="str">
        <f t="shared" si="192"/>
        <v>East</v>
      </c>
      <c r="R473" s="1" t="str">
        <f t="shared" si="193"/>
        <v>OK</v>
      </c>
      <c r="S473" s="1" t="s">
        <v>42</v>
      </c>
      <c r="T473" s="1" t="str">
        <f t="shared" si="194"/>
        <v>Odisha</v>
      </c>
      <c r="U473" s="1" t="s">
        <v>43</v>
      </c>
      <c r="V473" s="1" t="str">
        <f t="shared" si="195"/>
        <v>Bhubaneswar</v>
      </c>
      <c r="W473" s="1" t="s">
        <v>44</v>
      </c>
      <c r="X473" s="1" t="str">
        <f t="shared" si="196"/>
        <v>Furniture</v>
      </c>
      <c r="Y473" s="1" t="s">
        <v>45</v>
      </c>
      <c r="Z473" s="1" t="str">
        <f t="shared" si="197"/>
        <v>Tables</v>
      </c>
      <c r="AA473" s="1" t="s">
        <v>3387</v>
      </c>
      <c r="AB473" s="1" t="s">
        <v>55</v>
      </c>
      <c r="AC473" s="1" t="str">
        <f t="shared" si="198"/>
        <v>First Class</v>
      </c>
      <c r="AD473" s="1" t="str">
        <f t="shared" si="199"/>
        <v>OK</v>
      </c>
      <c r="AE473" s="1">
        <v>9</v>
      </c>
      <c r="AF473" s="1">
        <v>3616.23</v>
      </c>
      <c r="AG473" s="9">
        <v>0.25</v>
      </c>
      <c r="AH473" s="9">
        <f t="shared" si="200"/>
        <v>0.25</v>
      </c>
      <c r="AI473" s="1" t="str">
        <f t="shared" si="201"/>
        <v>OK</v>
      </c>
      <c r="AJ473" s="1">
        <v>24409.55</v>
      </c>
      <c r="AK473" s="1">
        <v>17157.580000000002</v>
      </c>
      <c r="AL473" s="1">
        <v>7251.97</v>
      </c>
      <c r="AM473" s="13">
        <f t="shared" si="202"/>
        <v>24409.552499999998</v>
      </c>
      <c r="AN473" s="9">
        <f t="shared" si="203"/>
        <v>7251.9724999999962</v>
      </c>
      <c r="AO473" s="9">
        <f t="shared" si="212"/>
        <v>0.29709567596538267</v>
      </c>
      <c r="AP473" s="1" t="s">
        <v>131</v>
      </c>
      <c r="AQ473" s="1" t="str">
        <f t="shared" si="204"/>
        <v>Pending</v>
      </c>
      <c r="AR473" s="1" t="str">
        <f t="shared" si="205"/>
        <v>OK</v>
      </c>
      <c r="AS473" s="1" t="s">
        <v>120</v>
      </c>
      <c r="AT473" s="4" t="str">
        <f t="shared" si="206"/>
        <v>Returned</v>
      </c>
      <c r="AU473" s="3" t="str">
        <f t="shared" si="207"/>
        <v>RETURNED_ORDER</v>
      </c>
      <c r="AV473" s="3" t="str">
        <f t="shared" si="213"/>
        <v>INVALID</v>
      </c>
      <c r="AW473" t="str">
        <f t="shared" si="214"/>
        <v>MATCH</v>
      </c>
      <c r="AX473" t="str">
        <f t="shared" si="215"/>
        <v>MATCH</v>
      </c>
    </row>
    <row r="474" spans="1:50" ht="15.6">
      <c r="A474" s="1" t="s">
        <v>3388</v>
      </c>
      <c r="B474" s="1">
        <f t="shared" si="189"/>
        <v>1</v>
      </c>
      <c r="C474" s="16">
        <v>45396</v>
      </c>
      <c r="D474" s="16">
        <v>45396</v>
      </c>
      <c r="E474" s="16" t="str">
        <f t="shared" si="208"/>
        <v>Apr</v>
      </c>
      <c r="F474" s="1">
        <f t="shared" si="209"/>
        <v>2024</v>
      </c>
      <c r="G474" t="s">
        <v>1326</v>
      </c>
      <c r="H474" s="17">
        <v>45358</v>
      </c>
      <c r="I474" s="21">
        <f t="shared" si="210"/>
        <v>-38</v>
      </c>
      <c r="J474" s="6" t="str">
        <f t="shared" si="211"/>
        <v>INVALID_SHIPPING</v>
      </c>
      <c r="K474" s="1" t="s">
        <v>3390</v>
      </c>
      <c r="L474" s="1" t="s">
        <v>136</v>
      </c>
      <c r="M474" s="1" t="str">
        <f t="shared" si="190"/>
        <v>Priya Menon</v>
      </c>
      <c r="N474" s="1" t="s">
        <v>40</v>
      </c>
      <c r="O474" s="1" t="str">
        <f t="shared" si="191"/>
        <v>Small Business</v>
      </c>
      <c r="P474" s="1" t="s">
        <v>71</v>
      </c>
      <c r="Q474" s="1" t="str">
        <f t="shared" si="192"/>
        <v>West</v>
      </c>
      <c r="R474" s="1" t="str">
        <f t="shared" si="193"/>
        <v>OK</v>
      </c>
      <c r="S474" s="1" t="s">
        <v>218</v>
      </c>
      <c r="T474" s="1" t="str">
        <f t="shared" si="194"/>
        <v>Gujarat</v>
      </c>
      <c r="U474" s="1" t="s">
        <v>219</v>
      </c>
      <c r="V474" s="1" t="str">
        <f t="shared" si="195"/>
        <v>Ahmedabad</v>
      </c>
      <c r="W474" s="1" t="s">
        <v>44</v>
      </c>
      <c r="X474" s="1" t="str">
        <f t="shared" si="196"/>
        <v>Furniture</v>
      </c>
      <c r="Y474" s="1" t="s">
        <v>190</v>
      </c>
      <c r="Z474" s="1" t="str">
        <f t="shared" si="197"/>
        <v>Bookcases</v>
      </c>
      <c r="AA474" s="1" t="s">
        <v>3391</v>
      </c>
      <c r="AB474" s="1" t="s">
        <v>65</v>
      </c>
      <c r="AC474" s="1" t="str">
        <f t="shared" si="198"/>
        <v>Standard Class</v>
      </c>
      <c r="AD474" s="1" t="str">
        <f t="shared" si="199"/>
        <v>OK</v>
      </c>
      <c r="AE474" s="1">
        <v>2</v>
      </c>
      <c r="AF474" s="1">
        <v>3977.52</v>
      </c>
      <c r="AG474" s="9">
        <v>0</v>
      </c>
      <c r="AH474" s="9">
        <f t="shared" si="200"/>
        <v>0</v>
      </c>
      <c r="AI474" s="1" t="str">
        <f t="shared" si="201"/>
        <v>OK</v>
      </c>
      <c r="AJ474" s="1">
        <v>7955.04</v>
      </c>
      <c r="AK474" s="1">
        <v>5580.68</v>
      </c>
      <c r="AL474" s="1">
        <v>2374.36</v>
      </c>
      <c r="AM474" s="13">
        <f t="shared" si="202"/>
        <v>7955.04</v>
      </c>
      <c r="AN474" s="9">
        <f t="shared" si="203"/>
        <v>2374.3599999999997</v>
      </c>
      <c r="AO474" s="9">
        <f t="shared" si="212"/>
        <v>0.29847241497214339</v>
      </c>
      <c r="AP474" s="1" t="s">
        <v>131</v>
      </c>
      <c r="AQ474" s="1" t="str">
        <f t="shared" si="204"/>
        <v>Pending</v>
      </c>
      <c r="AR474" s="1" t="str">
        <f t="shared" si="205"/>
        <v>OK</v>
      </c>
      <c r="AS474" s="1" t="s">
        <v>120</v>
      </c>
      <c r="AT474" s="4" t="str">
        <f t="shared" si="206"/>
        <v>Returned</v>
      </c>
      <c r="AU474" s="3" t="str">
        <f t="shared" si="207"/>
        <v>RETURNED_ORDER</v>
      </c>
      <c r="AV474" s="3" t="str">
        <f t="shared" si="213"/>
        <v>INVALID</v>
      </c>
      <c r="AW474" t="str">
        <f t="shared" si="214"/>
        <v>MATCH</v>
      </c>
      <c r="AX474" t="str">
        <f t="shared" si="215"/>
        <v>MATCH</v>
      </c>
    </row>
    <row r="475" spans="1:50" ht="15.6" hidden="1">
      <c r="A475" s="1" t="s">
        <v>3400</v>
      </c>
      <c r="B475" s="1">
        <f t="shared" si="189"/>
        <v>2</v>
      </c>
      <c r="C475" s="16">
        <v>45446</v>
      </c>
      <c r="D475" s="16">
        <v>45446</v>
      </c>
      <c r="E475" s="16" t="str">
        <f t="shared" si="208"/>
        <v>Jun</v>
      </c>
      <c r="F475" s="1">
        <f t="shared" si="209"/>
        <v>2024</v>
      </c>
      <c r="G475" t="s">
        <v>402</v>
      </c>
      <c r="H475" s="17">
        <v>45609</v>
      </c>
      <c r="I475" s="21">
        <f t="shared" si="210"/>
        <v>163</v>
      </c>
      <c r="J475" s="6" t="str">
        <f t="shared" si="211"/>
        <v>OK</v>
      </c>
      <c r="K475" s="1" t="s">
        <v>3401</v>
      </c>
      <c r="L475" s="1" t="s">
        <v>52</v>
      </c>
      <c r="M475" s="1" t="str">
        <f t="shared" si="190"/>
        <v>Isha Nair</v>
      </c>
      <c r="N475" s="1" t="s">
        <v>110</v>
      </c>
      <c r="O475" s="1" t="str">
        <f t="shared" si="191"/>
        <v>Home Office</v>
      </c>
      <c r="P475" s="1" t="s">
        <v>71</v>
      </c>
      <c r="Q475" s="1" t="str">
        <f t="shared" si="192"/>
        <v>West</v>
      </c>
      <c r="R475" s="1" t="str">
        <f t="shared" si="193"/>
        <v>OK</v>
      </c>
      <c r="S475" s="1" t="s">
        <v>218</v>
      </c>
      <c r="T475" s="1" t="str">
        <f t="shared" si="194"/>
        <v>Gujarat</v>
      </c>
      <c r="U475" s="1" t="s">
        <v>219</v>
      </c>
      <c r="V475" s="1" t="str">
        <f t="shared" si="195"/>
        <v>Ahmedabad</v>
      </c>
      <c r="W475" s="1" t="s">
        <v>44</v>
      </c>
      <c r="X475" s="1" t="str">
        <f t="shared" si="196"/>
        <v>Furniture</v>
      </c>
      <c r="Y475" s="1" t="s">
        <v>190</v>
      </c>
      <c r="Z475" s="1" t="str">
        <f t="shared" si="197"/>
        <v>Bookcases</v>
      </c>
      <c r="AA475" s="1" t="s">
        <v>3402</v>
      </c>
      <c r="AB475" s="1" t="s">
        <v>65</v>
      </c>
      <c r="AC475" s="1" t="str">
        <f t="shared" si="198"/>
        <v>Standard Class</v>
      </c>
      <c r="AD475" s="1" t="str">
        <f t="shared" si="199"/>
        <v>OK</v>
      </c>
      <c r="AE475" s="1">
        <v>3</v>
      </c>
      <c r="AF475" s="1">
        <v>679.63</v>
      </c>
      <c r="AG475" s="9">
        <v>0.2</v>
      </c>
      <c r="AH475" s="9">
        <f t="shared" si="200"/>
        <v>0.2</v>
      </c>
      <c r="AI475" s="1" t="str">
        <f t="shared" si="201"/>
        <v>OK</v>
      </c>
      <c r="AJ475" s="1">
        <v>1631.11</v>
      </c>
      <c r="AK475" s="1">
        <v>898.73</v>
      </c>
      <c r="AL475" s="1">
        <v>396.58</v>
      </c>
      <c r="AM475" s="13">
        <f t="shared" si="202"/>
        <v>1631.1120000000001</v>
      </c>
      <c r="AN475" s="9">
        <f t="shared" si="203"/>
        <v>732.38200000000006</v>
      </c>
      <c r="AO475" s="9">
        <f t="shared" si="212"/>
        <v>0.44900779345624336</v>
      </c>
      <c r="AP475" s="1" t="s">
        <v>33</v>
      </c>
      <c r="AQ475" s="1" t="str">
        <f t="shared" si="204"/>
        <v>Paid</v>
      </c>
      <c r="AR475" s="1" t="str">
        <f t="shared" si="205"/>
        <v>OK</v>
      </c>
      <c r="AS475" s="1" t="s">
        <v>34</v>
      </c>
      <c r="AT475" s="4" t="str">
        <f t="shared" si="206"/>
        <v>Completed</v>
      </c>
      <c r="AU475" s="3" t="str">
        <f t="shared" si="207"/>
        <v>OK</v>
      </c>
      <c r="AV475" s="3" t="str">
        <f t="shared" si="213"/>
        <v>CLEAN</v>
      </c>
      <c r="AW475" t="str">
        <f t="shared" si="214"/>
        <v>MATCH</v>
      </c>
      <c r="AX475" t="str">
        <f t="shared" si="215"/>
        <v>MISMATCH</v>
      </c>
    </row>
    <row r="476" spans="1:50" ht="15.6" hidden="1">
      <c r="A476" s="1" t="s">
        <v>3400</v>
      </c>
      <c r="B476" s="1">
        <f t="shared" si="189"/>
        <v>2</v>
      </c>
      <c r="C476" s="16">
        <v>45446</v>
      </c>
      <c r="D476" s="16">
        <v>45446</v>
      </c>
      <c r="E476" s="16" t="str">
        <f t="shared" si="208"/>
        <v>Jun</v>
      </c>
      <c r="F476" s="1">
        <f t="shared" si="209"/>
        <v>2024</v>
      </c>
      <c r="G476" t="s">
        <v>2034</v>
      </c>
      <c r="H476" s="17">
        <v>45453</v>
      </c>
      <c r="I476" s="21">
        <f t="shared" si="210"/>
        <v>7</v>
      </c>
      <c r="J476" s="6" t="str">
        <f t="shared" si="211"/>
        <v>OK</v>
      </c>
      <c r="K476" s="1" t="s">
        <v>3401</v>
      </c>
      <c r="L476" s="1" t="s">
        <v>52</v>
      </c>
      <c r="M476" s="1" t="str">
        <f t="shared" si="190"/>
        <v>Isha Nair</v>
      </c>
      <c r="N476" s="1" t="s">
        <v>110</v>
      </c>
      <c r="O476" s="1" t="str">
        <f t="shared" si="191"/>
        <v>Home Office</v>
      </c>
      <c r="P476" s="1" t="s">
        <v>71</v>
      </c>
      <c r="Q476" s="1" t="str">
        <f t="shared" si="192"/>
        <v>West</v>
      </c>
      <c r="R476" s="1" t="str">
        <f t="shared" si="193"/>
        <v>OK</v>
      </c>
      <c r="S476" s="1" t="s">
        <v>218</v>
      </c>
      <c r="T476" s="1" t="str">
        <f t="shared" si="194"/>
        <v>Gujarat</v>
      </c>
      <c r="U476" s="1" t="s">
        <v>219</v>
      </c>
      <c r="V476" s="1" t="str">
        <f t="shared" si="195"/>
        <v>Ahmedabad</v>
      </c>
      <c r="W476" s="1" t="s">
        <v>44</v>
      </c>
      <c r="X476" s="1" t="str">
        <f t="shared" si="196"/>
        <v>Furniture</v>
      </c>
      <c r="Y476" s="1" t="s">
        <v>190</v>
      </c>
      <c r="Z476" s="1" t="str">
        <f t="shared" si="197"/>
        <v>Bookcases</v>
      </c>
      <c r="AA476" s="1" t="s">
        <v>3402</v>
      </c>
      <c r="AB476" s="1" t="s">
        <v>65</v>
      </c>
      <c r="AC476" s="1" t="str">
        <f t="shared" si="198"/>
        <v>Standard Class</v>
      </c>
      <c r="AD476" s="1" t="str">
        <f t="shared" si="199"/>
        <v>OK</v>
      </c>
      <c r="AE476" s="1">
        <v>3</v>
      </c>
      <c r="AF476" s="1">
        <v>679.63</v>
      </c>
      <c r="AG476" s="9">
        <v>0.2</v>
      </c>
      <c r="AH476" s="9">
        <f t="shared" si="200"/>
        <v>0.2</v>
      </c>
      <c r="AI476" s="1" t="str">
        <f t="shared" si="201"/>
        <v>OK</v>
      </c>
      <c r="AJ476" s="1">
        <v>1631.11</v>
      </c>
      <c r="AK476" s="1">
        <v>898.73</v>
      </c>
      <c r="AL476" s="1">
        <v>396.58</v>
      </c>
      <c r="AM476" s="13">
        <f t="shared" si="202"/>
        <v>1631.1120000000001</v>
      </c>
      <c r="AN476" s="9">
        <f t="shared" si="203"/>
        <v>732.38200000000006</v>
      </c>
      <c r="AO476" s="9">
        <f t="shared" si="212"/>
        <v>0.44900779345624336</v>
      </c>
      <c r="AP476" s="1" t="s">
        <v>33</v>
      </c>
      <c r="AQ476" s="1" t="str">
        <f t="shared" si="204"/>
        <v>Paid</v>
      </c>
      <c r="AR476" s="1" t="str">
        <f t="shared" si="205"/>
        <v>OK</v>
      </c>
      <c r="AS476" s="1" t="s">
        <v>34</v>
      </c>
      <c r="AT476" s="4" t="str">
        <f t="shared" si="206"/>
        <v>Completed</v>
      </c>
      <c r="AU476" s="3" t="str">
        <f t="shared" si="207"/>
        <v>OK</v>
      </c>
      <c r="AV476" s="3" t="str">
        <f t="shared" si="213"/>
        <v>CLEAN</v>
      </c>
      <c r="AW476" t="str">
        <f t="shared" si="214"/>
        <v>MATCH</v>
      </c>
      <c r="AX476" t="str">
        <f t="shared" si="215"/>
        <v>MISMATCH</v>
      </c>
    </row>
    <row r="477" spans="1:50" ht="15.6" hidden="1">
      <c r="A477" s="1" t="s">
        <v>3403</v>
      </c>
      <c r="B477" s="1">
        <f t="shared" si="189"/>
        <v>1</v>
      </c>
      <c r="C477" s="16">
        <v>45473</v>
      </c>
      <c r="D477" s="16">
        <v>45473</v>
      </c>
      <c r="E477" s="16" t="str">
        <f t="shared" si="208"/>
        <v>Jun</v>
      </c>
      <c r="F477" s="1">
        <f t="shared" si="209"/>
        <v>2024</v>
      </c>
      <c r="G477" t="s">
        <v>2038</v>
      </c>
      <c r="H477" s="17">
        <v>45724</v>
      </c>
      <c r="I477" s="21">
        <f t="shared" si="210"/>
        <v>251</v>
      </c>
      <c r="J477" s="6" t="str">
        <f t="shared" si="211"/>
        <v>OK</v>
      </c>
      <c r="K477" s="1" t="s">
        <v>3404</v>
      </c>
      <c r="L477" s="1" t="s">
        <v>136</v>
      </c>
      <c r="M477" s="1" t="str">
        <f t="shared" si="190"/>
        <v>Priya Menon</v>
      </c>
      <c r="N477" s="1" t="s">
        <v>110</v>
      </c>
      <c r="O477" s="1" t="str">
        <f t="shared" si="191"/>
        <v>Home Office</v>
      </c>
      <c r="P477" s="1" t="s">
        <v>41</v>
      </c>
      <c r="Q477" s="1" t="str">
        <f t="shared" si="192"/>
        <v>East</v>
      </c>
      <c r="R477" s="1" t="str">
        <f t="shared" si="193"/>
        <v>OK</v>
      </c>
      <c r="S477" s="1" t="s">
        <v>116</v>
      </c>
      <c r="T477" s="1" t="str">
        <f t="shared" si="194"/>
        <v>West Bengal</v>
      </c>
      <c r="U477" s="1" t="s">
        <v>117</v>
      </c>
      <c r="V477" s="1" t="str">
        <f t="shared" si="195"/>
        <v>Kolkata</v>
      </c>
      <c r="W477" s="1" t="s">
        <v>29</v>
      </c>
      <c r="X477" s="1" t="str">
        <f t="shared" si="196"/>
        <v>Office Supplies</v>
      </c>
      <c r="Y477" s="1" t="s">
        <v>30</v>
      </c>
      <c r="Z477" s="1" t="str">
        <f t="shared" si="197"/>
        <v>Paper</v>
      </c>
      <c r="AA477" s="1" t="s">
        <v>3405</v>
      </c>
      <c r="AB477" s="1" t="s">
        <v>55</v>
      </c>
      <c r="AC477" s="1" t="str">
        <f t="shared" si="198"/>
        <v>First Class</v>
      </c>
      <c r="AD477" s="1" t="str">
        <f t="shared" si="199"/>
        <v>OK</v>
      </c>
      <c r="AE477" s="1">
        <v>6</v>
      </c>
      <c r="AF477" s="1">
        <v>1211.01</v>
      </c>
      <c r="AG477" s="9">
        <v>0</v>
      </c>
      <c r="AH477" s="9">
        <f t="shared" si="200"/>
        <v>0</v>
      </c>
      <c r="AI477" s="1" t="str">
        <f t="shared" si="201"/>
        <v>OK</v>
      </c>
      <c r="AJ477" s="1">
        <v>7266.06</v>
      </c>
      <c r="AK477" s="1">
        <v>6216.89</v>
      </c>
      <c r="AL477" s="1">
        <v>1049.17</v>
      </c>
      <c r="AM477" s="13">
        <f t="shared" si="202"/>
        <v>7266.0599999999995</v>
      </c>
      <c r="AN477" s="9">
        <f t="shared" si="203"/>
        <v>1049.1699999999992</v>
      </c>
      <c r="AO477" s="9">
        <f t="shared" si="212"/>
        <v>0.14439324750965438</v>
      </c>
      <c r="AP477" s="1" t="s">
        <v>33</v>
      </c>
      <c r="AQ477" s="1" t="str">
        <f t="shared" si="204"/>
        <v>Paid</v>
      </c>
      <c r="AR477" s="1" t="str">
        <f t="shared" si="205"/>
        <v>OK</v>
      </c>
      <c r="AS477" s="1" t="s">
        <v>34</v>
      </c>
      <c r="AT477" s="4" t="str">
        <f t="shared" si="206"/>
        <v>Completed</v>
      </c>
      <c r="AU477" s="3" t="str">
        <f t="shared" si="207"/>
        <v>OK</v>
      </c>
      <c r="AV477" s="3" t="str">
        <f t="shared" si="213"/>
        <v>CLEAN</v>
      </c>
      <c r="AW477" t="str">
        <f t="shared" si="214"/>
        <v>MATCH</v>
      </c>
      <c r="AX477" t="str">
        <f t="shared" si="215"/>
        <v>MATCH</v>
      </c>
    </row>
    <row r="478" spans="1:50" ht="15.6" hidden="1">
      <c r="A478" s="1" t="s">
        <v>3406</v>
      </c>
      <c r="B478" s="1">
        <f t="shared" si="189"/>
        <v>1</v>
      </c>
      <c r="C478" s="16">
        <v>45377</v>
      </c>
      <c r="D478" s="16">
        <v>45377</v>
      </c>
      <c r="E478" s="16" t="str">
        <f t="shared" si="208"/>
        <v>Mar</v>
      </c>
      <c r="F478" s="1">
        <f t="shared" si="209"/>
        <v>2024</v>
      </c>
      <c r="G478" t="s">
        <v>2042</v>
      </c>
      <c r="H478" s="17">
        <v>45426</v>
      </c>
      <c r="I478" s="21">
        <f t="shared" si="210"/>
        <v>49</v>
      </c>
      <c r="J478" s="6" t="str">
        <f t="shared" si="211"/>
        <v>OK</v>
      </c>
      <c r="K478" s="1" t="s">
        <v>3407</v>
      </c>
      <c r="L478" s="1" t="s">
        <v>24</v>
      </c>
      <c r="M478" s="1" t="str">
        <f t="shared" si="190"/>
        <v>Karan Malhotra</v>
      </c>
      <c r="N478" s="1" t="s">
        <v>40</v>
      </c>
      <c r="O478" s="1" t="str">
        <f t="shared" si="191"/>
        <v>Small Business</v>
      </c>
      <c r="P478" s="1" t="s">
        <v>71</v>
      </c>
      <c r="Q478" s="1" t="str">
        <f t="shared" si="192"/>
        <v>West</v>
      </c>
      <c r="R478" s="1" t="str">
        <f t="shared" si="193"/>
        <v>OK</v>
      </c>
      <c r="S478" s="1" t="s">
        <v>218</v>
      </c>
      <c r="T478" s="1" t="str">
        <f t="shared" si="194"/>
        <v>Gujarat</v>
      </c>
      <c r="U478" s="1" t="s">
        <v>219</v>
      </c>
      <c r="V478" s="1" t="str">
        <f t="shared" si="195"/>
        <v>Ahmedabad</v>
      </c>
      <c r="W478" s="1" t="s">
        <v>83</v>
      </c>
      <c r="X478" s="1" t="str">
        <f t="shared" si="196"/>
        <v>Technology</v>
      </c>
      <c r="Y478" s="1" t="s">
        <v>84</v>
      </c>
      <c r="Z478" s="1" t="str">
        <f t="shared" si="197"/>
        <v>Accessories</v>
      </c>
      <c r="AA478" s="1" t="s">
        <v>3408</v>
      </c>
      <c r="AB478" s="1" t="s">
        <v>55</v>
      </c>
      <c r="AC478" s="1" t="str">
        <f t="shared" si="198"/>
        <v>First Class</v>
      </c>
      <c r="AD478" s="1" t="str">
        <f t="shared" si="199"/>
        <v>OK</v>
      </c>
      <c r="AE478" s="1">
        <v>2</v>
      </c>
      <c r="AF478" s="1">
        <v>1161.3</v>
      </c>
      <c r="AG478" s="9">
        <v>0.2</v>
      </c>
      <c r="AH478" s="9">
        <f t="shared" si="200"/>
        <v>0.2</v>
      </c>
      <c r="AI478" s="1" t="str">
        <f t="shared" si="201"/>
        <v>OK</v>
      </c>
      <c r="AJ478" s="1">
        <v>1858.08</v>
      </c>
      <c r="AK478" s="1">
        <v>1590.75</v>
      </c>
      <c r="AL478" s="1">
        <v>267.33</v>
      </c>
      <c r="AM478" s="13">
        <f t="shared" si="202"/>
        <v>1858.08</v>
      </c>
      <c r="AN478" s="9">
        <f t="shared" si="203"/>
        <v>267.32999999999993</v>
      </c>
      <c r="AO478" s="9">
        <f t="shared" si="212"/>
        <v>0.14387432188065097</v>
      </c>
      <c r="AP478" s="1" t="s">
        <v>33</v>
      </c>
      <c r="AQ478" s="1" t="str">
        <f t="shared" si="204"/>
        <v>Paid</v>
      </c>
      <c r="AR478" s="1" t="str">
        <f t="shared" si="205"/>
        <v>OK</v>
      </c>
      <c r="AS478" s="1" t="s">
        <v>34</v>
      </c>
      <c r="AT478" s="4" t="str">
        <f t="shared" si="206"/>
        <v>Completed</v>
      </c>
      <c r="AU478" s="3" t="str">
        <f t="shared" si="207"/>
        <v>OK</v>
      </c>
      <c r="AV478" s="3" t="str">
        <f t="shared" si="213"/>
        <v>CLEAN</v>
      </c>
      <c r="AW478" t="str">
        <f t="shared" si="214"/>
        <v>MATCH</v>
      </c>
      <c r="AX478" t="str">
        <f t="shared" si="215"/>
        <v>MATCH</v>
      </c>
    </row>
    <row r="479" spans="1:50" ht="15.6" hidden="1">
      <c r="A479" s="1" t="s">
        <v>3409</v>
      </c>
      <c r="B479" s="1">
        <f t="shared" si="189"/>
        <v>1</v>
      </c>
      <c r="C479" s="16">
        <v>45383</v>
      </c>
      <c r="D479" s="16">
        <v>45383</v>
      </c>
      <c r="E479" s="16" t="str">
        <f t="shared" si="208"/>
        <v>Apr</v>
      </c>
      <c r="F479" s="1">
        <f t="shared" si="209"/>
        <v>2024</v>
      </c>
      <c r="G479" t="s">
        <v>2046</v>
      </c>
      <c r="H479" s="17">
        <v>45897</v>
      </c>
      <c r="I479" s="21">
        <f t="shared" si="210"/>
        <v>514</v>
      </c>
      <c r="J479" s="6" t="str">
        <f t="shared" si="211"/>
        <v>OK</v>
      </c>
      <c r="K479" s="1" t="s">
        <v>3410</v>
      </c>
      <c r="L479" s="1" t="s">
        <v>70</v>
      </c>
      <c r="M479" s="1" t="str">
        <f t="shared" si="190"/>
        <v>Ananya Rao</v>
      </c>
      <c r="N479" s="1" t="s">
        <v>25</v>
      </c>
      <c r="O479" s="1" t="str">
        <f t="shared" si="191"/>
        <v>Consumer</v>
      </c>
      <c r="P479" s="1" t="s">
        <v>41</v>
      </c>
      <c r="Q479" s="1" t="str">
        <f t="shared" si="192"/>
        <v>East</v>
      </c>
      <c r="R479" s="1" t="str">
        <f t="shared" si="193"/>
        <v>OK</v>
      </c>
      <c r="S479" s="1" t="s">
        <v>201</v>
      </c>
      <c r="T479" s="1" t="str">
        <f t="shared" si="194"/>
        <v>Assam</v>
      </c>
      <c r="U479" s="1" t="s">
        <v>202</v>
      </c>
      <c r="V479" s="1" t="str">
        <f t="shared" si="195"/>
        <v>Guwahati</v>
      </c>
      <c r="W479" s="1" t="s">
        <v>44</v>
      </c>
      <c r="X479" s="1" t="str">
        <f t="shared" si="196"/>
        <v>Furniture</v>
      </c>
      <c r="Y479" s="1" t="s">
        <v>45</v>
      </c>
      <c r="Z479" s="1" t="str">
        <f t="shared" si="197"/>
        <v>Tables</v>
      </c>
      <c r="AA479" s="1" t="s">
        <v>3411</v>
      </c>
      <c r="AB479" s="1" t="s">
        <v>32</v>
      </c>
      <c r="AC479" s="1" t="str">
        <f t="shared" si="198"/>
        <v>Second Class</v>
      </c>
      <c r="AD479" s="1" t="str">
        <f t="shared" si="199"/>
        <v>OK</v>
      </c>
      <c r="AE479" s="1">
        <v>7</v>
      </c>
      <c r="AF479" s="1">
        <v>4205.3500000000004</v>
      </c>
      <c r="AG479" s="9">
        <v>0.15</v>
      </c>
      <c r="AH479" s="9">
        <f t="shared" si="200"/>
        <v>0.15</v>
      </c>
      <c r="AI479" s="1" t="str">
        <f t="shared" si="201"/>
        <v>OK</v>
      </c>
      <c r="AJ479" s="1">
        <v>25021.83</v>
      </c>
      <c r="AK479" s="1">
        <v>15544.44</v>
      </c>
      <c r="AL479" s="1">
        <v>9477.39</v>
      </c>
      <c r="AM479" s="13">
        <f t="shared" si="202"/>
        <v>25021.832500000004</v>
      </c>
      <c r="AN479" s="9">
        <f t="shared" si="203"/>
        <v>9477.3925000000036</v>
      </c>
      <c r="AO479" s="9">
        <f t="shared" si="212"/>
        <v>0.37876492459135447</v>
      </c>
      <c r="AP479" s="1" t="s">
        <v>131</v>
      </c>
      <c r="AQ479" s="1" t="str">
        <f t="shared" si="204"/>
        <v>Pending</v>
      </c>
      <c r="AR479" s="1" t="str">
        <f t="shared" si="205"/>
        <v>OK</v>
      </c>
      <c r="AS479" s="1" t="s">
        <v>76</v>
      </c>
      <c r="AT479" s="4" t="str">
        <f t="shared" si="206"/>
        <v>Cancelled</v>
      </c>
      <c r="AU479" s="3" t="str">
        <f t="shared" si="207"/>
        <v>EXCLUDE_FROM_SALES</v>
      </c>
      <c r="AV479" s="3" t="str">
        <f t="shared" si="213"/>
        <v>CLEAN</v>
      </c>
      <c r="AW479" t="str">
        <f t="shared" si="214"/>
        <v>MATCH</v>
      </c>
      <c r="AX479" t="str">
        <f t="shared" si="215"/>
        <v>MATCH</v>
      </c>
    </row>
    <row r="480" spans="1:50" ht="15.6">
      <c r="A480" s="1" t="s">
        <v>3419</v>
      </c>
      <c r="B480" s="1">
        <f t="shared" si="189"/>
        <v>1</v>
      </c>
      <c r="C480" s="16">
        <v>45498</v>
      </c>
      <c r="D480" s="16">
        <v>45498</v>
      </c>
      <c r="E480" s="16" t="str">
        <f t="shared" si="208"/>
        <v>Jul</v>
      </c>
      <c r="F480" s="1">
        <f t="shared" si="209"/>
        <v>2024</v>
      </c>
      <c r="G480" t="s">
        <v>2050</v>
      </c>
      <c r="H480" s="17">
        <v>45456</v>
      </c>
      <c r="I480" s="21">
        <f t="shared" si="210"/>
        <v>-42</v>
      </c>
      <c r="J480" s="6" t="str">
        <f t="shared" si="211"/>
        <v>INVALID_SHIPPING</v>
      </c>
      <c r="K480" s="1" t="s">
        <v>1508</v>
      </c>
      <c r="L480" s="1" t="s">
        <v>141</v>
      </c>
      <c r="M480" s="1" t="str">
        <f t="shared" si="190"/>
        <v>Rahul Verma</v>
      </c>
      <c r="N480" s="1" t="s">
        <v>25</v>
      </c>
      <c r="O480" s="1" t="str">
        <f t="shared" si="191"/>
        <v>Consumer</v>
      </c>
      <c r="P480" s="1" t="s">
        <v>26</v>
      </c>
      <c r="Q480" s="1" t="str">
        <f t="shared" si="192"/>
        <v>North</v>
      </c>
      <c r="R480" s="1" t="str">
        <f t="shared" si="193"/>
        <v>OK</v>
      </c>
      <c r="S480" s="1" t="s">
        <v>27</v>
      </c>
      <c r="T480" s="1" t="str">
        <f t="shared" si="194"/>
        <v>Rajasthan</v>
      </c>
      <c r="U480" s="1" t="s">
        <v>28</v>
      </c>
      <c r="V480" s="1" t="str">
        <f t="shared" si="195"/>
        <v>Jaipur</v>
      </c>
      <c r="W480" s="1" t="s">
        <v>29</v>
      </c>
      <c r="X480" s="1" t="str">
        <f t="shared" si="196"/>
        <v>Office Supplies</v>
      </c>
      <c r="Y480" s="1" t="s">
        <v>3421</v>
      </c>
      <c r="Z480" s="1" t="str">
        <f t="shared" si="197"/>
        <v>Labels</v>
      </c>
      <c r="AA480" s="1" t="s">
        <v>3422</v>
      </c>
      <c r="AB480" s="1" t="s">
        <v>32</v>
      </c>
      <c r="AC480" s="1" t="str">
        <f t="shared" si="198"/>
        <v>Second Class</v>
      </c>
      <c r="AD480" s="1" t="str">
        <f t="shared" si="199"/>
        <v>OK</v>
      </c>
      <c r="AE480" s="1">
        <v>2</v>
      </c>
      <c r="AF480" s="1">
        <v>2073.5300000000002</v>
      </c>
      <c r="AG480" s="9">
        <v>0.25</v>
      </c>
      <c r="AH480" s="9">
        <f t="shared" si="200"/>
        <v>0.25</v>
      </c>
      <c r="AI480" s="1" t="str">
        <f t="shared" si="201"/>
        <v>OK</v>
      </c>
      <c r="AJ480" s="1">
        <v>3110.3</v>
      </c>
      <c r="AK480" s="1">
        <v>2101.0300000000002</v>
      </c>
      <c r="AL480" s="1">
        <v>1009.27</v>
      </c>
      <c r="AM480" s="13">
        <f t="shared" si="202"/>
        <v>3110.2950000000001</v>
      </c>
      <c r="AN480" s="9">
        <f t="shared" si="203"/>
        <v>1009.2649999999999</v>
      </c>
      <c r="AO480" s="9">
        <f t="shared" si="212"/>
        <v>0.32449172827657824</v>
      </c>
      <c r="AP480" s="1" t="s">
        <v>33</v>
      </c>
      <c r="AQ480" s="1" t="str">
        <f t="shared" si="204"/>
        <v>Paid</v>
      </c>
      <c r="AR480" s="1" t="str">
        <f t="shared" si="205"/>
        <v>OK</v>
      </c>
      <c r="AS480" s="1" t="s">
        <v>34</v>
      </c>
      <c r="AT480" s="4" t="str">
        <f t="shared" si="206"/>
        <v>Completed</v>
      </c>
      <c r="AU480" s="3" t="str">
        <f t="shared" si="207"/>
        <v>OK</v>
      </c>
      <c r="AV480" s="3" t="str">
        <f t="shared" si="213"/>
        <v>INVALID</v>
      </c>
      <c r="AW480" t="str">
        <f t="shared" si="214"/>
        <v>MATCH</v>
      </c>
      <c r="AX480" t="str">
        <f t="shared" si="215"/>
        <v>MATCH</v>
      </c>
    </row>
    <row r="481" spans="1:50" ht="15.6">
      <c r="A481" s="1" t="s">
        <v>3423</v>
      </c>
      <c r="B481" s="1">
        <f t="shared" si="189"/>
        <v>1</v>
      </c>
      <c r="C481" s="16">
        <v>45632</v>
      </c>
      <c r="D481" s="16">
        <v>45632</v>
      </c>
      <c r="E481" s="16" t="str">
        <f t="shared" si="208"/>
        <v>Dec</v>
      </c>
      <c r="F481" s="1">
        <f t="shared" si="209"/>
        <v>2024</v>
      </c>
      <c r="G481" t="s">
        <v>1837</v>
      </c>
      <c r="H481" s="17">
        <v>45342</v>
      </c>
      <c r="I481" s="21">
        <f t="shared" si="210"/>
        <v>-290</v>
      </c>
      <c r="J481" s="6" t="str">
        <f t="shared" si="211"/>
        <v>INVALID_SHIPPING</v>
      </c>
      <c r="K481" s="1" t="s">
        <v>1742</v>
      </c>
      <c r="L481" s="1" t="s">
        <v>169</v>
      </c>
      <c r="M481" s="1" t="str">
        <f t="shared" si="190"/>
        <v>Rohan Mehta</v>
      </c>
      <c r="N481" s="1" t="s">
        <v>110</v>
      </c>
      <c r="O481" s="1" t="str">
        <f t="shared" si="191"/>
        <v>Home Office</v>
      </c>
      <c r="P481" s="1" t="s">
        <v>60</v>
      </c>
      <c r="Q481" s="1" t="str">
        <f t="shared" si="192"/>
        <v>South</v>
      </c>
      <c r="R481" s="1" t="str">
        <f t="shared" si="193"/>
        <v>OK</v>
      </c>
      <c r="S481" s="1" t="s">
        <v>309</v>
      </c>
      <c r="T481" s="1" t="str">
        <f t="shared" si="194"/>
        <v>Tamil Nadu</v>
      </c>
      <c r="U481" s="1" t="s">
        <v>310</v>
      </c>
      <c r="V481" s="1" t="str">
        <f t="shared" si="195"/>
        <v>Chennai</v>
      </c>
      <c r="W481" s="1" t="s">
        <v>29</v>
      </c>
      <c r="X481" s="1" t="str">
        <f t="shared" si="196"/>
        <v>Office Supplies</v>
      </c>
      <c r="Y481" s="1" t="s">
        <v>148</v>
      </c>
      <c r="Z481" s="1" t="str">
        <f t="shared" si="197"/>
        <v>Storage</v>
      </c>
      <c r="AA481" s="1" t="s">
        <v>3424</v>
      </c>
      <c r="AB481" s="1" t="s">
        <v>65</v>
      </c>
      <c r="AC481" s="1" t="str">
        <f t="shared" si="198"/>
        <v>Standard Class</v>
      </c>
      <c r="AD481" s="1" t="str">
        <f t="shared" si="199"/>
        <v>OK</v>
      </c>
      <c r="AE481" s="1">
        <v>4</v>
      </c>
      <c r="AF481" s="1">
        <v>395.1</v>
      </c>
      <c r="AG481" s="9">
        <v>-0.16</v>
      </c>
      <c r="AH481" s="9">
        <f t="shared" si="200"/>
        <v>-0.16</v>
      </c>
      <c r="AI481" s="1" t="str">
        <f t="shared" si="201"/>
        <v>Invalid Negative Discount</v>
      </c>
      <c r="AJ481" s="1">
        <v>1185.3</v>
      </c>
      <c r="AK481" s="1">
        <v>966.55</v>
      </c>
      <c r="AL481" s="1">
        <v>218.75</v>
      </c>
      <c r="AM481" s="13" t="str">
        <f t="shared" si="202"/>
        <v>INVALID</v>
      </c>
      <c r="AN481" s="9" t="str">
        <f t="shared" si="203"/>
        <v>INVALID</v>
      </c>
      <c r="AO481" s="9" t="str">
        <f t="shared" si="212"/>
        <v/>
      </c>
      <c r="AP481" s="1" t="s">
        <v>186</v>
      </c>
      <c r="AQ481" s="1" t="str">
        <f t="shared" si="204"/>
        <v>Failed</v>
      </c>
      <c r="AR481" s="1" t="str">
        <f t="shared" si="205"/>
        <v>EXCLUDE_FROM_SALES</v>
      </c>
      <c r="AS481" s="1" t="s">
        <v>76</v>
      </c>
      <c r="AT481" s="4" t="str">
        <f t="shared" si="206"/>
        <v>Cancelled</v>
      </c>
      <c r="AU481" s="3" t="str">
        <f t="shared" si="207"/>
        <v>EXCLUDE_FROM_SALES</v>
      </c>
      <c r="AV481" s="3" t="str">
        <f t="shared" si="213"/>
        <v>INVALID</v>
      </c>
      <c r="AW481" t="str">
        <f t="shared" si="214"/>
        <v>INVALID</v>
      </c>
      <c r="AX481" t="str">
        <f t="shared" si="215"/>
        <v>INVALID</v>
      </c>
    </row>
    <row r="482" spans="1:50" ht="15.6" hidden="1">
      <c r="A482" s="1" t="s">
        <v>3425</v>
      </c>
      <c r="B482" s="1">
        <f t="shared" si="189"/>
        <v>1</v>
      </c>
      <c r="C482" s="16">
        <v>45388</v>
      </c>
      <c r="D482" s="16">
        <v>45388</v>
      </c>
      <c r="E482" s="16" t="str">
        <f t="shared" si="208"/>
        <v>Apr</v>
      </c>
      <c r="F482" s="1">
        <f t="shared" si="209"/>
        <v>2024</v>
      </c>
      <c r="G482" t="s">
        <v>2013</v>
      </c>
      <c r="H482" s="17">
        <v>45666</v>
      </c>
      <c r="I482" s="21">
        <f t="shared" si="210"/>
        <v>278</v>
      </c>
      <c r="J482" s="6" t="str">
        <f t="shared" si="211"/>
        <v>OK</v>
      </c>
      <c r="K482" s="1" t="s">
        <v>2831</v>
      </c>
      <c r="L482" s="1" t="s">
        <v>158</v>
      </c>
      <c r="M482" s="1" t="str">
        <f t="shared" si="190"/>
        <v>Sneha Kapoor</v>
      </c>
      <c r="N482" s="1" t="s">
        <v>110</v>
      </c>
      <c r="O482" s="1" t="str">
        <f t="shared" si="191"/>
        <v>Home Office</v>
      </c>
      <c r="P482" s="1" t="s">
        <v>60</v>
      </c>
      <c r="Q482" s="1" t="str">
        <f t="shared" si="192"/>
        <v>South</v>
      </c>
      <c r="R482" s="1" t="str">
        <f t="shared" si="193"/>
        <v>OK</v>
      </c>
      <c r="S482" s="1" t="s">
        <v>224</v>
      </c>
      <c r="T482" s="1" t="str">
        <f t="shared" si="194"/>
        <v>Kerala</v>
      </c>
      <c r="U482" s="1" t="s">
        <v>225</v>
      </c>
      <c r="V482" s="1" t="str">
        <f t="shared" si="195"/>
        <v>Kochi</v>
      </c>
      <c r="W482" s="1" t="s">
        <v>29</v>
      </c>
      <c r="X482" s="1" t="str">
        <f t="shared" si="196"/>
        <v>Office Supplies</v>
      </c>
      <c r="Y482" s="1" t="s">
        <v>148</v>
      </c>
      <c r="Z482" s="1" t="str">
        <f t="shared" si="197"/>
        <v>Storage</v>
      </c>
      <c r="AA482" s="1" t="s">
        <v>3427</v>
      </c>
      <c r="AB482" s="1" t="s">
        <v>55</v>
      </c>
      <c r="AC482" s="1" t="str">
        <f t="shared" si="198"/>
        <v>First Class</v>
      </c>
      <c r="AD482" s="1" t="str">
        <f t="shared" si="199"/>
        <v>OK</v>
      </c>
      <c r="AE482" s="1">
        <v>6</v>
      </c>
      <c r="AF482" s="1">
        <v>2708.97</v>
      </c>
      <c r="AG482" s="9">
        <v>0.25</v>
      </c>
      <c r="AH482" s="9">
        <f t="shared" si="200"/>
        <v>0.25</v>
      </c>
      <c r="AI482" s="1" t="str">
        <f t="shared" si="201"/>
        <v>OK</v>
      </c>
      <c r="AJ482" s="1">
        <v>12190.36</v>
      </c>
      <c r="AK482" s="1">
        <v>10176.99</v>
      </c>
      <c r="AL482" s="1">
        <v>2013.37</v>
      </c>
      <c r="AM482" s="13">
        <f t="shared" si="202"/>
        <v>12190.365</v>
      </c>
      <c r="AN482" s="9">
        <f t="shared" si="203"/>
        <v>2013.375</v>
      </c>
      <c r="AO482" s="9">
        <f t="shared" si="212"/>
        <v>0.16516117441930575</v>
      </c>
      <c r="AP482" s="1" t="s">
        <v>33</v>
      </c>
      <c r="AQ482" s="1" t="str">
        <f t="shared" si="204"/>
        <v>Paid</v>
      </c>
      <c r="AR482" s="1" t="str">
        <f t="shared" si="205"/>
        <v>OK</v>
      </c>
      <c r="AS482" s="1" t="s">
        <v>34</v>
      </c>
      <c r="AT482" s="4" t="str">
        <f t="shared" si="206"/>
        <v>Completed</v>
      </c>
      <c r="AU482" s="3" t="str">
        <f t="shared" si="207"/>
        <v>OK</v>
      </c>
      <c r="AV482" s="3" t="str">
        <f t="shared" si="213"/>
        <v>CLEAN</v>
      </c>
      <c r="AW482" t="str">
        <f t="shared" si="214"/>
        <v>MISMATCH</v>
      </c>
      <c r="AX482" t="str">
        <f t="shared" si="215"/>
        <v>MISMATCH</v>
      </c>
    </row>
    <row r="483" spans="1:50" ht="15.6" hidden="1">
      <c r="A483" s="1" t="s">
        <v>3428</v>
      </c>
      <c r="B483" s="1">
        <f t="shared" si="189"/>
        <v>1</v>
      </c>
      <c r="C483" s="16">
        <v>45327</v>
      </c>
      <c r="D483" s="16">
        <v>45327</v>
      </c>
      <c r="E483" s="16" t="str">
        <f t="shared" si="208"/>
        <v>Feb</v>
      </c>
      <c r="F483" s="1">
        <f t="shared" si="209"/>
        <v>2024</v>
      </c>
      <c r="G483" t="s">
        <v>2061</v>
      </c>
      <c r="H483" s="17">
        <v>45821</v>
      </c>
      <c r="I483" s="21">
        <f t="shared" si="210"/>
        <v>494</v>
      </c>
      <c r="J483" s="6" t="str">
        <f t="shared" si="211"/>
        <v>OK</v>
      </c>
      <c r="K483" s="1" t="s">
        <v>3429</v>
      </c>
      <c r="L483" s="1" t="s">
        <v>59</v>
      </c>
      <c r="M483" s="1" t="str">
        <f t="shared" si="190"/>
        <v>Arjun Bose</v>
      </c>
      <c r="N483" s="1" t="s">
        <v>25</v>
      </c>
      <c r="O483" s="1" t="str">
        <f t="shared" si="191"/>
        <v>Consumer</v>
      </c>
      <c r="P483" s="1" t="s">
        <v>41</v>
      </c>
      <c r="Q483" s="1" t="str">
        <f t="shared" si="192"/>
        <v>East</v>
      </c>
      <c r="R483" s="1" t="str">
        <f t="shared" si="193"/>
        <v>OK</v>
      </c>
      <c r="S483" s="1" t="s">
        <v>42</v>
      </c>
      <c r="T483" s="1" t="str">
        <f t="shared" si="194"/>
        <v>Odisha</v>
      </c>
      <c r="U483" s="1" t="s">
        <v>43</v>
      </c>
      <c r="V483" s="1" t="str">
        <f t="shared" si="195"/>
        <v>Bhubaneswar</v>
      </c>
      <c r="W483" s="1" t="s">
        <v>83</v>
      </c>
      <c r="X483" s="1" t="str">
        <f t="shared" si="196"/>
        <v>Technology</v>
      </c>
      <c r="Y483" s="1" t="s">
        <v>84</v>
      </c>
      <c r="Z483" s="1" t="str">
        <f t="shared" si="197"/>
        <v>Accessories</v>
      </c>
      <c r="AA483" s="1" t="s">
        <v>3430</v>
      </c>
      <c r="AB483" s="1" t="s">
        <v>32</v>
      </c>
      <c r="AC483" s="1" t="str">
        <f t="shared" si="198"/>
        <v>Second Class</v>
      </c>
      <c r="AD483" s="1" t="str">
        <f t="shared" si="199"/>
        <v>OK</v>
      </c>
      <c r="AE483" s="1">
        <v>4</v>
      </c>
      <c r="AF483" s="1">
        <v>2904.86</v>
      </c>
      <c r="AG483" s="9">
        <v>0</v>
      </c>
      <c r="AH483" s="9">
        <f t="shared" si="200"/>
        <v>0</v>
      </c>
      <c r="AI483" s="1" t="str">
        <f t="shared" si="201"/>
        <v>OK</v>
      </c>
      <c r="AJ483" s="1">
        <v>11619.44</v>
      </c>
      <c r="AK483" s="1">
        <v>7184.32</v>
      </c>
      <c r="AL483" s="1">
        <v>4494.6400000000003</v>
      </c>
      <c r="AM483" s="13">
        <f t="shared" si="202"/>
        <v>11619.44</v>
      </c>
      <c r="AN483" s="9">
        <f t="shared" si="203"/>
        <v>4435.1200000000008</v>
      </c>
      <c r="AO483" s="9">
        <f t="shared" si="212"/>
        <v>0.3816982574031107</v>
      </c>
      <c r="AP483" s="1" t="s">
        <v>33</v>
      </c>
      <c r="AQ483" s="1" t="str">
        <f t="shared" si="204"/>
        <v>Paid</v>
      </c>
      <c r="AR483" s="1" t="str">
        <f t="shared" si="205"/>
        <v>OK</v>
      </c>
      <c r="AS483" s="1" t="s">
        <v>34</v>
      </c>
      <c r="AT483" s="4" t="str">
        <f t="shared" si="206"/>
        <v>Completed</v>
      </c>
      <c r="AU483" s="3" t="str">
        <f t="shared" si="207"/>
        <v>OK</v>
      </c>
      <c r="AV483" s="3" t="str">
        <f t="shared" si="213"/>
        <v>CLEAN</v>
      </c>
      <c r="AW483" t="str">
        <f t="shared" si="214"/>
        <v>MATCH</v>
      </c>
      <c r="AX483" t="str">
        <f t="shared" si="215"/>
        <v>MISMATCH</v>
      </c>
    </row>
    <row r="484" spans="1:50" ht="15.6">
      <c r="A484" s="1" t="s">
        <v>3431</v>
      </c>
      <c r="B484" s="1">
        <f t="shared" si="189"/>
        <v>1</v>
      </c>
      <c r="C484" s="16">
        <v>45592</v>
      </c>
      <c r="D484" s="16">
        <v>45592</v>
      </c>
      <c r="E484" s="16" t="str">
        <f t="shared" si="208"/>
        <v>Oct</v>
      </c>
      <c r="F484" s="1">
        <f t="shared" si="209"/>
        <v>2024</v>
      </c>
      <c r="G484" t="s">
        <v>242</v>
      </c>
      <c r="H484" s="17">
        <v>45495</v>
      </c>
      <c r="I484" s="21">
        <f t="shared" si="210"/>
        <v>-97</v>
      </c>
      <c r="J484" s="6" t="str">
        <f t="shared" si="211"/>
        <v>INVALID_SHIPPING</v>
      </c>
      <c r="K484" s="1" t="s">
        <v>3433</v>
      </c>
      <c r="L484" s="1" t="s">
        <v>103</v>
      </c>
      <c r="M484" s="1" t="str">
        <f t="shared" si="190"/>
        <v>Aditi Sen</v>
      </c>
      <c r="N484" s="1" t="s">
        <v>104</v>
      </c>
      <c r="O484" s="1" t="str">
        <f t="shared" si="191"/>
        <v>Corporate</v>
      </c>
      <c r="P484" s="1" t="s">
        <v>60</v>
      </c>
      <c r="Q484" s="1" t="str">
        <f t="shared" si="192"/>
        <v>South</v>
      </c>
      <c r="R484" s="1" t="str">
        <f t="shared" si="193"/>
        <v>OK</v>
      </c>
      <c r="S484" s="1" t="s">
        <v>309</v>
      </c>
      <c r="T484" s="1" t="str">
        <f t="shared" si="194"/>
        <v>Tamil Nadu</v>
      </c>
      <c r="U484" s="1" t="s">
        <v>310</v>
      </c>
      <c r="V484" s="1" t="str">
        <f t="shared" si="195"/>
        <v>Chennai</v>
      </c>
      <c r="W484" s="1" t="s">
        <v>83</v>
      </c>
      <c r="X484" s="1" t="str">
        <f t="shared" si="196"/>
        <v>Technology</v>
      </c>
      <c r="Y484" s="1" t="s">
        <v>207</v>
      </c>
      <c r="Z484" s="1" t="str">
        <f t="shared" si="197"/>
        <v>Phones</v>
      </c>
      <c r="AA484" s="1" t="s">
        <v>3434</v>
      </c>
      <c r="AB484" s="1" t="s">
        <v>65</v>
      </c>
      <c r="AC484" s="1" t="str">
        <f t="shared" si="198"/>
        <v>Standard Class</v>
      </c>
      <c r="AD484" s="1" t="str">
        <f t="shared" si="199"/>
        <v>OK</v>
      </c>
      <c r="AE484" s="1">
        <v>6</v>
      </c>
      <c r="AF484" s="1">
        <v>4399.2</v>
      </c>
      <c r="AG484" s="9">
        <v>0.05</v>
      </c>
      <c r="AH484" s="9">
        <f t="shared" si="200"/>
        <v>0.05</v>
      </c>
      <c r="AI484" s="1" t="str">
        <f t="shared" si="201"/>
        <v>OK</v>
      </c>
      <c r="AJ484" s="1">
        <v>25075.439999999999</v>
      </c>
      <c r="AK484" s="1">
        <v>16282.74</v>
      </c>
      <c r="AL484" s="1">
        <v>8792.7000000000007</v>
      </c>
      <c r="AM484" s="13">
        <f t="shared" si="202"/>
        <v>25075.439999999995</v>
      </c>
      <c r="AN484" s="9">
        <f t="shared" si="203"/>
        <v>8792.6999999999953</v>
      </c>
      <c r="AO484" s="9">
        <f t="shared" si="212"/>
        <v>0.35064987892535471</v>
      </c>
      <c r="AP484" s="1" t="s">
        <v>33</v>
      </c>
      <c r="AQ484" s="1" t="str">
        <f t="shared" si="204"/>
        <v>Paid</v>
      </c>
      <c r="AR484" s="1" t="str">
        <f t="shared" si="205"/>
        <v>OK</v>
      </c>
      <c r="AS484" s="1" t="s">
        <v>34</v>
      </c>
      <c r="AT484" s="4" t="str">
        <f t="shared" si="206"/>
        <v>Completed</v>
      </c>
      <c r="AU484" s="3" t="str">
        <f t="shared" si="207"/>
        <v>OK</v>
      </c>
      <c r="AV484" s="3" t="str">
        <f t="shared" si="213"/>
        <v>INVALID</v>
      </c>
      <c r="AW484" t="str">
        <f t="shared" si="214"/>
        <v>MATCH</v>
      </c>
      <c r="AX484" t="str">
        <f t="shared" si="215"/>
        <v>MATCH</v>
      </c>
    </row>
    <row r="485" spans="1:50" ht="15.6" hidden="1">
      <c r="A485" s="1" t="s">
        <v>3435</v>
      </c>
      <c r="B485" s="1">
        <f t="shared" si="189"/>
        <v>1</v>
      </c>
      <c r="C485" s="16">
        <v>45324</v>
      </c>
      <c r="D485" s="16">
        <v>45324</v>
      </c>
      <c r="E485" s="16" t="str">
        <f t="shared" si="208"/>
        <v>Feb</v>
      </c>
      <c r="F485" s="1">
        <f t="shared" si="209"/>
        <v>2024</v>
      </c>
      <c r="G485" t="s">
        <v>2068</v>
      </c>
      <c r="H485" s="17">
        <v>45651</v>
      </c>
      <c r="I485" s="21">
        <f t="shared" si="210"/>
        <v>327</v>
      </c>
      <c r="J485" s="6" t="str">
        <f t="shared" si="211"/>
        <v>OK</v>
      </c>
      <c r="K485" s="1" t="s">
        <v>3437</v>
      </c>
      <c r="L485" s="1" t="s">
        <v>80</v>
      </c>
      <c r="M485" s="1" t="str">
        <f t="shared" si="190"/>
        <v>Vikram Iyer</v>
      </c>
      <c r="N485" s="1" t="s">
        <v>110</v>
      </c>
      <c r="O485" s="1" t="str">
        <f t="shared" si="191"/>
        <v>Home Office</v>
      </c>
      <c r="P485" s="1" t="s">
        <v>26</v>
      </c>
      <c r="Q485" s="1" t="str">
        <f t="shared" si="192"/>
        <v>North</v>
      </c>
      <c r="R485" s="1" t="str">
        <f t="shared" si="193"/>
        <v>OK</v>
      </c>
      <c r="S485" s="1" t="s">
        <v>163</v>
      </c>
      <c r="T485" s="1" t="str">
        <f t="shared" si="194"/>
        <v>Uttar Pradesh</v>
      </c>
      <c r="U485" s="1" t="s">
        <v>164</v>
      </c>
      <c r="V485" s="1" t="str">
        <f t="shared" si="195"/>
        <v>Noida</v>
      </c>
      <c r="W485" s="1" t="s">
        <v>29</v>
      </c>
      <c r="X485" s="1" t="str">
        <f t="shared" si="196"/>
        <v>Office Supplies</v>
      </c>
      <c r="Y485" s="1" t="s">
        <v>148</v>
      </c>
      <c r="Z485" s="1" t="str">
        <f t="shared" si="197"/>
        <v>Storage</v>
      </c>
      <c r="AA485" s="1" t="s">
        <v>3438</v>
      </c>
      <c r="AB485" s="1" t="s">
        <v>32</v>
      </c>
      <c r="AC485" s="1" t="str">
        <f t="shared" si="198"/>
        <v>Second Class</v>
      </c>
      <c r="AD485" s="1" t="str">
        <f t="shared" si="199"/>
        <v>OK</v>
      </c>
      <c r="AE485" s="1">
        <v>1</v>
      </c>
      <c r="AF485" s="1">
        <v>4397.32</v>
      </c>
      <c r="AG485" s="9">
        <v>0.05</v>
      </c>
      <c r="AH485" s="9">
        <f t="shared" si="200"/>
        <v>0.05</v>
      </c>
      <c r="AI485" s="1" t="str">
        <f t="shared" si="201"/>
        <v>OK</v>
      </c>
      <c r="AJ485" s="1">
        <v>4177.45</v>
      </c>
      <c r="AK485" s="1">
        <v>2299.5</v>
      </c>
      <c r="AL485" s="1">
        <v>1877.95</v>
      </c>
      <c r="AM485" s="13">
        <f t="shared" si="202"/>
        <v>4177.4539999999997</v>
      </c>
      <c r="AN485" s="9">
        <f t="shared" si="203"/>
        <v>1877.9539999999997</v>
      </c>
      <c r="AO485" s="9">
        <f t="shared" si="212"/>
        <v>0.44954510570313877</v>
      </c>
      <c r="AP485" s="1" t="s">
        <v>33</v>
      </c>
      <c r="AQ485" s="1" t="str">
        <f t="shared" si="204"/>
        <v>Paid</v>
      </c>
      <c r="AR485" s="1" t="str">
        <f t="shared" si="205"/>
        <v>OK</v>
      </c>
      <c r="AS485" s="1" t="s">
        <v>34</v>
      </c>
      <c r="AT485" s="4" t="str">
        <f t="shared" si="206"/>
        <v>Completed</v>
      </c>
      <c r="AU485" s="3" t="str">
        <f t="shared" si="207"/>
        <v>OK</v>
      </c>
      <c r="AV485" s="3" t="str">
        <f t="shared" si="213"/>
        <v>CLEAN</v>
      </c>
      <c r="AW485" t="str">
        <f t="shared" si="214"/>
        <v>MATCH</v>
      </c>
      <c r="AX485" t="str">
        <f t="shared" si="215"/>
        <v>MATCH</v>
      </c>
    </row>
    <row r="486" spans="1:50" ht="15.6" hidden="1">
      <c r="A486" s="1" t="s">
        <v>3460</v>
      </c>
      <c r="B486" s="1">
        <f t="shared" si="189"/>
        <v>1</v>
      </c>
      <c r="C486" s="16">
        <v>45617</v>
      </c>
      <c r="D486" s="16">
        <v>45617</v>
      </c>
      <c r="E486" s="16" t="str">
        <f t="shared" si="208"/>
        <v>Nov</v>
      </c>
      <c r="F486" s="1">
        <f t="shared" si="209"/>
        <v>2024</v>
      </c>
      <c r="G486" t="s">
        <v>2072</v>
      </c>
      <c r="H486" s="17">
        <v>45657</v>
      </c>
      <c r="I486" s="21">
        <f t="shared" si="210"/>
        <v>40</v>
      </c>
      <c r="J486" s="6" t="str">
        <f t="shared" si="211"/>
        <v>OK</v>
      </c>
      <c r="K486" s="1" t="s">
        <v>3462</v>
      </c>
      <c r="L486" s="1" t="s">
        <v>141</v>
      </c>
      <c r="M486" s="1" t="str">
        <f t="shared" si="190"/>
        <v>Rahul Verma</v>
      </c>
      <c r="N486" s="1" t="s">
        <v>110</v>
      </c>
      <c r="O486" s="1" t="str">
        <f t="shared" si="191"/>
        <v>Home Office</v>
      </c>
      <c r="P486" s="1" t="s">
        <v>60</v>
      </c>
      <c r="Q486" s="1" t="str">
        <f t="shared" si="192"/>
        <v>South</v>
      </c>
      <c r="R486" s="1" t="str">
        <f t="shared" si="193"/>
        <v>OK</v>
      </c>
      <c r="S486" s="1" t="s">
        <v>97</v>
      </c>
      <c r="T486" s="1" t="str">
        <f t="shared" si="194"/>
        <v>Andhra Pradesh</v>
      </c>
      <c r="U486" s="1" t="s">
        <v>98</v>
      </c>
      <c r="V486" s="1" t="str">
        <f t="shared" si="195"/>
        <v>Vijayawada</v>
      </c>
      <c r="W486" s="1" t="s">
        <v>83</v>
      </c>
      <c r="X486" s="1" t="str">
        <f t="shared" si="196"/>
        <v>Technology</v>
      </c>
      <c r="Y486" s="1" t="s">
        <v>84</v>
      </c>
      <c r="Z486" s="1" t="str">
        <f t="shared" si="197"/>
        <v>Accessories</v>
      </c>
      <c r="AA486" s="1" t="s">
        <v>3463</v>
      </c>
      <c r="AB486" s="1" t="s">
        <v>47</v>
      </c>
      <c r="AC486" s="1" t="str">
        <f t="shared" si="198"/>
        <v>Same Day</v>
      </c>
      <c r="AD486" s="1" t="str">
        <f t="shared" si="199"/>
        <v>OK</v>
      </c>
      <c r="AE486" s="1">
        <v>6</v>
      </c>
      <c r="AF486" s="1">
        <v>1043.49</v>
      </c>
      <c r="AG486" s="9">
        <v>0.25</v>
      </c>
      <c r="AH486" s="9">
        <f t="shared" si="200"/>
        <v>0.25</v>
      </c>
      <c r="AI486" s="1" t="str">
        <f t="shared" si="201"/>
        <v>OK</v>
      </c>
      <c r="AJ486" s="1">
        <v>4695.7</v>
      </c>
      <c r="AK486" s="1">
        <v>3871.69</v>
      </c>
      <c r="AL486" s="1">
        <v>824.01</v>
      </c>
      <c r="AM486" s="13">
        <f t="shared" si="202"/>
        <v>4695.7049999999999</v>
      </c>
      <c r="AN486" s="9">
        <f t="shared" si="203"/>
        <v>824.01499999999987</v>
      </c>
      <c r="AO486" s="9">
        <f t="shared" si="212"/>
        <v>0.17548270174553127</v>
      </c>
      <c r="AP486" s="1" t="s">
        <v>186</v>
      </c>
      <c r="AQ486" s="1" t="str">
        <f t="shared" si="204"/>
        <v>Failed</v>
      </c>
      <c r="AR486" s="1" t="str">
        <f t="shared" si="205"/>
        <v>EXCLUDE_FROM_SALES</v>
      </c>
      <c r="AS486" s="1" t="s">
        <v>76</v>
      </c>
      <c r="AT486" s="4" t="str">
        <f t="shared" si="206"/>
        <v>Cancelled</v>
      </c>
      <c r="AU486" s="3" t="str">
        <f t="shared" si="207"/>
        <v>EXCLUDE_FROM_SALES</v>
      </c>
      <c r="AV486" s="3" t="str">
        <f t="shared" si="213"/>
        <v>CLEAN</v>
      </c>
      <c r="AW486" t="str">
        <f t="shared" si="214"/>
        <v>MISMATCH</v>
      </c>
      <c r="AX486" t="str">
        <f t="shared" si="215"/>
        <v>MISMATCH</v>
      </c>
    </row>
    <row r="487" spans="1:50" ht="15.6" hidden="1">
      <c r="A487" s="1" t="s">
        <v>3473</v>
      </c>
      <c r="B487" s="1">
        <f t="shared" si="189"/>
        <v>1</v>
      </c>
      <c r="C487" s="16">
        <v>45342</v>
      </c>
      <c r="D487" s="16">
        <v>45342</v>
      </c>
      <c r="E487" s="16" t="str">
        <f t="shared" si="208"/>
        <v>Feb</v>
      </c>
      <c r="F487" s="1">
        <f t="shared" si="209"/>
        <v>2024</v>
      </c>
      <c r="G487" t="s">
        <v>172</v>
      </c>
      <c r="H487" s="17">
        <v>45680</v>
      </c>
      <c r="I487" s="21">
        <f t="shared" si="210"/>
        <v>338</v>
      </c>
      <c r="J487" s="6" t="str">
        <f t="shared" si="211"/>
        <v>OK</v>
      </c>
      <c r="K487" s="1" t="s">
        <v>3316</v>
      </c>
      <c r="L487" s="1" t="s">
        <v>90</v>
      </c>
      <c r="M487" s="1" t="str">
        <f t="shared" si="190"/>
        <v>Neha Gupta</v>
      </c>
      <c r="N487" s="1" t="s">
        <v>40</v>
      </c>
      <c r="O487" s="1" t="str">
        <f t="shared" si="191"/>
        <v>Small Business</v>
      </c>
      <c r="P487" s="1" t="s">
        <v>60</v>
      </c>
      <c r="Q487" s="1" t="str">
        <f t="shared" si="192"/>
        <v>South</v>
      </c>
      <c r="R487" s="1" t="str">
        <f t="shared" si="193"/>
        <v>OK</v>
      </c>
      <c r="S487" s="1" t="s">
        <v>61</v>
      </c>
      <c r="T487" s="1" t="str">
        <f t="shared" si="194"/>
        <v>Telangana</v>
      </c>
      <c r="U487" s="1" t="s">
        <v>62</v>
      </c>
      <c r="V487" s="1" t="str">
        <f t="shared" si="195"/>
        <v>Hyderabad</v>
      </c>
      <c r="W487" s="1" t="s">
        <v>83</v>
      </c>
      <c r="X487" s="1" t="str">
        <f t="shared" si="196"/>
        <v>Technology</v>
      </c>
      <c r="Y487" s="1" t="s">
        <v>84</v>
      </c>
      <c r="Z487" s="1" t="str">
        <f t="shared" si="197"/>
        <v>Accessories</v>
      </c>
      <c r="AA487" s="1" t="s">
        <v>3474</v>
      </c>
      <c r="AB487" s="1" t="s">
        <v>55</v>
      </c>
      <c r="AC487" s="1" t="str">
        <f t="shared" si="198"/>
        <v>First Class</v>
      </c>
      <c r="AD487" s="1" t="str">
        <f t="shared" si="199"/>
        <v>OK</v>
      </c>
      <c r="AE487" s="1">
        <v>9</v>
      </c>
      <c r="AF487" s="1">
        <v>2186.23</v>
      </c>
      <c r="AG487" s="9">
        <v>0</v>
      </c>
      <c r="AH487" s="9">
        <f t="shared" si="200"/>
        <v>0</v>
      </c>
      <c r="AI487" s="1" t="str">
        <f t="shared" si="201"/>
        <v>OK</v>
      </c>
      <c r="AJ487" s="1">
        <v>19676.07</v>
      </c>
      <c r="AK487" s="1">
        <v>12458.62</v>
      </c>
      <c r="AL487" s="1">
        <v>7217.45</v>
      </c>
      <c r="AM487" s="13">
        <f t="shared" si="202"/>
        <v>19676.07</v>
      </c>
      <c r="AN487" s="9">
        <f t="shared" si="203"/>
        <v>7217.4499999999989</v>
      </c>
      <c r="AO487" s="9">
        <f t="shared" si="212"/>
        <v>0.36681359641432454</v>
      </c>
      <c r="AP487" s="1" t="s">
        <v>119</v>
      </c>
      <c r="AQ487" s="1" t="str">
        <f t="shared" si="204"/>
        <v>Refunded</v>
      </c>
      <c r="AR487" s="1" t="str">
        <f t="shared" si="205"/>
        <v>REFUNDED_PAYMENT</v>
      </c>
      <c r="AS487" s="1" t="s">
        <v>76</v>
      </c>
      <c r="AT487" s="4" t="str">
        <f t="shared" si="206"/>
        <v>Cancelled</v>
      </c>
      <c r="AU487" s="3" t="str">
        <f t="shared" si="207"/>
        <v>EXCLUDE_FROM_SALES</v>
      </c>
      <c r="AV487" s="3" t="str">
        <f t="shared" si="213"/>
        <v>CLEAN</v>
      </c>
      <c r="AW487" t="str">
        <f t="shared" si="214"/>
        <v>MATCH</v>
      </c>
      <c r="AX487" t="str">
        <f t="shared" si="215"/>
        <v>MATCH</v>
      </c>
    </row>
    <row r="488" spans="1:50" ht="15.6" hidden="1">
      <c r="A488" s="1" t="s">
        <v>3475</v>
      </c>
      <c r="B488" s="1">
        <f t="shared" si="189"/>
        <v>1</v>
      </c>
      <c r="C488" s="16">
        <v>45302</v>
      </c>
      <c r="D488" s="16">
        <v>45302</v>
      </c>
      <c r="E488" s="16" t="str">
        <f t="shared" si="208"/>
        <v>Jan</v>
      </c>
      <c r="F488" s="1">
        <f t="shared" si="209"/>
        <v>2024</v>
      </c>
      <c r="G488" t="s">
        <v>2079</v>
      </c>
      <c r="H488" s="17">
        <v>45834</v>
      </c>
      <c r="I488" s="21">
        <f t="shared" si="210"/>
        <v>532</v>
      </c>
      <c r="J488" s="6" t="str">
        <f t="shared" si="211"/>
        <v>OK</v>
      </c>
      <c r="K488" s="1" t="s">
        <v>2600</v>
      </c>
      <c r="L488" s="1" t="s">
        <v>24</v>
      </c>
      <c r="M488" s="1" t="str">
        <f t="shared" si="190"/>
        <v>Karan Malhotra</v>
      </c>
      <c r="N488" s="1" t="s">
        <v>104</v>
      </c>
      <c r="O488" s="1" t="str">
        <f t="shared" si="191"/>
        <v>Corporate</v>
      </c>
      <c r="P488" s="1" t="s">
        <v>41</v>
      </c>
      <c r="Q488" s="1" t="str">
        <f t="shared" si="192"/>
        <v>East</v>
      </c>
      <c r="R488" s="1" t="str">
        <f t="shared" si="193"/>
        <v>OK</v>
      </c>
      <c r="S488" s="1" t="s">
        <v>116</v>
      </c>
      <c r="T488" s="1" t="str">
        <f t="shared" si="194"/>
        <v>West Bengal</v>
      </c>
      <c r="U488" s="1" t="s">
        <v>117</v>
      </c>
      <c r="V488" s="1" t="str">
        <f t="shared" si="195"/>
        <v>Kolkata</v>
      </c>
      <c r="W488" s="1" t="s">
        <v>44</v>
      </c>
      <c r="X488" s="1" t="str">
        <f t="shared" si="196"/>
        <v>Furniture</v>
      </c>
      <c r="Y488" s="1" t="s">
        <v>63</v>
      </c>
      <c r="Z488" s="1" t="str">
        <f t="shared" si="197"/>
        <v>Furnishings</v>
      </c>
      <c r="AA488" s="1" t="s">
        <v>3477</v>
      </c>
      <c r="AB488" s="1" t="s">
        <v>65</v>
      </c>
      <c r="AC488" s="1" t="str">
        <f t="shared" si="198"/>
        <v>Standard Class</v>
      </c>
      <c r="AD488" s="1" t="str">
        <f t="shared" si="199"/>
        <v>OK</v>
      </c>
      <c r="AE488" s="1">
        <v>5</v>
      </c>
      <c r="AF488" s="1">
        <v>2212.02</v>
      </c>
      <c r="AG488" s="9">
        <v>0.2</v>
      </c>
      <c r="AH488" s="9">
        <f t="shared" si="200"/>
        <v>0.2</v>
      </c>
      <c r="AI488" s="1" t="str">
        <f t="shared" si="201"/>
        <v>OK</v>
      </c>
      <c r="AJ488" s="1">
        <v>8848.08</v>
      </c>
      <c r="AK488" s="1">
        <v>5691.56</v>
      </c>
      <c r="AL488" s="1">
        <v>3156.52</v>
      </c>
      <c r="AM488" s="13">
        <f t="shared" si="202"/>
        <v>8848.08</v>
      </c>
      <c r="AN488" s="9">
        <f t="shared" si="203"/>
        <v>3156.5199999999995</v>
      </c>
      <c r="AO488" s="9">
        <f t="shared" si="212"/>
        <v>0.35674632236598219</v>
      </c>
      <c r="AP488" s="1" t="s">
        <v>33</v>
      </c>
      <c r="AQ488" s="1" t="str">
        <f t="shared" si="204"/>
        <v>Paid</v>
      </c>
      <c r="AR488" s="1" t="str">
        <f t="shared" si="205"/>
        <v>OK</v>
      </c>
      <c r="AS488" s="1" t="s">
        <v>34</v>
      </c>
      <c r="AT488" s="4" t="str">
        <f t="shared" si="206"/>
        <v>Completed</v>
      </c>
      <c r="AU488" s="3" t="str">
        <f t="shared" si="207"/>
        <v>OK</v>
      </c>
      <c r="AV488" s="3" t="str">
        <f t="shared" si="213"/>
        <v>CLEAN</v>
      </c>
      <c r="AW488" t="str">
        <f t="shared" si="214"/>
        <v>MATCH</v>
      </c>
      <c r="AX488" t="str">
        <f t="shared" si="215"/>
        <v>MATCH</v>
      </c>
    </row>
    <row r="489" spans="1:50" ht="15.6" hidden="1">
      <c r="A489" s="1" t="s">
        <v>3485</v>
      </c>
      <c r="B489" s="1">
        <f t="shared" si="189"/>
        <v>1</v>
      </c>
      <c r="C489" s="16">
        <v>45573</v>
      </c>
      <c r="D489" s="16">
        <v>45573</v>
      </c>
      <c r="E489" s="16" t="str">
        <f t="shared" si="208"/>
        <v>Oct</v>
      </c>
      <c r="F489" s="1">
        <f t="shared" si="209"/>
        <v>2024</v>
      </c>
      <c r="G489" t="s">
        <v>2083</v>
      </c>
      <c r="H489" s="17">
        <v>45825</v>
      </c>
      <c r="I489" s="21">
        <f t="shared" si="210"/>
        <v>252</v>
      </c>
      <c r="J489" s="6" t="str">
        <f t="shared" si="211"/>
        <v>OK</v>
      </c>
      <c r="K489" s="1" t="s">
        <v>3487</v>
      </c>
      <c r="L489" s="1" t="s">
        <v>39</v>
      </c>
      <c r="M489" s="1" t="str">
        <f t="shared" si="190"/>
        <v>Mira Das</v>
      </c>
      <c r="N489" s="1" t="s">
        <v>104</v>
      </c>
      <c r="O489" s="1" t="str">
        <f t="shared" si="191"/>
        <v>Corporate</v>
      </c>
      <c r="P489" s="1" t="s">
        <v>71</v>
      </c>
      <c r="Q489" s="1" t="str">
        <f t="shared" si="192"/>
        <v>West</v>
      </c>
      <c r="R489" s="1" t="str">
        <f t="shared" si="193"/>
        <v>OK</v>
      </c>
      <c r="S489" s="1" t="s">
        <v>72</v>
      </c>
      <c r="T489" s="1" t="str">
        <f t="shared" si="194"/>
        <v>Maharashtra</v>
      </c>
      <c r="U489" s="1" t="s">
        <v>73</v>
      </c>
      <c r="V489" s="1" t="str">
        <f t="shared" si="195"/>
        <v>Mumbai</v>
      </c>
      <c r="W489" s="1" t="s">
        <v>83</v>
      </c>
      <c r="X489" s="1" t="str">
        <f t="shared" si="196"/>
        <v>Technology</v>
      </c>
      <c r="Y489" s="1" t="s">
        <v>91</v>
      </c>
      <c r="Z489" s="1" t="str">
        <f t="shared" si="197"/>
        <v>Copiers</v>
      </c>
      <c r="AA489" s="1" t="s">
        <v>3488</v>
      </c>
      <c r="AB489" s="1" t="s">
        <v>55</v>
      </c>
      <c r="AC489" s="1" t="str">
        <f t="shared" si="198"/>
        <v>First Class</v>
      </c>
      <c r="AD489" s="1" t="str">
        <f t="shared" si="199"/>
        <v>OK</v>
      </c>
      <c r="AE489" s="1">
        <v>7</v>
      </c>
      <c r="AF489" s="1">
        <v>3852.62</v>
      </c>
      <c r="AG489" s="9">
        <v>0.2</v>
      </c>
      <c r="AH489" s="9">
        <f t="shared" si="200"/>
        <v>0.2</v>
      </c>
      <c r="AI489" s="1" t="str">
        <f t="shared" si="201"/>
        <v>OK</v>
      </c>
      <c r="AJ489" s="1">
        <v>21574.67</v>
      </c>
      <c r="AK489" s="1">
        <v>14672.83</v>
      </c>
      <c r="AL489" s="1">
        <v>6901.84</v>
      </c>
      <c r="AM489" s="13">
        <f t="shared" si="202"/>
        <v>21574.672000000002</v>
      </c>
      <c r="AN489" s="9">
        <f t="shared" si="203"/>
        <v>6901.8420000000024</v>
      </c>
      <c r="AO489" s="9">
        <f t="shared" si="212"/>
        <v>0.31990484026825539</v>
      </c>
      <c r="AP489" s="1" t="s">
        <v>33</v>
      </c>
      <c r="AQ489" s="1" t="str">
        <f t="shared" si="204"/>
        <v>Paid</v>
      </c>
      <c r="AR489" s="1" t="str">
        <f t="shared" si="205"/>
        <v>OK</v>
      </c>
      <c r="AS489" s="1" t="s">
        <v>34</v>
      </c>
      <c r="AT489" s="4" t="str">
        <f t="shared" si="206"/>
        <v>Completed</v>
      </c>
      <c r="AU489" s="3" t="str">
        <f t="shared" si="207"/>
        <v>OK</v>
      </c>
      <c r="AV489" s="3" t="str">
        <f t="shared" si="213"/>
        <v>CLEAN</v>
      </c>
      <c r="AW489" t="str">
        <f t="shared" si="214"/>
        <v>MATCH</v>
      </c>
      <c r="AX489" t="str">
        <f t="shared" si="215"/>
        <v>MATCH</v>
      </c>
    </row>
    <row r="490" spans="1:50" ht="15.6">
      <c r="A490" s="1" t="s">
        <v>3489</v>
      </c>
      <c r="B490" s="1">
        <f t="shared" si="189"/>
        <v>1</v>
      </c>
      <c r="C490" s="16">
        <v>45614</v>
      </c>
      <c r="D490" s="16">
        <v>45614</v>
      </c>
      <c r="E490" s="16" t="str">
        <f t="shared" si="208"/>
        <v>Nov</v>
      </c>
      <c r="F490" s="1">
        <f t="shared" si="209"/>
        <v>2024</v>
      </c>
      <c r="G490" t="s">
        <v>2087</v>
      </c>
      <c r="H490" s="17">
        <v>45585</v>
      </c>
      <c r="I490" s="21">
        <f t="shared" si="210"/>
        <v>-29</v>
      </c>
      <c r="J490" s="6" t="str">
        <f t="shared" si="211"/>
        <v>INVALID_SHIPPING</v>
      </c>
      <c r="K490" s="1" t="s">
        <v>3491</v>
      </c>
      <c r="L490" s="1" t="s">
        <v>136</v>
      </c>
      <c r="M490" s="1" t="str">
        <f t="shared" si="190"/>
        <v>Priya Menon</v>
      </c>
      <c r="N490" s="1" t="s">
        <v>25</v>
      </c>
      <c r="O490" s="1" t="str">
        <f t="shared" si="191"/>
        <v>Consumer</v>
      </c>
      <c r="P490" s="1" t="s">
        <v>71</v>
      </c>
      <c r="Q490" s="1" t="str">
        <f t="shared" si="192"/>
        <v>West</v>
      </c>
      <c r="R490" s="1" t="str">
        <f t="shared" si="193"/>
        <v>OK</v>
      </c>
      <c r="S490" s="1" t="s">
        <v>27</v>
      </c>
      <c r="T490" s="1" t="str">
        <f t="shared" si="194"/>
        <v>Rajasthan</v>
      </c>
      <c r="U490" s="1" t="s">
        <v>129</v>
      </c>
      <c r="V490" s="1" t="str">
        <f t="shared" si="195"/>
        <v>Udaipur</v>
      </c>
      <c r="W490" s="1" t="s">
        <v>44</v>
      </c>
      <c r="X490" s="1" t="str">
        <f t="shared" si="196"/>
        <v>Furniture</v>
      </c>
      <c r="Y490" s="1" t="s">
        <v>74</v>
      </c>
      <c r="Z490" s="1" t="str">
        <f t="shared" si="197"/>
        <v>Chairs</v>
      </c>
      <c r="AA490" s="1" t="s">
        <v>1137</v>
      </c>
      <c r="AB490" s="1" t="s">
        <v>55</v>
      </c>
      <c r="AC490" s="1" t="str">
        <f t="shared" si="198"/>
        <v>First Class</v>
      </c>
      <c r="AD490" s="1" t="str">
        <f t="shared" si="199"/>
        <v>OK</v>
      </c>
      <c r="AE490" s="1">
        <v>6</v>
      </c>
      <c r="AF490" s="1">
        <v>3790.22</v>
      </c>
      <c r="AG490" s="9">
        <v>0</v>
      </c>
      <c r="AH490" s="9">
        <f t="shared" si="200"/>
        <v>0</v>
      </c>
      <c r="AI490" s="1" t="str">
        <f t="shared" si="201"/>
        <v>OK</v>
      </c>
      <c r="AJ490" s="1">
        <v>22741.32</v>
      </c>
      <c r="AK490" s="1">
        <v>16388.57</v>
      </c>
      <c r="AL490" s="1">
        <v>6352.75</v>
      </c>
      <c r="AM490" s="13">
        <f t="shared" si="202"/>
        <v>22741.32</v>
      </c>
      <c r="AN490" s="9">
        <f t="shared" si="203"/>
        <v>6352.75</v>
      </c>
      <c r="AO490" s="9">
        <f t="shared" si="212"/>
        <v>0.27934834037777928</v>
      </c>
      <c r="AP490" s="1" t="s">
        <v>33</v>
      </c>
      <c r="AQ490" s="1" t="str">
        <f t="shared" si="204"/>
        <v>Paid</v>
      </c>
      <c r="AR490" s="1" t="str">
        <f t="shared" si="205"/>
        <v>OK</v>
      </c>
      <c r="AS490" s="1" t="s">
        <v>34</v>
      </c>
      <c r="AT490" s="4" t="str">
        <f t="shared" si="206"/>
        <v>Completed</v>
      </c>
      <c r="AU490" s="3" t="str">
        <f t="shared" si="207"/>
        <v>OK</v>
      </c>
      <c r="AV490" s="3" t="str">
        <f t="shared" si="213"/>
        <v>INVALID</v>
      </c>
      <c r="AW490" t="str">
        <f t="shared" si="214"/>
        <v>MATCH</v>
      </c>
      <c r="AX490" t="str">
        <f t="shared" si="215"/>
        <v>MATCH</v>
      </c>
    </row>
    <row r="491" spans="1:50" ht="15.6" hidden="1">
      <c r="A491" s="1" t="s">
        <v>3495</v>
      </c>
      <c r="B491" s="1">
        <f t="shared" si="189"/>
        <v>1</v>
      </c>
      <c r="C491" s="16">
        <v>45313</v>
      </c>
      <c r="D491" s="16">
        <v>45313</v>
      </c>
      <c r="E491" s="16" t="str">
        <f t="shared" si="208"/>
        <v>Jan</v>
      </c>
      <c r="F491" s="1">
        <f t="shared" si="209"/>
        <v>2024</v>
      </c>
      <c r="G491" t="s">
        <v>2091</v>
      </c>
      <c r="H491" s="17">
        <v>45334</v>
      </c>
      <c r="I491" s="21">
        <f t="shared" si="210"/>
        <v>21</v>
      </c>
      <c r="J491" s="6" t="str">
        <f t="shared" si="211"/>
        <v>OK</v>
      </c>
      <c r="K491" s="1" t="s">
        <v>3496</v>
      </c>
      <c r="L491" s="1" t="s">
        <v>24</v>
      </c>
      <c r="M491" s="1" t="str">
        <f t="shared" si="190"/>
        <v>Karan Malhotra</v>
      </c>
      <c r="N491" s="1" t="s">
        <v>104</v>
      </c>
      <c r="O491" s="1" t="str">
        <f t="shared" si="191"/>
        <v>Corporate</v>
      </c>
      <c r="P491" s="1" t="s">
        <v>41</v>
      </c>
      <c r="Q491" s="1" t="str">
        <f t="shared" si="192"/>
        <v>East</v>
      </c>
      <c r="R491" s="1" t="str">
        <f t="shared" si="193"/>
        <v>OK</v>
      </c>
      <c r="S491" s="1" t="s">
        <v>116</v>
      </c>
      <c r="T491" s="1" t="str">
        <f t="shared" si="194"/>
        <v>West Bengal</v>
      </c>
      <c r="U491" s="1" t="s">
        <v>117</v>
      </c>
      <c r="V491" s="1" t="str">
        <f t="shared" si="195"/>
        <v>Kolkata</v>
      </c>
      <c r="W491" s="1" t="s">
        <v>29</v>
      </c>
      <c r="X491" s="1" t="str">
        <f t="shared" si="196"/>
        <v>Office Supplies</v>
      </c>
      <c r="Y491" s="1" t="s">
        <v>30</v>
      </c>
      <c r="Z491" s="1" t="str">
        <f t="shared" si="197"/>
        <v>Paper</v>
      </c>
      <c r="AA491" s="1" t="s">
        <v>3497</v>
      </c>
      <c r="AB491" s="1" t="s">
        <v>55</v>
      </c>
      <c r="AC491" s="1" t="str">
        <f t="shared" si="198"/>
        <v>First Class</v>
      </c>
      <c r="AD491" s="1" t="str">
        <f t="shared" si="199"/>
        <v>OK</v>
      </c>
      <c r="AE491" s="1">
        <v>8</v>
      </c>
      <c r="AF491" s="1">
        <v>1557.21</v>
      </c>
      <c r="AG491" s="9">
        <v>0.05</v>
      </c>
      <c r="AH491" s="9">
        <f t="shared" si="200"/>
        <v>0.05</v>
      </c>
      <c r="AI491" s="1" t="str">
        <f t="shared" si="201"/>
        <v>OK</v>
      </c>
      <c r="AJ491" s="1">
        <v>11834.8</v>
      </c>
      <c r="AK491" s="1">
        <v>9322.36</v>
      </c>
      <c r="AL491" s="1">
        <v>2512.44</v>
      </c>
      <c r="AM491" s="13">
        <f t="shared" si="202"/>
        <v>11834.796</v>
      </c>
      <c r="AN491" s="9">
        <f t="shared" si="203"/>
        <v>2512.4359999999997</v>
      </c>
      <c r="AO491" s="9">
        <f t="shared" si="212"/>
        <v>0.21229229468763125</v>
      </c>
      <c r="AP491" s="1" t="s">
        <v>33</v>
      </c>
      <c r="AQ491" s="1" t="str">
        <f t="shared" si="204"/>
        <v>Paid</v>
      </c>
      <c r="AR491" s="1" t="str">
        <f t="shared" si="205"/>
        <v>OK</v>
      </c>
      <c r="AS491" s="1" t="s">
        <v>34</v>
      </c>
      <c r="AT491" s="4" t="str">
        <f t="shared" si="206"/>
        <v>Completed</v>
      </c>
      <c r="AU491" s="3" t="str">
        <f t="shared" si="207"/>
        <v>OK</v>
      </c>
      <c r="AV491" s="3" t="str">
        <f t="shared" si="213"/>
        <v>CLEAN</v>
      </c>
      <c r="AW491" t="str">
        <f t="shared" si="214"/>
        <v>MATCH</v>
      </c>
      <c r="AX491" t="str">
        <f t="shared" si="215"/>
        <v>MATCH</v>
      </c>
    </row>
    <row r="492" spans="1:50" ht="15.6" hidden="1">
      <c r="A492" s="1" t="s">
        <v>3501</v>
      </c>
      <c r="B492" s="1">
        <f t="shared" si="189"/>
        <v>1</v>
      </c>
      <c r="C492" s="16">
        <v>45359</v>
      </c>
      <c r="D492" s="16">
        <v>45359</v>
      </c>
      <c r="E492" s="16" t="str">
        <f t="shared" si="208"/>
        <v>Mar</v>
      </c>
      <c r="F492" s="1">
        <f t="shared" si="209"/>
        <v>2024</v>
      </c>
      <c r="G492" t="s">
        <v>1664</v>
      </c>
      <c r="H492" s="17">
        <v>45554</v>
      </c>
      <c r="I492" s="21">
        <f t="shared" si="210"/>
        <v>195</v>
      </c>
      <c r="J492" s="6" t="str">
        <f t="shared" si="211"/>
        <v>OK</v>
      </c>
      <c r="K492" s="1" t="s">
        <v>3502</v>
      </c>
      <c r="L492" s="1" t="s">
        <v>153</v>
      </c>
      <c r="M492" s="1" t="str">
        <f t="shared" si="190"/>
        <v>Aarav Sharma</v>
      </c>
      <c r="N492" s="1" t="s">
        <v>40</v>
      </c>
      <c r="O492" s="1" t="str">
        <f t="shared" si="191"/>
        <v>Small Business</v>
      </c>
      <c r="P492" s="1"/>
      <c r="Q492" s="1" t="str">
        <f t="shared" si="192"/>
        <v>Unknown</v>
      </c>
      <c r="R492" s="1" t="str">
        <f t="shared" si="193"/>
        <v>MISSING_REGION</v>
      </c>
      <c r="S492" s="1" t="s">
        <v>146</v>
      </c>
      <c r="T492" s="1" t="str">
        <f t="shared" si="194"/>
        <v>Punjab</v>
      </c>
      <c r="U492" s="1" t="s">
        <v>147</v>
      </c>
      <c r="V492" s="1" t="str">
        <f t="shared" si="195"/>
        <v>Ludhiana</v>
      </c>
      <c r="W492" s="1" t="s">
        <v>44</v>
      </c>
      <c r="X492" s="1" t="str">
        <f t="shared" si="196"/>
        <v>Furniture</v>
      </c>
      <c r="Y492" s="1" t="s">
        <v>74</v>
      </c>
      <c r="Z492" s="1" t="str">
        <f t="shared" si="197"/>
        <v>Chairs</v>
      </c>
      <c r="AA492" s="1" t="s">
        <v>3503</v>
      </c>
      <c r="AB492" s="1" t="s">
        <v>55</v>
      </c>
      <c r="AC492" s="1" t="str">
        <f t="shared" si="198"/>
        <v>First Class</v>
      </c>
      <c r="AD492" s="1" t="str">
        <f t="shared" si="199"/>
        <v>OK</v>
      </c>
      <c r="AE492" s="1">
        <v>5</v>
      </c>
      <c r="AF492" s="1">
        <v>3234.77</v>
      </c>
      <c r="AG492" s="9">
        <v>0</v>
      </c>
      <c r="AH492" s="9">
        <f t="shared" si="200"/>
        <v>0</v>
      </c>
      <c r="AI492" s="1" t="str">
        <f t="shared" si="201"/>
        <v>OK</v>
      </c>
      <c r="AJ492" s="1">
        <v>16173.85</v>
      </c>
      <c r="AK492" s="1">
        <v>13636.34</v>
      </c>
      <c r="AL492" s="1">
        <v>2537.5100000000002</v>
      </c>
      <c r="AM492" s="13">
        <f t="shared" si="202"/>
        <v>16173.85</v>
      </c>
      <c r="AN492" s="9">
        <f t="shared" si="203"/>
        <v>2537.5100000000002</v>
      </c>
      <c r="AO492" s="9">
        <f t="shared" si="212"/>
        <v>0.15688967067210344</v>
      </c>
      <c r="AP492" s="1" t="s">
        <v>33</v>
      </c>
      <c r="AQ492" s="1" t="str">
        <f t="shared" si="204"/>
        <v>Paid</v>
      </c>
      <c r="AR492" s="1" t="str">
        <f t="shared" si="205"/>
        <v>OK</v>
      </c>
      <c r="AS492" s="1" t="s">
        <v>34</v>
      </c>
      <c r="AT492" s="4" t="str">
        <f t="shared" si="206"/>
        <v>Completed</v>
      </c>
      <c r="AU492" s="3" t="str">
        <f t="shared" si="207"/>
        <v>OK</v>
      </c>
      <c r="AV492" s="3" t="str">
        <f t="shared" si="213"/>
        <v>WARNING</v>
      </c>
      <c r="AW492" t="str">
        <f t="shared" si="214"/>
        <v>MATCH</v>
      </c>
      <c r="AX492" t="str">
        <f t="shared" si="215"/>
        <v>MATCH</v>
      </c>
    </row>
    <row r="493" spans="1:50" ht="15.6" hidden="1">
      <c r="A493" s="1" t="s">
        <v>3504</v>
      </c>
      <c r="B493" s="1">
        <f t="shared" si="189"/>
        <v>1</v>
      </c>
      <c r="C493" s="16">
        <v>45303</v>
      </c>
      <c r="D493" s="16">
        <v>45303</v>
      </c>
      <c r="E493" s="16" t="str">
        <f t="shared" si="208"/>
        <v>Jan</v>
      </c>
      <c r="F493" s="1">
        <f t="shared" si="209"/>
        <v>2024</v>
      </c>
      <c r="G493" t="s">
        <v>2098</v>
      </c>
      <c r="H493" s="17">
        <v>45777</v>
      </c>
      <c r="I493" s="21">
        <f t="shared" si="210"/>
        <v>474</v>
      </c>
      <c r="J493" s="6" t="str">
        <f t="shared" si="211"/>
        <v>OK</v>
      </c>
      <c r="K493" s="1" t="s">
        <v>3506</v>
      </c>
      <c r="L493" s="1" t="s">
        <v>70</v>
      </c>
      <c r="M493" s="1" t="str">
        <f t="shared" si="190"/>
        <v>Ananya Rao</v>
      </c>
      <c r="N493" s="1" t="s">
        <v>40</v>
      </c>
      <c r="O493" s="1" t="str">
        <f t="shared" si="191"/>
        <v>Small Business</v>
      </c>
      <c r="P493" s="1" t="s">
        <v>60</v>
      </c>
      <c r="Q493" s="1" t="str">
        <f t="shared" si="192"/>
        <v>South</v>
      </c>
      <c r="R493" s="1" t="str">
        <f t="shared" si="193"/>
        <v>OK</v>
      </c>
      <c r="S493" s="1" t="s">
        <v>97</v>
      </c>
      <c r="T493" s="1" t="str">
        <f t="shared" si="194"/>
        <v>Andhra Pradesh</v>
      </c>
      <c r="U493" s="1" t="s">
        <v>98</v>
      </c>
      <c r="V493" s="1" t="str">
        <f t="shared" si="195"/>
        <v>Vijayawada</v>
      </c>
      <c r="W493" s="1" t="s">
        <v>83</v>
      </c>
      <c r="X493" s="1" t="str">
        <f t="shared" si="196"/>
        <v>Technology</v>
      </c>
      <c r="Y493" s="1" t="s">
        <v>91</v>
      </c>
      <c r="Z493" s="1" t="str">
        <f t="shared" si="197"/>
        <v>Copiers</v>
      </c>
      <c r="AA493" s="1" t="s">
        <v>3507</v>
      </c>
      <c r="AB493" s="1" t="s">
        <v>32</v>
      </c>
      <c r="AC493" s="1" t="str">
        <f t="shared" si="198"/>
        <v>Second Class</v>
      </c>
      <c r="AD493" s="1" t="str">
        <f t="shared" si="199"/>
        <v>OK</v>
      </c>
      <c r="AE493" s="1">
        <v>9</v>
      </c>
      <c r="AF493" s="1">
        <v>3726.75</v>
      </c>
      <c r="AG493" s="9">
        <v>0.25</v>
      </c>
      <c r="AH493" s="9">
        <f t="shared" si="200"/>
        <v>0.25</v>
      </c>
      <c r="AI493" s="1" t="str">
        <f t="shared" si="201"/>
        <v>OK</v>
      </c>
      <c r="AJ493" s="1">
        <v>25155.56</v>
      </c>
      <c r="AK493" s="1">
        <v>17592.689999999999</v>
      </c>
      <c r="AL493" s="1">
        <v>7562.87</v>
      </c>
      <c r="AM493" s="13">
        <f t="shared" si="202"/>
        <v>25155.5625</v>
      </c>
      <c r="AN493" s="9">
        <f t="shared" si="203"/>
        <v>7562.8725000000013</v>
      </c>
      <c r="AO493" s="9">
        <f t="shared" si="212"/>
        <v>0.30064414182747856</v>
      </c>
      <c r="AP493" s="1" t="s">
        <v>33</v>
      </c>
      <c r="AQ493" s="1" t="str">
        <f t="shared" si="204"/>
        <v>Paid</v>
      </c>
      <c r="AR493" s="1" t="str">
        <f t="shared" si="205"/>
        <v>OK</v>
      </c>
      <c r="AS493" s="1" t="s">
        <v>34</v>
      </c>
      <c r="AT493" s="4" t="str">
        <f t="shared" si="206"/>
        <v>Completed</v>
      </c>
      <c r="AU493" s="3" t="str">
        <f t="shared" si="207"/>
        <v>OK</v>
      </c>
      <c r="AV493" s="3" t="str">
        <f t="shared" si="213"/>
        <v>CLEAN</v>
      </c>
      <c r="AW493" t="str">
        <f t="shared" si="214"/>
        <v>MATCH</v>
      </c>
      <c r="AX493" t="str">
        <f t="shared" si="215"/>
        <v>MATCH</v>
      </c>
    </row>
    <row r="494" spans="1:50" ht="15.6" hidden="1">
      <c r="A494" s="1" t="s">
        <v>3519</v>
      </c>
      <c r="B494" s="1">
        <f t="shared" si="189"/>
        <v>1</v>
      </c>
      <c r="C494" s="16">
        <v>45413</v>
      </c>
      <c r="D494" s="16">
        <v>45413</v>
      </c>
      <c r="E494" s="16" t="str">
        <f t="shared" si="208"/>
        <v>May</v>
      </c>
      <c r="F494" s="1">
        <f t="shared" si="209"/>
        <v>2024</v>
      </c>
      <c r="G494" t="s">
        <v>2102</v>
      </c>
      <c r="H494" s="17">
        <v>45840</v>
      </c>
      <c r="I494" s="21">
        <f t="shared" si="210"/>
        <v>427</v>
      </c>
      <c r="J494" s="6" t="str">
        <f t="shared" si="211"/>
        <v>OK</v>
      </c>
      <c r="K494" s="1" t="s">
        <v>3521</v>
      </c>
      <c r="L494" s="1" t="s">
        <v>196</v>
      </c>
      <c r="M494" s="1" t="str">
        <f t="shared" si="190"/>
        <v>Diya Patel</v>
      </c>
      <c r="N494" s="1" t="s">
        <v>25</v>
      </c>
      <c r="O494" s="1" t="str">
        <f t="shared" si="191"/>
        <v>Consumer</v>
      </c>
      <c r="P494" s="1" t="s">
        <v>26</v>
      </c>
      <c r="Q494" s="1" t="str">
        <f t="shared" si="192"/>
        <v>North</v>
      </c>
      <c r="R494" s="1" t="str">
        <f t="shared" si="193"/>
        <v>OK</v>
      </c>
      <c r="S494" s="1" t="s">
        <v>27</v>
      </c>
      <c r="T494" s="1" t="str">
        <f t="shared" si="194"/>
        <v>Rajasthan</v>
      </c>
      <c r="U494" s="1" t="s">
        <v>28</v>
      </c>
      <c r="V494" s="1" t="str">
        <f t="shared" si="195"/>
        <v>Jaipur</v>
      </c>
      <c r="W494" s="1" t="s">
        <v>44</v>
      </c>
      <c r="X494" s="1" t="str">
        <f t="shared" si="196"/>
        <v>Furniture</v>
      </c>
      <c r="Y494" s="1" t="s">
        <v>45</v>
      </c>
      <c r="Z494" s="1" t="str">
        <f t="shared" si="197"/>
        <v>Tables</v>
      </c>
      <c r="AA494" s="1" t="s">
        <v>3522</v>
      </c>
      <c r="AB494" s="1" t="s">
        <v>65</v>
      </c>
      <c r="AC494" s="1" t="str">
        <f t="shared" si="198"/>
        <v>Standard Class</v>
      </c>
      <c r="AD494" s="1" t="str">
        <f t="shared" si="199"/>
        <v>OK</v>
      </c>
      <c r="AE494" s="1">
        <v>1</v>
      </c>
      <c r="AF494" s="1">
        <v>2167.08</v>
      </c>
      <c r="AG494" s="9">
        <v>0.25</v>
      </c>
      <c r="AH494" s="9">
        <f t="shared" si="200"/>
        <v>0.25</v>
      </c>
      <c r="AI494" s="1" t="str">
        <f t="shared" si="201"/>
        <v>OK</v>
      </c>
      <c r="AJ494" s="1">
        <v>1625.31</v>
      </c>
      <c r="AK494" s="1">
        <v>1157.8900000000001</v>
      </c>
      <c r="AL494" s="1">
        <v>467.42</v>
      </c>
      <c r="AM494" s="13">
        <f t="shared" si="202"/>
        <v>1625.31</v>
      </c>
      <c r="AN494" s="9">
        <f t="shared" si="203"/>
        <v>467.41999999999985</v>
      </c>
      <c r="AO494" s="9">
        <f t="shared" si="212"/>
        <v>0.28758821394072509</v>
      </c>
      <c r="AP494" s="1" t="s">
        <v>33</v>
      </c>
      <c r="AQ494" s="1" t="str">
        <f t="shared" si="204"/>
        <v>Paid</v>
      </c>
      <c r="AR494" s="1" t="str">
        <f t="shared" si="205"/>
        <v>OK</v>
      </c>
      <c r="AS494" s="1" t="s">
        <v>34</v>
      </c>
      <c r="AT494" s="4" t="str">
        <f t="shared" si="206"/>
        <v>Completed</v>
      </c>
      <c r="AU494" s="3" t="str">
        <f t="shared" si="207"/>
        <v>OK</v>
      </c>
      <c r="AV494" s="3" t="str">
        <f t="shared" si="213"/>
        <v>CLEAN</v>
      </c>
      <c r="AW494" t="str">
        <f t="shared" si="214"/>
        <v>MATCH</v>
      </c>
      <c r="AX494" t="str">
        <f t="shared" si="215"/>
        <v>MATCH</v>
      </c>
    </row>
    <row r="495" spans="1:50" ht="15.6" hidden="1">
      <c r="A495" s="1" t="s">
        <v>3527</v>
      </c>
      <c r="B495" s="1">
        <f t="shared" si="189"/>
        <v>1</v>
      </c>
      <c r="C495" s="16">
        <v>45632</v>
      </c>
      <c r="D495" s="16">
        <v>45632</v>
      </c>
      <c r="E495" s="16" t="str">
        <f t="shared" si="208"/>
        <v>Dec</v>
      </c>
      <c r="F495" s="1">
        <f t="shared" si="209"/>
        <v>2024</v>
      </c>
      <c r="G495" t="s">
        <v>2106</v>
      </c>
      <c r="H495" s="17">
        <v>45701</v>
      </c>
      <c r="I495" s="21">
        <f t="shared" si="210"/>
        <v>69</v>
      </c>
      <c r="J495" s="6" t="str">
        <f t="shared" si="211"/>
        <v>OK</v>
      </c>
      <c r="K495" s="1" t="s">
        <v>3528</v>
      </c>
      <c r="L495" s="1" t="s">
        <v>153</v>
      </c>
      <c r="M495" s="1" t="str">
        <f t="shared" si="190"/>
        <v>Aarav Sharma</v>
      </c>
      <c r="N495" s="1" t="s">
        <v>40</v>
      </c>
      <c r="O495" s="1" t="str">
        <f t="shared" si="191"/>
        <v>Small Business</v>
      </c>
      <c r="P495" s="1" t="s">
        <v>60</v>
      </c>
      <c r="Q495" s="1" t="str">
        <f t="shared" si="192"/>
        <v>South</v>
      </c>
      <c r="R495" s="1" t="str">
        <f t="shared" si="193"/>
        <v>OK</v>
      </c>
      <c r="S495" s="1" t="s">
        <v>97</v>
      </c>
      <c r="T495" s="1" t="str">
        <f t="shared" si="194"/>
        <v>Andhra Pradesh</v>
      </c>
      <c r="U495" s="1" t="s">
        <v>98</v>
      </c>
      <c r="V495" s="1" t="str">
        <f t="shared" si="195"/>
        <v>Vijayawada</v>
      </c>
      <c r="W495" s="1" t="s">
        <v>29</v>
      </c>
      <c r="X495" s="1" t="str">
        <f t="shared" si="196"/>
        <v>Office Supplies</v>
      </c>
      <c r="Y495" s="1" t="s">
        <v>53</v>
      </c>
      <c r="Z495" s="1" t="str">
        <f t="shared" si="197"/>
        <v>Art</v>
      </c>
      <c r="AA495" s="1" t="s">
        <v>3529</v>
      </c>
      <c r="AB495" s="1" t="s">
        <v>65</v>
      </c>
      <c r="AC495" s="1" t="str">
        <f t="shared" si="198"/>
        <v>Standard Class</v>
      </c>
      <c r="AD495" s="1" t="str">
        <f t="shared" si="199"/>
        <v>OK</v>
      </c>
      <c r="AE495" s="1">
        <v>4</v>
      </c>
      <c r="AF495" s="1">
        <v>4176.13</v>
      </c>
      <c r="AG495" s="9">
        <v>0</v>
      </c>
      <c r="AH495" s="9">
        <f t="shared" si="200"/>
        <v>0</v>
      </c>
      <c r="AI495" s="1" t="str">
        <f t="shared" si="201"/>
        <v>OK</v>
      </c>
      <c r="AJ495" s="1">
        <v>16704.52</v>
      </c>
      <c r="AK495" s="1">
        <v>10158.280000000001</v>
      </c>
      <c r="AL495" s="1">
        <v>6546.24</v>
      </c>
      <c r="AM495" s="13">
        <f t="shared" si="202"/>
        <v>16704.52</v>
      </c>
      <c r="AN495" s="9">
        <f t="shared" si="203"/>
        <v>6546.24</v>
      </c>
      <c r="AO495" s="9">
        <f t="shared" si="212"/>
        <v>0.39188435225914897</v>
      </c>
      <c r="AP495" s="1" t="s">
        <v>33</v>
      </c>
      <c r="AQ495" s="1" t="str">
        <f t="shared" si="204"/>
        <v>Paid</v>
      </c>
      <c r="AR495" s="1" t="str">
        <f t="shared" si="205"/>
        <v>OK</v>
      </c>
      <c r="AS495" s="1" t="s">
        <v>34</v>
      </c>
      <c r="AT495" s="4" t="str">
        <f t="shared" si="206"/>
        <v>Completed</v>
      </c>
      <c r="AU495" s="3" t="str">
        <f t="shared" si="207"/>
        <v>OK</v>
      </c>
      <c r="AV495" s="3" t="str">
        <f t="shared" si="213"/>
        <v>CLEAN</v>
      </c>
      <c r="AW495" t="str">
        <f t="shared" si="214"/>
        <v>MATCH</v>
      </c>
      <c r="AX495" t="str">
        <f t="shared" si="215"/>
        <v>MATCH</v>
      </c>
    </row>
    <row r="496" spans="1:50" ht="15.6" hidden="1">
      <c r="A496" s="1" t="s">
        <v>3536</v>
      </c>
      <c r="B496" s="1">
        <f t="shared" si="189"/>
        <v>1</v>
      </c>
      <c r="C496" s="16">
        <v>45427</v>
      </c>
      <c r="D496" s="16">
        <v>45427</v>
      </c>
      <c r="E496" s="16" t="str">
        <f t="shared" si="208"/>
        <v>May</v>
      </c>
      <c r="F496" s="1">
        <f t="shared" si="209"/>
        <v>2024</v>
      </c>
      <c r="G496" t="s">
        <v>2111</v>
      </c>
      <c r="H496" s="17">
        <v>45618</v>
      </c>
      <c r="I496" s="21">
        <f t="shared" si="210"/>
        <v>191</v>
      </c>
      <c r="J496" s="6" t="str">
        <f t="shared" si="211"/>
        <v>OK</v>
      </c>
      <c r="K496" s="1" t="s">
        <v>3537</v>
      </c>
      <c r="L496" s="1" t="s">
        <v>24</v>
      </c>
      <c r="M496" s="1" t="str">
        <f t="shared" si="190"/>
        <v>Karan Malhotra</v>
      </c>
      <c r="N496" s="1" t="s">
        <v>25</v>
      </c>
      <c r="O496" s="1" t="str">
        <f t="shared" si="191"/>
        <v>Consumer</v>
      </c>
      <c r="P496" s="1" t="s">
        <v>71</v>
      </c>
      <c r="Q496" s="1" t="str">
        <f t="shared" si="192"/>
        <v>West</v>
      </c>
      <c r="R496" s="1" t="str">
        <f t="shared" si="193"/>
        <v>OK</v>
      </c>
      <c r="S496" s="1" t="s">
        <v>230</v>
      </c>
      <c r="T496" s="1" t="str">
        <f t="shared" si="194"/>
        <v>Goa</v>
      </c>
      <c r="U496" s="1" t="s">
        <v>231</v>
      </c>
      <c r="V496" s="1" t="str">
        <f t="shared" si="195"/>
        <v>Panaji</v>
      </c>
      <c r="W496" s="1" t="s">
        <v>29</v>
      </c>
      <c r="X496" s="1" t="str">
        <f t="shared" si="196"/>
        <v>Office Supplies</v>
      </c>
      <c r="Y496" s="1" t="s">
        <v>148</v>
      </c>
      <c r="Z496" s="1" t="str">
        <f t="shared" si="197"/>
        <v>Storage</v>
      </c>
      <c r="AA496" s="1" t="s">
        <v>3538</v>
      </c>
      <c r="AB496" s="1" t="s">
        <v>65</v>
      </c>
      <c r="AC496" s="1" t="str">
        <f t="shared" si="198"/>
        <v>Standard Class</v>
      </c>
      <c r="AD496" s="1" t="str">
        <f t="shared" si="199"/>
        <v>OK</v>
      </c>
      <c r="AE496" s="1">
        <v>6</v>
      </c>
      <c r="AF496" s="1">
        <v>2909.56</v>
      </c>
      <c r="AG496" s="9">
        <v>0.2</v>
      </c>
      <c r="AH496" s="9">
        <f t="shared" si="200"/>
        <v>0.2</v>
      </c>
      <c r="AI496" s="1" t="str">
        <f t="shared" si="201"/>
        <v>OK</v>
      </c>
      <c r="AJ496" s="1">
        <v>13965.89</v>
      </c>
      <c r="AK496" s="1">
        <v>11646.12</v>
      </c>
      <c r="AL496" s="1">
        <v>2319.77</v>
      </c>
      <c r="AM496" s="13">
        <f t="shared" si="202"/>
        <v>13965.888000000001</v>
      </c>
      <c r="AN496" s="9">
        <f t="shared" si="203"/>
        <v>2319.768</v>
      </c>
      <c r="AO496" s="9">
        <f t="shared" si="212"/>
        <v>0.16610243473239938</v>
      </c>
      <c r="AP496" s="1" t="s">
        <v>33</v>
      </c>
      <c r="AQ496" s="1" t="str">
        <f t="shared" si="204"/>
        <v>Paid</v>
      </c>
      <c r="AR496" s="1" t="str">
        <f t="shared" si="205"/>
        <v>OK</v>
      </c>
      <c r="AS496" s="1" t="s">
        <v>34</v>
      </c>
      <c r="AT496" s="4" t="str">
        <f t="shared" si="206"/>
        <v>Completed</v>
      </c>
      <c r="AU496" s="3" t="str">
        <f t="shared" si="207"/>
        <v>OK</v>
      </c>
      <c r="AV496" s="3" t="str">
        <f t="shared" si="213"/>
        <v>CLEAN</v>
      </c>
      <c r="AW496" t="str">
        <f t="shared" si="214"/>
        <v>MATCH</v>
      </c>
      <c r="AX496" t="str">
        <f t="shared" si="215"/>
        <v>MATCH</v>
      </c>
    </row>
    <row r="497" spans="1:50" ht="15.6">
      <c r="A497" s="1" t="s">
        <v>3539</v>
      </c>
      <c r="B497" s="1">
        <f t="shared" si="189"/>
        <v>1</v>
      </c>
      <c r="C497" s="16">
        <v>45514</v>
      </c>
      <c r="D497" s="16">
        <v>45514</v>
      </c>
      <c r="E497" s="16" t="str">
        <f t="shared" si="208"/>
        <v>Aug</v>
      </c>
      <c r="F497" s="1">
        <f t="shared" si="209"/>
        <v>2024</v>
      </c>
      <c r="G497" t="s">
        <v>2115</v>
      </c>
      <c r="H497" s="17">
        <v>45427</v>
      </c>
      <c r="I497" s="21">
        <f t="shared" si="210"/>
        <v>-87</v>
      </c>
      <c r="J497" s="6" t="str">
        <f t="shared" si="211"/>
        <v>INVALID_SHIPPING</v>
      </c>
      <c r="K497" s="1" t="s">
        <v>3540</v>
      </c>
      <c r="L497" s="1" t="s">
        <v>334</v>
      </c>
      <c r="M497" s="1" t="str">
        <f t="shared" si="190"/>
        <v>Kabir Singh</v>
      </c>
      <c r="N497" s="1" t="s">
        <v>104</v>
      </c>
      <c r="O497" s="1" t="str">
        <f t="shared" si="191"/>
        <v>Corporate</v>
      </c>
      <c r="P497" s="1" t="s">
        <v>60</v>
      </c>
      <c r="Q497" s="1" t="str">
        <f t="shared" si="192"/>
        <v>South</v>
      </c>
      <c r="R497" s="1" t="str">
        <f t="shared" si="193"/>
        <v>OK</v>
      </c>
      <c r="S497" s="1" t="s">
        <v>309</v>
      </c>
      <c r="T497" s="1" t="str">
        <f t="shared" si="194"/>
        <v>Tamil Nadu</v>
      </c>
      <c r="U497" s="1" t="s">
        <v>310</v>
      </c>
      <c r="V497" s="1" t="str">
        <f t="shared" si="195"/>
        <v>Chennai</v>
      </c>
      <c r="W497" s="1" t="s">
        <v>83</v>
      </c>
      <c r="X497" s="1" t="str">
        <f t="shared" si="196"/>
        <v>Technology</v>
      </c>
      <c r="Y497" s="1" t="s">
        <v>347</v>
      </c>
      <c r="Z497" s="1" t="str">
        <f t="shared" si="197"/>
        <v>Machines</v>
      </c>
      <c r="AA497" s="1" t="s">
        <v>3541</v>
      </c>
      <c r="AB497" s="1" t="s">
        <v>47</v>
      </c>
      <c r="AC497" s="1" t="str">
        <f t="shared" si="198"/>
        <v>Same Day</v>
      </c>
      <c r="AD497" s="1" t="str">
        <f t="shared" si="199"/>
        <v>OK</v>
      </c>
      <c r="AE497" s="1">
        <v>5</v>
      </c>
      <c r="AF497" s="1">
        <v>2407.9699999999998</v>
      </c>
      <c r="AG497" s="9">
        <v>0.1</v>
      </c>
      <c r="AH497" s="9">
        <f t="shared" si="200"/>
        <v>0.1</v>
      </c>
      <c r="AI497" s="1" t="str">
        <f t="shared" si="201"/>
        <v>OK</v>
      </c>
      <c r="AJ497" s="1">
        <v>10835.86</v>
      </c>
      <c r="AK497" s="1">
        <v>6419.92</v>
      </c>
      <c r="AL497" s="1">
        <v>4415.9399999999996</v>
      </c>
      <c r="AM497" s="13">
        <f t="shared" si="202"/>
        <v>10835.865</v>
      </c>
      <c r="AN497" s="9">
        <f t="shared" si="203"/>
        <v>4415.9449999999997</v>
      </c>
      <c r="AO497" s="9">
        <f t="shared" si="212"/>
        <v>0.40753045557507406</v>
      </c>
      <c r="AP497" s="1" t="s">
        <v>186</v>
      </c>
      <c r="AQ497" s="1" t="str">
        <f t="shared" si="204"/>
        <v>Failed</v>
      </c>
      <c r="AR497" s="1" t="str">
        <f t="shared" si="205"/>
        <v>EXCLUDE_FROM_SALES</v>
      </c>
      <c r="AS497" s="1" t="s">
        <v>76</v>
      </c>
      <c r="AT497" s="4" t="str">
        <f t="shared" si="206"/>
        <v>Cancelled</v>
      </c>
      <c r="AU497" s="3" t="str">
        <f t="shared" si="207"/>
        <v>EXCLUDE_FROM_SALES</v>
      </c>
      <c r="AV497" s="3" t="str">
        <f t="shared" si="213"/>
        <v>INVALID</v>
      </c>
      <c r="AW497" t="str">
        <f t="shared" si="214"/>
        <v>MISMATCH</v>
      </c>
      <c r="AX497" t="str">
        <f t="shared" si="215"/>
        <v>MISMATCH</v>
      </c>
    </row>
    <row r="498" spans="1:50" ht="15.6" hidden="1">
      <c r="A498" s="1" t="s">
        <v>3545</v>
      </c>
      <c r="B498" s="1">
        <f t="shared" si="189"/>
        <v>1</v>
      </c>
      <c r="C498" s="16">
        <v>45449</v>
      </c>
      <c r="D498" s="16">
        <v>45449</v>
      </c>
      <c r="E498" s="16" t="str">
        <f t="shared" si="208"/>
        <v>Jun</v>
      </c>
      <c r="F498" s="1">
        <f t="shared" si="209"/>
        <v>2024</v>
      </c>
      <c r="G498" t="s">
        <v>2120</v>
      </c>
      <c r="H498" s="17">
        <v>45844</v>
      </c>
      <c r="I498" s="21">
        <f t="shared" si="210"/>
        <v>395</v>
      </c>
      <c r="J498" s="6" t="str">
        <f t="shared" si="211"/>
        <v>OK</v>
      </c>
      <c r="K498" s="1" t="s">
        <v>3547</v>
      </c>
      <c r="L498" s="1" t="s">
        <v>153</v>
      </c>
      <c r="M498" s="1" t="str">
        <f t="shared" si="190"/>
        <v>Aarav Sharma</v>
      </c>
      <c r="N498" s="1" t="s">
        <v>104</v>
      </c>
      <c r="O498" s="1" t="str">
        <f t="shared" si="191"/>
        <v>Corporate</v>
      </c>
      <c r="P498" s="1" t="s">
        <v>60</v>
      </c>
      <c r="Q498" s="1" t="str">
        <f t="shared" si="192"/>
        <v>South</v>
      </c>
      <c r="R498" s="1" t="str">
        <f t="shared" si="193"/>
        <v>OK</v>
      </c>
      <c r="S498" s="1" t="s">
        <v>212</v>
      </c>
      <c r="T498" s="1" t="str">
        <f t="shared" si="194"/>
        <v>Karnataka</v>
      </c>
      <c r="U498" s="1" t="s">
        <v>213</v>
      </c>
      <c r="V498" s="1" t="str">
        <f t="shared" si="195"/>
        <v>Bengaluru</v>
      </c>
      <c r="W498" s="1" t="s">
        <v>44</v>
      </c>
      <c r="X498" s="1" t="str">
        <f t="shared" si="196"/>
        <v>Furniture</v>
      </c>
      <c r="Y498" s="1" t="s">
        <v>45</v>
      </c>
      <c r="Z498" s="1" t="str">
        <f t="shared" si="197"/>
        <v>Tables</v>
      </c>
      <c r="AA498" s="1" t="s">
        <v>3548</v>
      </c>
      <c r="AB498" s="1" t="s">
        <v>32</v>
      </c>
      <c r="AC498" s="1" t="str">
        <f t="shared" si="198"/>
        <v>Second Class</v>
      </c>
      <c r="AD498" s="1" t="str">
        <f t="shared" si="199"/>
        <v>OK</v>
      </c>
      <c r="AE498" s="1">
        <v>3</v>
      </c>
      <c r="AF498" s="1">
        <v>395.49</v>
      </c>
      <c r="AG498" s="9">
        <v>0.05</v>
      </c>
      <c r="AH498" s="9">
        <f t="shared" si="200"/>
        <v>0.05</v>
      </c>
      <c r="AI498" s="1" t="str">
        <f t="shared" si="201"/>
        <v>OK</v>
      </c>
      <c r="AJ498" s="1">
        <v>1127.1500000000001</v>
      </c>
      <c r="AK498" s="1">
        <v>845.62</v>
      </c>
      <c r="AL498" s="1">
        <v>281.52999999999997</v>
      </c>
      <c r="AM498" s="13">
        <f t="shared" si="202"/>
        <v>1127.1465000000001</v>
      </c>
      <c r="AN498" s="9">
        <f t="shared" si="203"/>
        <v>281.52650000000006</v>
      </c>
      <c r="AO498" s="9">
        <f t="shared" si="212"/>
        <v>0.24976921810962466</v>
      </c>
      <c r="AP498" s="1" t="s">
        <v>33</v>
      </c>
      <c r="AQ498" s="1" t="str">
        <f t="shared" si="204"/>
        <v>Paid</v>
      </c>
      <c r="AR498" s="1" t="str">
        <f t="shared" si="205"/>
        <v>OK</v>
      </c>
      <c r="AS498" s="1" t="s">
        <v>120</v>
      </c>
      <c r="AT498" s="4" t="str">
        <f t="shared" si="206"/>
        <v>Returned</v>
      </c>
      <c r="AU498" s="3" t="str">
        <f t="shared" si="207"/>
        <v>RETURNED_ORDER</v>
      </c>
      <c r="AV498" s="3" t="str">
        <f t="shared" si="213"/>
        <v>CLEAN</v>
      </c>
      <c r="AW498" t="str">
        <f t="shared" si="214"/>
        <v>MATCH</v>
      </c>
      <c r="AX498" t="str">
        <f t="shared" si="215"/>
        <v>MATCH</v>
      </c>
    </row>
    <row r="499" spans="1:50" ht="15.6" hidden="1">
      <c r="A499" s="1" t="s">
        <v>3549</v>
      </c>
      <c r="B499" s="1">
        <f t="shared" si="189"/>
        <v>1</v>
      </c>
      <c r="C499" s="16">
        <v>45344</v>
      </c>
      <c r="D499" s="16">
        <v>45344</v>
      </c>
      <c r="E499" s="16" t="str">
        <f t="shared" si="208"/>
        <v>Feb</v>
      </c>
      <c r="F499" s="1">
        <f t="shared" si="209"/>
        <v>2024</v>
      </c>
      <c r="G499" t="s">
        <v>2124</v>
      </c>
      <c r="H499" s="17">
        <v>45533</v>
      </c>
      <c r="I499" s="21">
        <f t="shared" si="210"/>
        <v>189</v>
      </c>
      <c r="J499" s="6" t="str">
        <f t="shared" si="211"/>
        <v>OK</v>
      </c>
      <c r="K499" s="1" t="s">
        <v>3551</v>
      </c>
      <c r="L499" s="1" t="s">
        <v>52</v>
      </c>
      <c r="M499" s="1" t="str">
        <f t="shared" si="190"/>
        <v>Isha Nair</v>
      </c>
      <c r="N499" s="1" t="s">
        <v>110</v>
      </c>
      <c r="O499" s="1" t="str">
        <f t="shared" si="191"/>
        <v>Home Office</v>
      </c>
      <c r="P499" s="1" t="s">
        <v>60</v>
      </c>
      <c r="Q499" s="1" t="str">
        <f t="shared" si="192"/>
        <v>South</v>
      </c>
      <c r="R499" s="1" t="str">
        <f t="shared" si="193"/>
        <v>OK</v>
      </c>
      <c r="S499" s="1" t="s">
        <v>61</v>
      </c>
      <c r="T499" s="1" t="str">
        <f t="shared" si="194"/>
        <v>Telangana</v>
      </c>
      <c r="U499" s="1" t="s">
        <v>62</v>
      </c>
      <c r="V499" s="1" t="str">
        <f t="shared" si="195"/>
        <v>Hyderabad</v>
      </c>
      <c r="W499" s="1" t="s">
        <v>44</v>
      </c>
      <c r="X499" s="1" t="str">
        <f t="shared" si="196"/>
        <v>Furniture</v>
      </c>
      <c r="Y499" s="1" t="s">
        <v>45</v>
      </c>
      <c r="Z499" s="1" t="str">
        <f t="shared" si="197"/>
        <v>Tables</v>
      </c>
      <c r="AA499" s="1" t="s">
        <v>3552</v>
      </c>
      <c r="AB499" s="1" t="s">
        <v>55</v>
      </c>
      <c r="AC499" s="1" t="str">
        <f t="shared" si="198"/>
        <v>First Class</v>
      </c>
      <c r="AD499" s="1" t="str">
        <f t="shared" si="199"/>
        <v>OK</v>
      </c>
      <c r="AE499" s="1">
        <v>6</v>
      </c>
      <c r="AF499" s="1">
        <v>4254.05</v>
      </c>
      <c r="AG499" s="9">
        <v>0</v>
      </c>
      <c r="AH499" s="9">
        <f t="shared" si="200"/>
        <v>0</v>
      </c>
      <c r="AI499" s="1" t="str">
        <f t="shared" si="201"/>
        <v>OK</v>
      </c>
      <c r="AJ499" s="1">
        <v>25524.3</v>
      </c>
      <c r="AK499" s="1">
        <v>16711.93</v>
      </c>
      <c r="AL499" s="1">
        <v>8812.3700000000008</v>
      </c>
      <c r="AM499" s="13">
        <f t="shared" si="202"/>
        <v>25524.300000000003</v>
      </c>
      <c r="AN499" s="9">
        <f t="shared" si="203"/>
        <v>8812.3700000000026</v>
      </c>
      <c r="AO499" s="9">
        <f t="shared" si="212"/>
        <v>0.34525413037771857</v>
      </c>
      <c r="AP499" s="1" t="s">
        <v>33</v>
      </c>
      <c r="AQ499" s="1" t="str">
        <f t="shared" si="204"/>
        <v>Paid</v>
      </c>
      <c r="AR499" s="1" t="str">
        <f t="shared" si="205"/>
        <v>OK</v>
      </c>
      <c r="AS499" s="1" t="s">
        <v>34</v>
      </c>
      <c r="AT499" s="4" t="str">
        <f t="shared" si="206"/>
        <v>Completed</v>
      </c>
      <c r="AU499" s="3" t="str">
        <f t="shared" si="207"/>
        <v>OK</v>
      </c>
      <c r="AV499" s="3" t="str">
        <f t="shared" si="213"/>
        <v>CLEAN</v>
      </c>
      <c r="AW499" t="str">
        <f t="shared" si="214"/>
        <v>MATCH</v>
      </c>
      <c r="AX499" t="str">
        <f t="shared" si="215"/>
        <v>MATCH</v>
      </c>
    </row>
    <row r="500" spans="1:50" ht="15.6" hidden="1">
      <c r="A500" s="1" t="s">
        <v>3553</v>
      </c>
      <c r="B500" s="1">
        <f t="shared" si="189"/>
        <v>1</v>
      </c>
      <c r="C500" s="16">
        <v>45423</v>
      </c>
      <c r="D500" s="16">
        <v>45423</v>
      </c>
      <c r="E500" s="16" t="str">
        <f t="shared" si="208"/>
        <v>May</v>
      </c>
      <c r="F500" s="1">
        <f t="shared" si="209"/>
        <v>2024</v>
      </c>
      <c r="G500" t="s">
        <v>2128</v>
      </c>
      <c r="H500" s="17">
        <v>45910</v>
      </c>
      <c r="I500" s="21">
        <f t="shared" si="210"/>
        <v>487</v>
      </c>
      <c r="J500" s="6" t="str">
        <f t="shared" si="211"/>
        <v>OK</v>
      </c>
      <c r="K500" s="1" t="s">
        <v>3554</v>
      </c>
      <c r="L500" s="1" t="s">
        <v>59</v>
      </c>
      <c r="M500" s="1" t="str">
        <f t="shared" si="190"/>
        <v>Arjun Bose</v>
      </c>
      <c r="N500" s="1" t="s">
        <v>25</v>
      </c>
      <c r="O500" s="1" t="str">
        <f t="shared" si="191"/>
        <v>Consumer</v>
      </c>
      <c r="P500" s="1" t="s">
        <v>60</v>
      </c>
      <c r="Q500" s="1" t="str">
        <f t="shared" si="192"/>
        <v>South</v>
      </c>
      <c r="R500" s="1" t="str">
        <f t="shared" si="193"/>
        <v>OK</v>
      </c>
      <c r="S500" s="1" t="s">
        <v>224</v>
      </c>
      <c r="T500" s="1" t="str">
        <f t="shared" si="194"/>
        <v>Kerala</v>
      </c>
      <c r="U500" s="1" t="s">
        <v>225</v>
      </c>
      <c r="V500" s="1" t="str">
        <f t="shared" si="195"/>
        <v>Kochi</v>
      </c>
      <c r="W500" s="1" t="s">
        <v>44</v>
      </c>
      <c r="X500" s="1" t="str">
        <f t="shared" si="196"/>
        <v>Furniture</v>
      </c>
      <c r="Y500" s="1" t="s">
        <v>74</v>
      </c>
      <c r="Z500" s="1" t="str">
        <f t="shared" si="197"/>
        <v>Chairs</v>
      </c>
      <c r="AA500" s="1" t="s">
        <v>3555</v>
      </c>
      <c r="AB500" s="1" t="s">
        <v>47</v>
      </c>
      <c r="AC500" s="1" t="str">
        <f t="shared" si="198"/>
        <v>Same Day</v>
      </c>
      <c r="AD500" s="1" t="str">
        <f t="shared" si="199"/>
        <v>OK</v>
      </c>
      <c r="AE500" s="1">
        <v>4</v>
      </c>
      <c r="AF500" s="1">
        <v>711.18</v>
      </c>
      <c r="AG500" s="9">
        <v>0.15</v>
      </c>
      <c r="AH500" s="9">
        <f t="shared" si="200"/>
        <v>0.15</v>
      </c>
      <c r="AI500" s="1" t="str">
        <f t="shared" si="201"/>
        <v>OK</v>
      </c>
      <c r="AJ500" s="1">
        <v>2418.0100000000002</v>
      </c>
      <c r="AK500" s="1">
        <v>1441.89</v>
      </c>
      <c r="AL500" s="1">
        <v>976.12</v>
      </c>
      <c r="AM500" s="13">
        <f t="shared" si="202"/>
        <v>2418.0119999999997</v>
      </c>
      <c r="AN500" s="9">
        <f t="shared" si="203"/>
        <v>976.12199999999962</v>
      </c>
      <c r="AO500" s="9">
        <f t="shared" si="212"/>
        <v>0.40368782288921634</v>
      </c>
      <c r="AP500" s="1" t="s">
        <v>131</v>
      </c>
      <c r="AQ500" s="1" t="str">
        <f t="shared" si="204"/>
        <v>Pending</v>
      </c>
      <c r="AR500" s="1" t="str">
        <f t="shared" si="205"/>
        <v>OK</v>
      </c>
      <c r="AS500" s="1" t="s">
        <v>120</v>
      </c>
      <c r="AT500" s="4" t="str">
        <f t="shared" si="206"/>
        <v>Returned</v>
      </c>
      <c r="AU500" s="3" t="str">
        <f t="shared" si="207"/>
        <v>RETURNED_ORDER</v>
      </c>
      <c r="AV500" s="3" t="str">
        <f t="shared" si="213"/>
        <v>CLEAN</v>
      </c>
      <c r="AW500" t="str">
        <f t="shared" si="214"/>
        <v>MATCH</v>
      </c>
      <c r="AX500" t="str">
        <f t="shared" si="215"/>
        <v>MATCH</v>
      </c>
    </row>
    <row r="501" spans="1:50" ht="15.6" hidden="1">
      <c r="A501" s="1" t="s">
        <v>3556</v>
      </c>
      <c r="B501" s="1">
        <f t="shared" si="189"/>
        <v>1</v>
      </c>
      <c r="C501" s="16">
        <v>45650</v>
      </c>
      <c r="D501" s="16">
        <v>45650</v>
      </c>
      <c r="E501" s="16" t="str">
        <f t="shared" si="208"/>
        <v>Dec</v>
      </c>
      <c r="F501" s="1">
        <f t="shared" si="209"/>
        <v>2024</v>
      </c>
      <c r="G501" t="s">
        <v>1271</v>
      </c>
      <c r="H501" s="17">
        <v>45652</v>
      </c>
      <c r="I501" s="21">
        <f t="shared" si="210"/>
        <v>2</v>
      </c>
      <c r="J501" s="6" t="str">
        <f t="shared" si="211"/>
        <v>OK</v>
      </c>
      <c r="K501" s="1" t="s">
        <v>3557</v>
      </c>
      <c r="L501" s="1" t="s">
        <v>70</v>
      </c>
      <c r="M501" s="1" t="str">
        <f t="shared" si="190"/>
        <v>Ananya Rao</v>
      </c>
      <c r="N501" s="1" t="s">
        <v>40</v>
      </c>
      <c r="O501" s="1" t="str">
        <f t="shared" si="191"/>
        <v>Small Business</v>
      </c>
      <c r="P501" s="1" t="s">
        <v>60</v>
      </c>
      <c r="Q501" s="1" t="str">
        <f t="shared" si="192"/>
        <v>South</v>
      </c>
      <c r="R501" s="1" t="str">
        <f t="shared" si="193"/>
        <v>OK</v>
      </c>
      <c r="S501" s="1" t="s">
        <v>309</v>
      </c>
      <c r="T501" s="1" t="str">
        <f t="shared" si="194"/>
        <v>Tamil Nadu</v>
      </c>
      <c r="U501" s="1" t="s">
        <v>310</v>
      </c>
      <c r="V501" s="1" t="str">
        <f t="shared" si="195"/>
        <v>Chennai</v>
      </c>
      <c r="W501" s="1" t="s">
        <v>83</v>
      </c>
      <c r="X501" s="1" t="str">
        <f t="shared" si="196"/>
        <v>Technology</v>
      </c>
      <c r="Y501" s="1" t="s">
        <v>91</v>
      </c>
      <c r="Z501" s="1" t="str">
        <f t="shared" si="197"/>
        <v>Copiers</v>
      </c>
      <c r="AA501" s="1" t="s">
        <v>3558</v>
      </c>
      <c r="AB501" s="1" t="s">
        <v>32</v>
      </c>
      <c r="AC501" s="1" t="str">
        <f t="shared" si="198"/>
        <v>Second Class</v>
      </c>
      <c r="AD501" s="1" t="str">
        <f t="shared" si="199"/>
        <v>OK</v>
      </c>
      <c r="AE501" s="1">
        <v>1</v>
      </c>
      <c r="AF501" s="1">
        <v>3693.03</v>
      </c>
      <c r="AG501" s="9">
        <v>0.05</v>
      </c>
      <c r="AH501" s="9">
        <f t="shared" si="200"/>
        <v>0.05</v>
      </c>
      <c r="AI501" s="1" t="str">
        <f t="shared" si="201"/>
        <v>OK</v>
      </c>
      <c r="AJ501" s="1">
        <v>3508.38</v>
      </c>
      <c r="AK501" s="1">
        <v>2828.06</v>
      </c>
      <c r="AL501" s="1">
        <v>680.32</v>
      </c>
      <c r="AM501" s="13">
        <f t="shared" si="202"/>
        <v>3508.3784999999998</v>
      </c>
      <c r="AN501" s="9">
        <f t="shared" si="203"/>
        <v>680.31849999999986</v>
      </c>
      <c r="AO501" s="9">
        <f t="shared" si="212"/>
        <v>0.19391251542557336</v>
      </c>
      <c r="AP501" s="1" t="s">
        <v>186</v>
      </c>
      <c r="AQ501" s="1" t="str">
        <f t="shared" si="204"/>
        <v>Failed</v>
      </c>
      <c r="AR501" s="1" t="str">
        <f t="shared" si="205"/>
        <v>EXCLUDE_FROM_SALES</v>
      </c>
      <c r="AS501" s="1" t="s">
        <v>120</v>
      </c>
      <c r="AT501" s="4" t="str">
        <f t="shared" si="206"/>
        <v>Returned</v>
      </c>
      <c r="AU501" s="3" t="str">
        <f t="shared" si="207"/>
        <v>RETURNED_ORDER</v>
      </c>
      <c r="AV501" s="3" t="str">
        <f t="shared" si="213"/>
        <v>CLEAN</v>
      </c>
      <c r="AW501" t="str">
        <f t="shared" si="214"/>
        <v>MATCH</v>
      </c>
      <c r="AX501" t="str">
        <f t="shared" si="215"/>
        <v>MATCH</v>
      </c>
    </row>
    <row r="502" spans="1:50" ht="15.6" hidden="1">
      <c r="A502" s="1" t="s">
        <v>3562</v>
      </c>
      <c r="B502" s="1">
        <f t="shared" si="189"/>
        <v>1</v>
      </c>
      <c r="C502" s="16">
        <v>45328</v>
      </c>
      <c r="D502" s="16">
        <v>45328</v>
      </c>
      <c r="E502" s="16" t="str">
        <f t="shared" si="208"/>
        <v>Feb</v>
      </c>
      <c r="F502" s="1">
        <f t="shared" si="209"/>
        <v>2024</v>
      </c>
      <c r="G502" t="s">
        <v>2136</v>
      </c>
      <c r="H502" s="17">
        <v>45434</v>
      </c>
      <c r="I502" s="21">
        <f t="shared" si="210"/>
        <v>106</v>
      </c>
      <c r="J502" s="6" t="str">
        <f t="shared" si="211"/>
        <v>OK</v>
      </c>
      <c r="K502" s="1" t="s">
        <v>3563</v>
      </c>
      <c r="L502" s="1" t="s">
        <v>80</v>
      </c>
      <c r="M502" s="1" t="str">
        <f t="shared" si="190"/>
        <v>Vikram Iyer</v>
      </c>
      <c r="N502" s="1" t="s">
        <v>25</v>
      </c>
      <c r="O502" s="1" t="str">
        <f t="shared" si="191"/>
        <v>Consumer</v>
      </c>
      <c r="P502" s="1" t="s">
        <v>26</v>
      </c>
      <c r="Q502" s="1" t="str">
        <f t="shared" si="192"/>
        <v>North</v>
      </c>
      <c r="R502" s="1" t="str">
        <f t="shared" si="193"/>
        <v>OK</v>
      </c>
      <c r="S502" s="1" t="s">
        <v>454</v>
      </c>
      <c r="T502" s="1" t="str">
        <f t="shared" si="194"/>
        <v>Delhi</v>
      </c>
      <c r="U502" s="1" t="s">
        <v>455</v>
      </c>
      <c r="V502" s="1" t="str">
        <f t="shared" si="195"/>
        <v>New Delhi</v>
      </c>
      <c r="W502" s="1" t="s">
        <v>44</v>
      </c>
      <c r="X502" s="1" t="str">
        <f t="shared" si="196"/>
        <v>Furniture</v>
      </c>
      <c r="Y502" s="1" t="s">
        <v>45</v>
      </c>
      <c r="Z502" s="1" t="str">
        <f t="shared" si="197"/>
        <v>Tables</v>
      </c>
      <c r="AA502" s="1" t="s">
        <v>3564</v>
      </c>
      <c r="AB502" s="1" t="s">
        <v>55</v>
      </c>
      <c r="AC502" s="1" t="str">
        <f t="shared" si="198"/>
        <v>First Class</v>
      </c>
      <c r="AD502" s="1" t="str">
        <f t="shared" si="199"/>
        <v>OK</v>
      </c>
      <c r="AE502" s="1">
        <v>4</v>
      </c>
      <c r="AF502" s="1">
        <v>1536.7</v>
      </c>
      <c r="AG502" s="9">
        <v>0.2</v>
      </c>
      <c r="AH502" s="9">
        <f t="shared" si="200"/>
        <v>0.2</v>
      </c>
      <c r="AI502" s="1" t="str">
        <f t="shared" si="201"/>
        <v>OK</v>
      </c>
      <c r="AJ502" s="1">
        <v>4917.4399999999996</v>
      </c>
      <c r="AK502" s="1">
        <v>3846.77</v>
      </c>
      <c r="AL502" s="1">
        <v>1070.67</v>
      </c>
      <c r="AM502" s="13">
        <f t="shared" si="202"/>
        <v>4917.4400000000005</v>
      </c>
      <c r="AN502" s="9">
        <f t="shared" si="203"/>
        <v>1070.6700000000005</v>
      </c>
      <c r="AO502" s="9">
        <f t="shared" si="212"/>
        <v>0.21772914361944434</v>
      </c>
      <c r="AP502" s="1" t="s">
        <v>33</v>
      </c>
      <c r="AQ502" s="1" t="str">
        <f t="shared" si="204"/>
        <v>Paid</v>
      </c>
      <c r="AR502" s="1" t="str">
        <f t="shared" si="205"/>
        <v>OK</v>
      </c>
      <c r="AS502" s="1" t="s">
        <v>34</v>
      </c>
      <c r="AT502" s="4" t="str">
        <f t="shared" si="206"/>
        <v>Completed</v>
      </c>
      <c r="AU502" s="3" t="str">
        <f t="shared" si="207"/>
        <v>OK</v>
      </c>
      <c r="AV502" s="3" t="str">
        <f t="shared" si="213"/>
        <v>CLEAN</v>
      </c>
      <c r="AW502" t="str">
        <f t="shared" si="214"/>
        <v>MATCH</v>
      </c>
      <c r="AX502" t="str">
        <f t="shared" si="215"/>
        <v>MATCH</v>
      </c>
    </row>
    <row r="503" spans="1:50">
      <c r="A503" s="1" t="s">
        <v>66</v>
      </c>
      <c r="B503" s="1">
        <f t="shared" si="189"/>
        <v>1</v>
      </c>
      <c r="C503" s="16">
        <v>45898</v>
      </c>
      <c r="D503" s="16">
        <v>45898</v>
      </c>
      <c r="E503" s="16" t="str">
        <f t="shared" si="208"/>
        <v>Aug</v>
      </c>
      <c r="F503" s="1">
        <f t="shared" si="209"/>
        <v>2025</v>
      </c>
      <c r="G503" t="s">
        <v>2140</v>
      </c>
      <c r="H503" s="17">
        <v>45521</v>
      </c>
      <c r="I503" s="21">
        <f t="shared" si="210"/>
        <v>-377</v>
      </c>
      <c r="J503" s="6" t="str">
        <f t="shared" si="211"/>
        <v>INVALID_SHIPPING</v>
      </c>
      <c r="K503" s="1" t="s">
        <v>69</v>
      </c>
      <c r="L503" s="1" t="s">
        <v>70</v>
      </c>
      <c r="M503" s="1" t="str">
        <f t="shared" si="190"/>
        <v>Ananya Rao</v>
      </c>
      <c r="N503" s="1" t="s">
        <v>40</v>
      </c>
      <c r="O503" s="1" t="str">
        <f t="shared" si="191"/>
        <v>Small Business</v>
      </c>
      <c r="P503" s="1" t="s">
        <v>71</v>
      </c>
      <c r="Q503" s="1" t="str">
        <f t="shared" si="192"/>
        <v>West</v>
      </c>
      <c r="R503" s="1" t="str">
        <f t="shared" si="193"/>
        <v>OK</v>
      </c>
      <c r="S503" s="1" t="s">
        <v>72</v>
      </c>
      <c r="T503" s="1" t="str">
        <f t="shared" si="194"/>
        <v>Maharashtra</v>
      </c>
      <c r="U503" s="1" t="s">
        <v>73</v>
      </c>
      <c r="V503" s="1" t="str">
        <f t="shared" si="195"/>
        <v>Mumbai</v>
      </c>
      <c r="W503" s="1" t="s">
        <v>44</v>
      </c>
      <c r="X503" s="1" t="str">
        <f t="shared" si="196"/>
        <v>Furniture</v>
      </c>
      <c r="Y503" s="1" t="s">
        <v>74</v>
      </c>
      <c r="Z503" s="1" t="str">
        <f t="shared" si="197"/>
        <v>Chairs</v>
      </c>
      <c r="AA503" s="1" t="s">
        <v>75</v>
      </c>
      <c r="AB503" s="1" t="s">
        <v>55</v>
      </c>
      <c r="AC503" s="1" t="str">
        <f t="shared" si="198"/>
        <v>First Class</v>
      </c>
      <c r="AD503" s="1" t="str">
        <f t="shared" si="199"/>
        <v>OK</v>
      </c>
      <c r="AE503" s="1">
        <v>7</v>
      </c>
      <c r="AF503" s="1">
        <v>2973.76</v>
      </c>
      <c r="AG503" s="9">
        <v>0</v>
      </c>
      <c r="AH503" s="9">
        <f t="shared" si="200"/>
        <v>0</v>
      </c>
      <c r="AI503" s="1" t="str">
        <f t="shared" si="201"/>
        <v>OK</v>
      </c>
      <c r="AJ503" s="1">
        <v>20816.32</v>
      </c>
      <c r="AK503" s="1">
        <v>17705.37</v>
      </c>
      <c r="AL503" s="1">
        <v>3110.95</v>
      </c>
      <c r="AM503" s="13">
        <f t="shared" si="202"/>
        <v>20816.32</v>
      </c>
      <c r="AN503" s="9">
        <f t="shared" si="203"/>
        <v>3110.9500000000007</v>
      </c>
      <c r="AO503" s="9">
        <f t="shared" si="212"/>
        <v>0.14944764492475138</v>
      </c>
      <c r="AP503" s="1" t="s">
        <v>33</v>
      </c>
      <c r="AQ503" s="1" t="str">
        <f t="shared" si="204"/>
        <v>Paid</v>
      </c>
      <c r="AR503" s="1" t="str">
        <f t="shared" si="205"/>
        <v>OK</v>
      </c>
      <c r="AS503" s="1" t="s">
        <v>76</v>
      </c>
      <c r="AT503" s="3" t="str">
        <f t="shared" si="206"/>
        <v>Cancelled</v>
      </c>
      <c r="AU503" s="3" t="str">
        <f t="shared" si="207"/>
        <v>EXCLUDE_FROM_SALES</v>
      </c>
      <c r="AV503" s="3" t="str">
        <f t="shared" si="213"/>
        <v>INVALID</v>
      </c>
      <c r="AW503" t="str">
        <f t="shared" si="214"/>
        <v>MATCH</v>
      </c>
      <c r="AX503" t="str">
        <f t="shared" si="215"/>
        <v>MATCH</v>
      </c>
    </row>
    <row r="504" spans="1:50">
      <c r="A504" s="1" t="s">
        <v>86</v>
      </c>
      <c r="B504" s="1">
        <f t="shared" si="189"/>
        <v>2</v>
      </c>
      <c r="C504" s="16">
        <v>45934</v>
      </c>
      <c r="D504" s="16">
        <v>45934</v>
      </c>
      <c r="E504" s="16" t="str">
        <f t="shared" si="208"/>
        <v>Oct</v>
      </c>
      <c r="F504" s="1">
        <f t="shared" si="209"/>
        <v>2025</v>
      </c>
      <c r="G504" t="s">
        <v>2143</v>
      </c>
      <c r="H504" s="17">
        <v>45391</v>
      </c>
      <c r="I504" s="21">
        <f t="shared" si="210"/>
        <v>-543</v>
      </c>
      <c r="J504" s="6" t="str">
        <f t="shared" si="211"/>
        <v>INVALID_SHIPPING</v>
      </c>
      <c r="K504" s="1" t="s">
        <v>89</v>
      </c>
      <c r="L504" s="1" t="s">
        <v>90</v>
      </c>
      <c r="M504" s="1" t="str">
        <f t="shared" si="190"/>
        <v>Neha Gupta</v>
      </c>
      <c r="N504" s="1" t="s">
        <v>25</v>
      </c>
      <c r="O504" s="1" t="str">
        <f t="shared" si="191"/>
        <v>Consumer</v>
      </c>
      <c r="P504" s="1" t="s">
        <v>41</v>
      </c>
      <c r="Q504" s="1" t="str">
        <f t="shared" si="192"/>
        <v>East</v>
      </c>
      <c r="R504" s="1" t="str">
        <f t="shared" si="193"/>
        <v>OK</v>
      </c>
      <c r="S504" s="1" t="s">
        <v>42</v>
      </c>
      <c r="T504" s="1" t="str">
        <f t="shared" si="194"/>
        <v>Odisha</v>
      </c>
      <c r="U504" s="1" t="s">
        <v>43</v>
      </c>
      <c r="V504" s="1" t="str">
        <f t="shared" si="195"/>
        <v>Bhubaneswar</v>
      </c>
      <c r="W504" s="1" t="s">
        <v>83</v>
      </c>
      <c r="X504" s="1" t="str">
        <f t="shared" si="196"/>
        <v>Technology</v>
      </c>
      <c r="Y504" s="1" t="s">
        <v>91</v>
      </c>
      <c r="Z504" s="1" t="str">
        <f t="shared" si="197"/>
        <v>Copiers</v>
      </c>
      <c r="AA504" s="1" t="s">
        <v>92</v>
      </c>
      <c r="AB504" s="1" t="s">
        <v>65</v>
      </c>
      <c r="AC504" s="1" t="str">
        <f t="shared" si="198"/>
        <v>Standard Class</v>
      </c>
      <c r="AD504" s="1" t="str">
        <f t="shared" si="199"/>
        <v>OK</v>
      </c>
      <c r="AE504" s="1">
        <v>4</v>
      </c>
      <c r="AF504" s="1">
        <v>1719.87</v>
      </c>
      <c r="AG504" s="9">
        <v>0.15</v>
      </c>
      <c r="AH504" s="9">
        <f t="shared" si="200"/>
        <v>0.15</v>
      </c>
      <c r="AI504" s="1" t="str">
        <f t="shared" si="201"/>
        <v>OK</v>
      </c>
      <c r="AJ504" s="1">
        <v>5847.56</v>
      </c>
      <c r="AK504" s="1">
        <v>4727.25</v>
      </c>
      <c r="AL504" s="1">
        <v>1120.31</v>
      </c>
      <c r="AM504" s="13">
        <f t="shared" si="202"/>
        <v>5847.5579999999991</v>
      </c>
      <c r="AN504" s="9">
        <f t="shared" si="203"/>
        <v>1120.3079999999991</v>
      </c>
      <c r="AO504" s="9">
        <f t="shared" si="212"/>
        <v>0.19158561573908275</v>
      </c>
      <c r="AP504" s="1" t="s">
        <v>33</v>
      </c>
      <c r="AQ504" s="1" t="str">
        <f t="shared" si="204"/>
        <v>Paid</v>
      </c>
      <c r="AR504" s="1" t="str">
        <f t="shared" si="205"/>
        <v>OK</v>
      </c>
      <c r="AS504" s="1" t="s">
        <v>34</v>
      </c>
      <c r="AT504" s="3" t="str">
        <f t="shared" si="206"/>
        <v>Completed</v>
      </c>
      <c r="AU504" s="3" t="str">
        <f t="shared" si="207"/>
        <v>OK</v>
      </c>
      <c r="AV504" s="3" t="str">
        <f t="shared" si="213"/>
        <v>INVALID</v>
      </c>
      <c r="AW504" t="str">
        <f t="shared" si="214"/>
        <v>MATCH</v>
      </c>
      <c r="AX504" t="str">
        <f t="shared" si="215"/>
        <v>MATCH</v>
      </c>
    </row>
    <row r="505" spans="1:50" ht="15.6">
      <c r="A505" s="1" t="s">
        <v>86</v>
      </c>
      <c r="B505" s="1">
        <f t="shared" si="189"/>
        <v>2</v>
      </c>
      <c r="C505" s="16">
        <v>45934</v>
      </c>
      <c r="D505" s="16">
        <v>45934</v>
      </c>
      <c r="E505" s="16" t="str">
        <f t="shared" si="208"/>
        <v>Oct</v>
      </c>
      <c r="F505" s="1">
        <f t="shared" si="209"/>
        <v>2025</v>
      </c>
      <c r="G505" t="s">
        <v>2147</v>
      </c>
      <c r="H505" s="17">
        <v>45570</v>
      </c>
      <c r="I505" s="21">
        <f t="shared" si="210"/>
        <v>-364</v>
      </c>
      <c r="J505" s="6" t="str">
        <f t="shared" si="211"/>
        <v>INVALID_SHIPPING</v>
      </c>
      <c r="K505" s="1" t="s">
        <v>89</v>
      </c>
      <c r="L505" s="1" t="s">
        <v>90</v>
      </c>
      <c r="M505" s="1" t="str">
        <f t="shared" si="190"/>
        <v>Neha Gupta</v>
      </c>
      <c r="N505" s="1" t="s">
        <v>25</v>
      </c>
      <c r="O505" s="1" t="str">
        <f t="shared" si="191"/>
        <v>Consumer</v>
      </c>
      <c r="P505" s="1" t="s">
        <v>41</v>
      </c>
      <c r="Q505" s="1" t="str">
        <f t="shared" si="192"/>
        <v>East</v>
      </c>
      <c r="R505" s="1" t="str">
        <f t="shared" si="193"/>
        <v>OK</v>
      </c>
      <c r="S505" s="1" t="s">
        <v>42</v>
      </c>
      <c r="T505" s="1" t="str">
        <f t="shared" si="194"/>
        <v>Odisha</v>
      </c>
      <c r="U505" s="1" t="s">
        <v>43</v>
      </c>
      <c r="V505" s="1" t="str">
        <f t="shared" si="195"/>
        <v>Bhubaneswar</v>
      </c>
      <c r="W505" s="1" t="s">
        <v>83</v>
      </c>
      <c r="X505" s="1" t="str">
        <f t="shared" si="196"/>
        <v>Technology</v>
      </c>
      <c r="Y505" s="1" t="s">
        <v>91</v>
      </c>
      <c r="Z505" s="1" t="str">
        <f t="shared" si="197"/>
        <v>Copiers</v>
      </c>
      <c r="AA505" s="1" t="s">
        <v>92</v>
      </c>
      <c r="AB505" s="1" t="s">
        <v>65</v>
      </c>
      <c r="AC505" s="1" t="str">
        <f t="shared" si="198"/>
        <v>Standard Class</v>
      </c>
      <c r="AD505" s="1" t="str">
        <f t="shared" si="199"/>
        <v>OK</v>
      </c>
      <c r="AE505" s="1">
        <v>4</v>
      </c>
      <c r="AF505" s="1">
        <v>1719.87</v>
      </c>
      <c r="AG505" s="9">
        <v>0.15</v>
      </c>
      <c r="AH505" s="9">
        <f t="shared" si="200"/>
        <v>0.15</v>
      </c>
      <c r="AI505" s="1" t="str">
        <f t="shared" si="201"/>
        <v>OK</v>
      </c>
      <c r="AJ505" s="1">
        <v>5847.56</v>
      </c>
      <c r="AK505" s="1">
        <v>4727.25</v>
      </c>
      <c r="AL505" s="1">
        <v>1120.31</v>
      </c>
      <c r="AM505" s="13">
        <f t="shared" si="202"/>
        <v>5847.5579999999991</v>
      </c>
      <c r="AN505" s="9">
        <f t="shared" si="203"/>
        <v>1120.3079999999991</v>
      </c>
      <c r="AO505" s="9">
        <f t="shared" si="212"/>
        <v>0.19158561573908275</v>
      </c>
      <c r="AP505" s="1" t="s">
        <v>33</v>
      </c>
      <c r="AQ505" s="1" t="str">
        <f t="shared" si="204"/>
        <v>Paid</v>
      </c>
      <c r="AR505" s="1" t="str">
        <f t="shared" si="205"/>
        <v>OK</v>
      </c>
      <c r="AS505" s="1" t="s">
        <v>34</v>
      </c>
      <c r="AT505" s="4" t="str">
        <f t="shared" si="206"/>
        <v>Completed</v>
      </c>
      <c r="AU505" s="3" t="str">
        <f t="shared" si="207"/>
        <v>OK</v>
      </c>
      <c r="AV505" s="3" t="str">
        <f t="shared" si="213"/>
        <v>INVALID</v>
      </c>
      <c r="AW505" t="str">
        <f t="shared" si="214"/>
        <v>MATCH</v>
      </c>
      <c r="AX505" t="str">
        <f t="shared" si="215"/>
        <v>MATCH</v>
      </c>
    </row>
    <row r="506" spans="1:50">
      <c r="A506" s="1" t="s">
        <v>93</v>
      </c>
      <c r="B506" s="1">
        <f t="shared" si="189"/>
        <v>1</v>
      </c>
      <c r="C506" s="16">
        <v>45711</v>
      </c>
      <c r="D506" s="16">
        <v>45711</v>
      </c>
      <c r="E506" s="16" t="str">
        <f t="shared" si="208"/>
        <v>Feb</v>
      </c>
      <c r="F506" s="1">
        <f t="shared" si="209"/>
        <v>2025</v>
      </c>
      <c r="G506" t="s">
        <v>2151</v>
      </c>
      <c r="H506" s="17">
        <v>45705</v>
      </c>
      <c r="I506" s="21">
        <f t="shared" si="210"/>
        <v>-6</v>
      </c>
      <c r="J506" s="6" t="str">
        <f t="shared" si="211"/>
        <v>INVALID_SHIPPING</v>
      </c>
      <c r="K506" s="1" t="s">
        <v>96</v>
      </c>
      <c r="L506" s="1" t="s">
        <v>52</v>
      </c>
      <c r="M506" s="1" t="str">
        <f t="shared" si="190"/>
        <v>Isha Nair</v>
      </c>
      <c r="N506" s="1" t="s">
        <v>40</v>
      </c>
      <c r="O506" s="1" t="str">
        <f t="shared" si="191"/>
        <v>Small Business</v>
      </c>
      <c r="P506" s="1" t="s">
        <v>60</v>
      </c>
      <c r="Q506" s="1" t="str">
        <f t="shared" si="192"/>
        <v>South</v>
      </c>
      <c r="R506" s="1" t="str">
        <f t="shared" si="193"/>
        <v>OK</v>
      </c>
      <c r="S506" s="1" t="s">
        <v>97</v>
      </c>
      <c r="T506" s="1" t="str">
        <f t="shared" si="194"/>
        <v>Andhra Pradesh</v>
      </c>
      <c r="U506" s="1" t="s">
        <v>98</v>
      </c>
      <c r="V506" s="1" t="str">
        <f t="shared" si="195"/>
        <v>Vijayawada</v>
      </c>
      <c r="W506" s="1" t="s">
        <v>29</v>
      </c>
      <c r="X506" s="1" t="str">
        <f t="shared" si="196"/>
        <v>Office Supplies</v>
      </c>
      <c r="Y506" s="1" t="s">
        <v>53</v>
      </c>
      <c r="Z506" s="1" t="str">
        <f t="shared" si="197"/>
        <v>Art</v>
      </c>
      <c r="AA506" s="1" t="s">
        <v>99</v>
      </c>
      <c r="AB506" s="1" t="s">
        <v>55</v>
      </c>
      <c r="AC506" s="1" t="str">
        <f t="shared" si="198"/>
        <v>First Class</v>
      </c>
      <c r="AD506" s="1" t="str">
        <f t="shared" si="199"/>
        <v>OK</v>
      </c>
      <c r="AE506" s="1">
        <v>1</v>
      </c>
      <c r="AF506" s="1">
        <v>2980.71</v>
      </c>
      <c r="AG506" s="9">
        <v>0</v>
      </c>
      <c r="AH506" s="9">
        <f t="shared" si="200"/>
        <v>0</v>
      </c>
      <c r="AI506" s="1" t="str">
        <f t="shared" si="201"/>
        <v>OK</v>
      </c>
      <c r="AJ506" s="1">
        <v>2980.71</v>
      </c>
      <c r="AK506" s="1">
        <v>2357.2199999999998</v>
      </c>
      <c r="AL506" s="1">
        <v>623.49</v>
      </c>
      <c r="AM506" s="13">
        <f t="shared" si="202"/>
        <v>2980.71</v>
      </c>
      <c r="AN506" s="9">
        <f t="shared" si="203"/>
        <v>623.49000000000024</v>
      </c>
      <c r="AO506" s="9">
        <f t="shared" si="212"/>
        <v>0.20917499521925992</v>
      </c>
      <c r="AP506" s="1" t="s">
        <v>33</v>
      </c>
      <c r="AQ506" s="1" t="str">
        <f t="shared" si="204"/>
        <v>Paid</v>
      </c>
      <c r="AR506" s="1" t="str">
        <f t="shared" si="205"/>
        <v>OK</v>
      </c>
      <c r="AS506" s="1" t="s">
        <v>34</v>
      </c>
      <c r="AT506" s="3" t="str">
        <f t="shared" si="206"/>
        <v>Completed</v>
      </c>
      <c r="AU506" s="3" t="str">
        <f t="shared" si="207"/>
        <v>OK</v>
      </c>
      <c r="AV506" s="3" t="str">
        <f t="shared" si="213"/>
        <v>INVALID</v>
      </c>
      <c r="AW506" t="str">
        <f t="shared" si="214"/>
        <v>MATCH</v>
      </c>
      <c r="AX506" t="str">
        <f t="shared" si="215"/>
        <v>MATCH</v>
      </c>
    </row>
    <row r="507" spans="1:50">
      <c r="A507" s="1" t="s">
        <v>107</v>
      </c>
      <c r="B507" s="1">
        <f t="shared" si="189"/>
        <v>1</v>
      </c>
      <c r="C507" s="16">
        <v>45907</v>
      </c>
      <c r="D507" s="16">
        <v>45907</v>
      </c>
      <c r="E507" s="16" t="str">
        <f t="shared" si="208"/>
        <v>Sep</v>
      </c>
      <c r="F507" s="1">
        <f t="shared" si="209"/>
        <v>2025</v>
      </c>
      <c r="G507" t="s">
        <v>1211</v>
      </c>
      <c r="H507" s="17">
        <v>45610</v>
      </c>
      <c r="I507" s="21">
        <f t="shared" si="210"/>
        <v>-297</v>
      </c>
      <c r="J507" s="6" t="str">
        <f t="shared" si="211"/>
        <v>INVALID_SHIPPING</v>
      </c>
      <c r="K507" s="1" t="s">
        <v>109</v>
      </c>
      <c r="L507" s="1" t="s">
        <v>39</v>
      </c>
      <c r="M507" s="1" t="str">
        <f t="shared" si="190"/>
        <v>Mira Das</v>
      </c>
      <c r="N507" s="1" t="s">
        <v>110</v>
      </c>
      <c r="O507" s="1" t="str">
        <f t="shared" si="191"/>
        <v>Home Office</v>
      </c>
      <c r="P507" s="1" t="s">
        <v>60</v>
      </c>
      <c r="Q507" s="1" t="str">
        <f t="shared" si="192"/>
        <v>South</v>
      </c>
      <c r="R507" s="1" t="str">
        <f t="shared" si="193"/>
        <v>OK</v>
      </c>
      <c r="S507" s="1" t="s">
        <v>61</v>
      </c>
      <c r="T507" s="1" t="str">
        <f t="shared" si="194"/>
        <v>Telangana</v>
      </c>
      <c r="U507" s="1" t="s">
        <v>62</v>
      </c>
      <c r="V507" s="1" t="str">
        <f t="shared" si="195"/>
        <v>Hyderabad</v>
      </c>
      <c r="W507" s="1" t="s">
        <v>29</v>
      </c>
      <c r="X507" s="1" t="str">
        <f t="shared" si="196"/>
        <v>Office Supplies</v>
      </c>
      <c r="Y507" s="1" t="s">
        <v>30</v>
      </c>
      <c r="Z507" s="1" t="str">
        <f t="shared" si="197"/>
        <v>Paper</v>
      </c>
      <c r="AA507" s="1" t="s">
        <v>111</v>
      </c>
      <c r="AB507" s="1" t="s">
        <v>32</v>
      </c>
      <c r="AC507" s="1" t="str">
        <f t="shared" si="198"/>
        <v>Second Class</v>
      </c>
      <c r="AD507" s="1" t="str">
        <f t="shared" si="199"/>
        <v>OK</v>
      </c>
      <c r="AE507" s="1">
        <v>9</v>
      </c>
      <c r="AF507" s="1">
        <v>852.04</v>
      </c>
      <c r="AG507" s="9">
        <v>0.2</v>
      </c>
      <c r="AH507" s="9">
        <f t="shared" si="200"/>
        <v>0.2</v>
      </c>
      <c r="AI507" s="1" t="str">
        <f t="shared" si="201"/>
        <v>OK</v>
      </c>
      <c r="AJ507" s="1">
        <v>6134.69</v>
      </c>
      <c r="AK507" s="1">
        <v>3800.19</v>
      </c>
      <c r="AL507" s="1">
        <v>2334.5</v>
      </c>
      <c r="AM507" s="13">
        <f t="shared" si="202"/>
        <v>6134.6880000000001</v>
      </c>
      <c r="AN507" s="9">
        <f t="shared" si="203"/>
        <v>2334.498</v>
      </c>
      <c r="AO507" s="9">
        <f t="shared" si="212"/>
        <v>0.38054062407085737</v>
      </c>
      <c r="AP507" s="1" t="s">
        <v>33</v>
      </c>
      <c r="AQ507" s="1" t="str">
        <f t="shared" si="204"/>
        <v>Paid</v>
      </c>
      <c r="AR507" s="1" t="str">
        <f t="shared" si="205"/>
        <v>OK</v>
      </c>
      <c r="AS507" s="1" t="s">
        <v>34</v>
      </c>
      <c r="AT507" s="3" t="str">
        <f t="shared" si="206"/>
        <v>Completed</v>
      </c>
      <c r="AU507" s="3" t="str">
        <f t="shared" si="207"/>
        <v>OK</v>
      </c>
      <c r="AV507" s="3" t="str">
        <f t="shared" si="213"/>
        <v>INVALID</v>
      </c>
      <c r="AW507" t="str">
        <f t="shared" si="214"/>
        <v>MATCH</v>
      </c>
      <c r="AX507" t="str">
        <f t="shared" si="215"/>
        <v>MATCH</v>
      </c>
    </row>
    <row r="508" spans="1:50">
      <c r="A508" s="1" t="s">
        <v>112</v>
      </c>
      <c r="B508" s="1">
        <f t="shared" si="189"/>
        <v>1</v>
      </c>
      <c r="C508" s="16">
        <v>45797</v>
      </c>
      <c r="D508" s="16">
        <v>45797</v>
      </c>
      <c r="E508" s="16" t="str">
        <f t="shared" si="208"/>
        <v>May</v>
      </c>
      <c r="F508" s="1">
        <f t="shared" si="209"/>
        <v>2025</v>
      </c>
      <c r="G508" t="s">
        <v>2158</v>
      </c>
      <c r="H508" s="17">
        <v>45641</v>
      </c>
      <c r="I508" s="21">
        <f t="shared" si="210"/>
        <v>-156</v>
      </c>
      <c r="J508" s="6" t="str">
        <f t="shared" si="211"/>
        <v>INVALID_SHIPPING</v>
      </c>
      <c r="K508" s="1" t="s">
        <v>115</v>
      </c>
      <c r="L508" s="1" t="s">
        <v>70</v>
      </c>
      <c r="M508" s="1" t="str">
        <f t="shared" si="190"/>
        <v>Ananya Rao</v>
      </c>
      <c r="N508" s="1" t="s">
        <v>104</v>
      </c>
      <c r="O508" s="1" t="str">
        <f t="shared" si="191"/>
        <v>Corporate</v>
      </c>
      <c r="P508" s="1" t="s">
        <v>41</v>
      </c>
      <c r="Q508" s="1" t="str">
        <f t="shared" si="192"/>
        <v>East</v>
      </c>
      <c r="R508" s="1" t="str">
        <f t="shared" si="193"/>
        <v>OK</v>
      </c>
      <c r="S508" s="1" t="s">
        <v>116</v>
      </c>
      <c r="T508" s="1" t="str">
        <f t="shared" si="194"/>
        <v>West Bengal</v>
      </c>
      <c r="U508" s="1" t="s">
        <v>117</v>
      </c>
      <c r="V508" s="1" t="str">
        <f t="shared" si="195"/>
        <v>Kolkata</v>
      </c>
      <c r="W508" s="1" t="s">
        <v>29</v>
      </c>
      <c r="X508" s="1" t="str">
        <f t="shared" si="196"/>
        <v>Office Supplies</v>
      </c>
      <c r="Y508" s="1" t="s">
        <v>105</v>
      </c>
      <c r="Z508" s="1" t="str">
        <f t="shared" si="197"/>
        <v>Labels</v>
      </c>
      <c r="AA508" s="1" t="s">
        <v>118</v>
      </c>
      <c r="AB508" s="1" t="s">
        <v>32</v>
      </c>
      <c r="AC508" s="1" t="str">
        <f t="shared" si="198"/>
        <v>Second Class</v>
      </c>
      <c r="AD508" s="1" t="str">
        <f t="shared" si="199"/>
        <v>OK</v>
      </c>
      <c r="AE508" s="1">
        <v>3</v>
      </c>
      <c r="AF508" s="1">
        <v>3534.83</v>
      </c>
      <c r="AG508" s="9">
        <v>0.05</v>
      </c>
      <c r="AH508" s="9">
        <f t="shared" si="200"/>
        <v>0.05</v>
      </c>
      <c r="AI508" s="1" t="str">
        <f t="shared" si="201"/>
        <v>OK</v>
      </c>
      <c r="AJ508" s="1">
        <v>10074.27</v>
      </c>
      <c r="AK508" s="1">
        <v>6048.27</v>
      </c>
      <c r="AL508" s="1">
        <v>4026</v>
      </c>
      <c r="AM508" s="13">
        <f t="shared" si="202"/>
        <v>10074.2655</v>
      </c>
      <c r="AN508" s="9">
        <f t="shared" si="203"/>
        <v>4025.9954999999991</v>
      </c>
      <c r="AO508" s="9">
        <f t="shared" si="212"/>
        <v>0.39963166545491574</v>
      </c>
      <c r="AP508" s="1" t="s">
        <v>119</v>
      </c>
      <c r="AQ508" s="1" t="str">
        <f t="shared" si="204"/>
        <v>Refunded</v>
      </c>
      <c r="AR508" s="1" t="str">
        <f t="shared" si="205"/>
        <v>REFUNDED_PAYMENT</v>
      </c>
      <c r="AS508" s="1" t="s">
        <v>120</v>
      </c>
      <c r="AT508" s="3" t="str">
        <f t="shared" si="206"/>
        <v>Returned</v>
      </c>
      <c r="AU508" s="3" t="str">
        <f t="shared" si="207"/>
        <v>RETURNED_ORDER</v>
      </c>
      <c r="AV508" s="3" t="str">
        <f t="shared" si="213"/>
        <v>INVALID</v>
      </c>
      <c r="AW508" t="str">
        <f t="shared" si="214"/>
        <v>MATCH</v>
      </c>
      <c r="AX508" t="str">
        <f t="shared" si="215"/>
        <v>MATCH</v>
      </c>
    </row>
    <row r="509" spans="1:50">
      <c r="A509" s="1" t="s">
        <v>132</v>
      </c>
      <c r="B509" s="1">
        <f t="shared" si="189"/>
        <v>1</v>
      </c>
      <c r="C509" s="16">
        <v>46001</v>
      </c>
      <c r="D509" s="16">
        <v>46001</v>
      </c>
      <c r="E509" s="16" t="str">
        <f t="shared" si="208"/>
        <v>Dec</v>
      </c>
      <c r="F509" s="1">
        <f t="shared" si="209"/>
        <v>2025</v>
      </c>
      <c r="G509" t="s">
        <v>1856</v>
      </c>
      <c r="H509" s="17">
        <v>45769</v>
      </c>
      <c r="I509" s="21">
        <f t="shared" si="210"/>
        <v>-232</v>
      </c>
      <c r="J509" s="6" t="str">
        <f t="shared" si="211"/>
        <v>INVALID_SHIPPING</v>
      </c>
      <c r="K509" s="1" t="s">
        <v>135</v>
      </c>
      <c r="L509" s="1" t="s">
        <v>136</v>
      </c>
      <c r="M509" s="1" t="str">
        <f t="shared" si="190"/>
        <v>Priya Menon</v>
      </c>
      <c r="N509" s="1" t="s">
        <v>40</v>
      </c>
      <c r="O509" s="1" t="str">
        <f t="shared" si="191"/>
        <v>Small Business</v>
      </c>
      <c r="P509" s="1" t="s">
        <v>71</v>
      </c>
      <c r="Q509" s="1" t="str">
        <f t="shared" si="192"/>
        <v>West</v>
      </c>
      <c r="R509" s="1" t="str">
        <f t="shared" si="193"/>
        <v>OK</v>
      </c>
      <c r="S509" s="1" t="s">
        <v>72</v>
      </c>
      <c r="T509" s="1" t="str">
        <f t="shared" si="194"/>
        <v>Maharashtra</v>
      </c>
      <c r="U509" s="1" t="s">
        <v>73</v>
      </c>
      <c r="V509" s="1" t="str">
        <f t="shared" si="195"/>
        <v>Mumbai</v>
      </c>
      <c r="W509" s="1" t="s">
        <v>29</v>
      </c>
      <c r="X509" s="1" t="str">
        <f t="shared" si="196"/>
        <v>Office Supplies</v>
      </c>
      <c r="Y509" s="1" t="s">
        <v>53</v>
      </c>
      <c r="Z509" s="1" t="str">
        <f t="shared" si="197"/>
        <v>Art</v>
      </c>
      <c r="AA509" s="1" t="s">
        <v>137</v>
      </c>
      <c r="AB509" s="1" t="s">
        <v>32</v>
      </c>
      <c r="AC509" s="1" t="str">
        <f t="shared" si="198"/>
        <v>Second Class</v>
      </c>
      <c r="AD509" s="1" t="str">
        <f t="shared" si="199"/>
        <v>OK</v>
      </c>
      <c r="AE509" s="1">
        <v>7</v>
      </c>
      <c r="AF509" s="1">
        <v>3964.72</v>
      </c>
      <c r="AG509" s="9">
        <v>0.05</v>
      </c>
      <c r="AH509" s="9">
        <f t="shared" si="200"/>
        <v>0.05</v>
      </c>
      <c r="AI509" s="1" t="str">
        <f t="shared" si="201"/>
        <v>OK</v>
      </c>
      <c r="AJ509" s="1">
        <v>26365.39</v>
      </c>
      <c r="AK509" s="1">
        <v>22306.240000000002</v>
      </c>
      <c r="AL509" s="1">
        <v>4059.15</v>
      </c>
      <c r="AM509" s="13">
        <f t="shared" si="202"/>
        <v>26365.387999999995</v>
      </c>
      <c r="AN509" s="9">
        <f t="shared" si="203"/>
        <v>4059.1479999999938</v>
      </c>
      <c r="AO509" s="9">
        <f t="shared" si="212"/>
        <v>0.15395745361304733</v>
      </c>
      <c r="AP509" s="1" t="s">
        <v>33</v>
      </c>
      <c r="AQ509" s="1" t="str">
        <f t="shared" si="204"/>
        <v>Paid</v>
      </c>
      <c r="AR509" s="1" t="str">
        <f t="shared" si="205"/>
        <v>OK</v>
      </c>
      <c r="AS509" s="1" t="s">
        <v>34</v>
      </c>
      <c r="AT509" s="3" t="str">
        <f t="shared" si="206"/>
        <v>Completed</v>
      </c>
      <c r="AU509" s="3" t="str">
        <f t="shared" si="207"/>
        <v>OK</v>
      </c>
      <c r="AV509" s="3" t="str">
        <f t="shared" si="213"/>
        <v>INVALID</v>
      </c>
      <c r="AW509" t="str">
        <f t="shared" si="214"/>
        <v>MATCH</v>
      </c>
      <c r="AX509" t="str">
        <f t="shared" si="215"/>
        <v>MATCH</v>
      </c>
    </row>
    <row r="510" spans="1:50">
      <c r="A510" s="1" t="s">
        <v>160</v>
      </c>
      <c r="B510" s="1">
        <f t="shared" si="189"/>
        <v>1</v>
      </c>
      <c r="C510" s="16">
        <v>45853</v>
      </c>
      <c r="D510" s="16">
        <v>45853</v>
      </c>
      <c r="E510" s="16" t="str">
        <f t="shared" si="208"/>
        <v>Jul</v>
      </c>
      <c r="F510" s="1">
        <f t="shared" si="209"/>
        <v>2025</v>
      </c>
      <c r="G510" t="s">
        <v>1247</v>
      </c>
      <c r="H510" s="17">
        <v>45477</v>
      </c>
      <c r="I510" s="21">
        <f t="shared" si="210"/>
        <v>-376</v>
      </c>
      <c r="J510" s="6" t="str">
        <f t="shared" si="211"/>
        <v>INVALID_SHIPPING</v>
      </c>
      <c r="K510" s="1" t="s">
        <v>162</v>
      </c>
      <c r="L510" s="1" t="s">
        <v>153</v>
      </c>
      <c r="M510" s="1" t="str">
        <f t="shared" si="190"/>
        <v>Aarav Sharma</v>
      </c>
      <c r="N510" s="1" t="s">
        <v>110</v>
      </c>
      <c r="O510" s="1" t="str">
        <f t="shared" si="191"/>
        <v>Home Office</v>
      </c>
      <c r="P510" s="1" t="s">
        <v>26</v>
      </c>
      <c r="Q510" s="1" t="str">
        <f t="shared" si="192"/>
        <v>North</v>
      </c>
      <c r="R510" s="1" t="str">
        <f t="shared" si="193"/>
        <v>OK</v>
      </c>
      <c r="S510" s="1" t="s">
        <v>163</v>
      </c>
      <c r="T510" s="1" t="str">
        <f t="shared" si="194"/>
        <v>Uttar Pradesh</v>
      </c>
      <c r="U510" s="1" t="s">
        <v>164</v>
      </c>
      <c r="V510" s="1" t="str">
        <f t="shared" si="195"/>
        <v>Noida</v>
      </c>
      <c r="W510" s="1" t="s">
        <v>83</v>
      </c>
      <c r="X510" s="1" t="str">
        <f t="shared" si="196"/>
        <v>Technology</v>
      </c>
      <c r="Y510" s="1" t="s">
        <v>91</v>
      </c>
      <c r="Z510" s="1" t="str">
        <f t="shared" si="197"/>
        <v>Copiers</v>
      </c>
      <c r="AA510" s="1" t="s">
        <v>165</v>
      </c>
      <c r="AB510" s="1" t="s">
        <v>55</v>
      </c>
      <c r="AC510" s="1" t="str">
        <f t="shared" si="198"/>
        <v>First Class</v>
      </c>
      <c r="AD510" s="1" t="str">
        <f t="shared" si="199"/>
        <v>OK</v>
      </c>
      <c r="AE510" s="1">
        <v>2</v>
      </c>
      <c r="AF510" s="1">
        <v>1997.99</v>
      </c>
      <c r="AG510" s="9">
        <v>0</v>
      </c>
      <c r="AH510" s="9">
        <f t="shared" si="200"/>
        <v>0</v>
      </c>
      <c r="AI510" s="1" t="str">
        <f t="shared" si="201"/>
        <v>OK</v>
      </c>
      <c r="AJ510" s="1">
        <v>3995.98</v>
      </c>
      <c r="AK510" s="1">
        <v>2633.2</v>
      </c>
      <c r="AL510" s="1">
        <v>1362.78</v>
      </c>
      <c r="AM510" s="13">
        <f t="shared" si="202"/>
        <v>3995.98</v>
      </c>
      <c r="AN510" s="9">
        <f t="shared" si="203"/>
        <v>1362.7800000000002</v>
      </c>
      <c r="AO510" s="9">
        <f t="shared" si="212"/>
        <v>0.34103774293164635</v>
      </c>
      <c r="AP510" s="1" t="s">
        <v>119</v>
      </c>
      <c r="AQ510" s="1" t="str">
        <f t="shared" si="204"/>
        <v>Refunded</v>
      </c>
      <c r="AR510" s="1" t="str">
        <f t="shared" si="205"/>
        <v>REFUNDED_PAYMENT</v>
      </c>
      <c r="AS510" s="1" t="s">
        <v>76</v>
      </c>
      <c r="AT510" s="3" t="str">
        <f t="shared" si="206"/>
        <v>Cancelled</v>
      </c>
      <c r="AU510" s="3" t="str">
        <f t="shared" si="207"/>
        <v>EXCLUDE_FROM_SALES</v>
      </c>
      <c r="AV510" s="3" t="str">
        <f t="shared" si="213"/>
        <v>INVALID</v>
      </c>
      <c r="AW510" t="str">
        <f t="shared" si="214"/>
        <v>MATCH</v>
      </c>
      <c r="AX510" t="str">
        <f t="shared" si="215"/>
        <v>MATCH</v>
      </c>
    </row>
    <row r="511" spans="1:50" hidden="1">
      <c r="A511" s="1" t="s">
        <v>171</v>
      </c>
      <c r="B511" s="1">
        <f t="shared" si="189"/>
        <v>1</v>
      </c>
      <c r="C511" s="16">
        <v>45678</v>
      </c>
      <c r="D511" s="16">
        <v>45678</v>
      </c>
      <c r="E511" s="16" t="str">
        <f t="shared" si="208"/>
        <v>Jan</v>
      </c>
      <c r="F511" s="1">
        <f t="shared" si="209"/>
        <v>2025</v>
      </c>
      <c r="G511" t="s">
        <v>2168</v>
      </c>
      <c r="H511" s="17">
        <v>45791</v>
      </c>
      <c r="I511" s="21">
        <f t="shared" si="210"/>
        <v>113</v>
      </c>
      <c r="J511" s="6" t="str">
        <f t="shared" si="211"/>
        <v>OK</v>
      </c>
      <c r="K511" s="1" t="s">
        <v>173</v>
      </c>
      <c r="L511" s="1" t="s">
        <v>103</v>
      </c>
      <c r="M511" s="1" t="str">
        <f t="shared" si="190"/>
        <v>Aditi Sen</v>
      </c>
      <c r="N511" s="1" t="s">
        <v>110</v>
      </c>
      <c r="O511" s="1" t="str">
        <f t="shared" si="191"/>
        <v>Home Office</v>
      </c>
      <c r="P511" s="1" t="s">
        <v>41</v>
      </c>
      <c r="Q511" s="1" t="str">
        <f t="shared" si="192"/>
        <v>East</v>
      </c>
      <c r="R511" s="1" t="str">
        <f t="shared" si="193"/>
        <v>OK</v>
      </c>
      <c r="S511" s="1" t="s">
        <v>174</v>
      </c>
      <c r="T511" s="1" t="str">
        <f t="shared" si="194"/>
        <v>Bihar</v>
      </c>
      <c r="U511" s="1" t="s">
        <v>175</v>
      </c>
      <c r="V511" s="1" t="str">
        <f t="shared" si="195"/>
        <v>Patna</v>
      </c>
      <c r="W511" s="1" t="s">
        <v>83</v>
      </c>
      <c r="X511" s="1" t="str">
        <f t="shared" si="196"/>
        <v>Technology</v>
      </c>
      <c r="Y511" s="1" t="s">
        <v>91</v>
      </c>
      <c r="Z511" s="1" t="str">
        <f t="shared" si="197"/>
        <v>Copiers</v>
      </c>
      <c r="AA511" s="1" t="s">
        <v>176</v>
      </c>
      <c r="AB511" s="1" t="s">
        <v>55</v>
      </c>
      <c r="AC511" s="1" t="str">
        <f t="shared" si="198"/>
        <v>First Class</v>
      </c>
      <c r="AD511" s="1" t="str">
        <f t="shared" si="199"/>
        <v>OK</v>
      </c>
      <c r="AE511" s="1">
        <v>5</v>
      </c>
      <c r="AF511" s="1">
        <v>4373.0600000000004</v>
      </c>
      <c r="AG511" s="9">
        <v>0.25</v>
      </c>
      <c r="AH511" s="9">
        <f t="shared" si="200"/>
        <v>0.25</v>
      </c>
      <c r="AI511" s="1" t="str">
        <f t="shared" si="201"/>
        <v>OK</v>
      </c>
      <c r="AJ511" s="1">
        <v>16398.98</v>
      </c>
      <c r="AK511" s="1">
        <v>9556.52</v>
      </c>
      <c r="AL511" s="1">
        <v>6842.46</v>
      </c>
      <c r="AM511" s="13">
        <f t="shared" si="202"/>
        <v>16398.975000000002</v>
      </c>
      <c r="AN511" s="9">
        <f t="shared" si="203"/>
        <v>6842.4550000000017</v>
      </c>
      <c r="AO511" s="9">
        <f t="shared" si="212"/>
        <v>0.4172489439126531</v>
      </c>
      <c r="AP511" s="1" t="s">
        <v>33</v>
      </c>
      <c r="AQ511" s="1" t="str">
        <f t="shared" si="204"/>
        <v>Paid</v>
      </c>
      <c r="AR511" s="1" t="str">
        <f t="shared" si="205"/>
        <v>OK</v>
      </c>
      <c r="AS511" s="1" t="s">
        <v>34</v>
      </c>
      <c r="AT511" s="3" t="str">
        <f t="shared" si="206"/>
        <v>Completed</v>
      </c>
      <c r="AU511" s="3" t="str">
        <f t="shared" si="207"/>
        <v>OK</v>
      </c>
      <c r="AV511" s="3" t="str">
        <f t="shared" si="213"/>
        <v>CLEAN</v>
      </c>
      <c r="AW511" t="str">
        <f t="shared" si="214"/>
        <v>MATCH</v>
      </c>
      <c r="AX511" t="str">
        <f t="shared" si="215"/>
        <v>MATCH</v>
      </c>
    </row>
    <row r="512" spans="1:50">
      <c r="A512" s="1" t="s">
        <v>177</v>
      </c>
      <c r="B512" s="1">
        <f t="shared" si="189"/>
        <v>1</v>
      </c>
      <c r="C512" s="16">
        <v>45681</v>
      </c>
      <c r="D512" s="16">
        <v>45681</v>
      </c>
      <c r="E512" s="16" t="str">
        <f t="shared" si="208"/>
        <v>Jan</v>
      </c>
      <c r="F512" s="1">
        <f t="shared" si="209"/>
        <v>2025</v>
      </c>
      <c r="G512" t="s">
        <v>2172</v>
      </c>
      <c r="H512" s="17">
        <v>45586</v>
      </c>
      <c r="I512" s="21">
        <f t="shared" si="210"/>
        <v>-95</v>
      </c>
      <c r="J512" s="6" t="str">
        <f t="shared" si="211"/>
        <v>INVALID_SHIPPING</v>
      </c>
      <c r="K512" s="1" t="s">
        <v>179</v>
      </c>
      <c r="L512" s="1" t="s">
        <v>158</v>
      </c>
      <c r="M512" s="1" t="str">
        <f t="shared" si="190"/>
        <v>Sneha Kapoor</v>
      </c>
      <c r="N512" s="1" t="s">
        <v>25</v>
      </c>
      <c r="O512" s="1" t="str">
        <f t="shared" si="191"/>
        <v>Consumer</v>
      </c>
      <c r="P512" s="1" t="s">
        <v>71</v>
      </c>
      <c r="Q512" s="1" t="str">
        <f t="shared" si="192"/>
        <v>West</v>
      </c>
      <c r="R512" s="1" t="str">
        <f t="shared" si="193"/>
        <v>OK</v>
      </c>
      <c r="S512" s="1" t="s">
        <v>81</v>
      </c>
      <c r="T512" s="1" t="str">
        <f t="shared" si="194"/>
        <v>Madhya Pradesh</v>
      </c>
      <c r="U512" s="1" t="s">
        <v>82</v>
      </c>
      <c r="V512" s="1" t="str">
        <f t="shared" si="195"/>
        <v>Indore</v>
      </c>
      <c r="W512" s="1" t="s">
        <v>44</v>
      </c>
      <c r="X512" s="1" t="str">
        <f t="shared" si="196"/>
        <v>Furniture</v>
      </c>
      <c r="Y512" s="1" t="s">
        <v>63</v>
      </c>
      <c r="Z512" s="1" t="str">
        <f t="shared" si="197"/>
        <v>Furnishings</v>
      </c>
      <c r="AA512" s="1" t="s">
        <v>180</v>
      </c>
      <c r="AB512" s="1" t="s">
        <v>32</v>
      </c>
      <c r="AC512" s="1" t="str">
        <f t="shared" si="198"/>
        <v>Second Class</v>
      </c>
      <c r="AD512" s="1" t="str">
        <f t="shared" si="199"/>
        <v>OK</v>
      </c>
      <c r="AE512" s="1">
        <v>4</v>
      </c>
      <c r="AF512" s="1">
        <v>697.69</v>
      </c>
      <c r="AG512" s="9">
        <v>-0.23</v>
      </c>
      <c r="AH512" s="9">
        <f t="shared" si="200"/>
        <v>-0.23</v>
      </c>
      <c r="AI512" s="1" t="str">
        <f t="shared" si="201"/>
        <v>Invalid Negative Discount</v>
      </c>
      <c r="AJ512" s="1">
        <v>2790.76</v>
      </c>
      <c r="AK512" s="1">
        <v>2037.71</v>
      </c>
      <c r="AL512" s="1">
        <v>753.05</v>
      </c>
      <c r="AM512" s="13" t="str">
        <f t="shared" si="202"/>
        <v>INVALID</v>
      </c>
      <c r="AN512" s="9" t="str">
        <f t="shared" si="203"/>
        <v>INVALID</v>
      </c>
      <c r="AO512" s="9" t="str">
        <f t="shared" si="212"/>
        <v/>
      </c>
      <c r="AP512" s="1" t="s">
        <v>33</v>
      </c>
      <c r="AQ512" s="1" t="str">
        <f t="shared" si="204"/>
        <v>Paid</v>
      </c>
      <c r="AR512" s="1" t="str">
        <f t="shared" si="205"/>
        <v>OK</v>
      </c>
      <c r="AS512" s="1" t="s">
        <v>34</v>
      </c>
      <c r="AT512" s="3" t="str">
        <f t="shared" si="206"/>
        <v>Completed</v>
      </c>
      <c r="AU512" s="3" t="str">
        <f t="shared" si="207"/>
        <v>OK</v>
      </c>
      <c r="AV512" s="3" t="str">
        <f t="shared" si="213"/>
        <v>INVALID</v>
      </c>
      <c r="AW512" t="str">
        <f t="shared" si="214"/>
        <v>INVALID</v>
      </c>
      <c r="AX512" t="str">
        <f t="shared" si="215"/>
        <v>INVALID</v>
      </c>
    </row>
    <row r="513" spans="1:50">
      <c r="A513" s="1" t="s">
        <v>181</v>
      </c>
      <c r="B513" s="1">
        <f t="shared" si="189"/>
        <v>1</v>
      </c>
      <c r="C513" s="16">
        <v>45676</v>
      </c>
      <c r="D513" s="16">
        <v>45676</v>
      </c>
      <c r="E513" s="16" t="str">
        <f t="shared" si="208"/>
        <v>Jan</v>
      </c>
      <c r="F513" s="1">
        <f t="shared" si="209"/>
        <v>2025</v>
      </c>
      <c r="G513" t="s">
        <v>2177</v>
      </c>
      <c r="H513" s="17">
        <v>45591</v>
      </c>
      <c r="I513" s="21">
        <f t="shared" si="210"/>
        <v>-85</v>
      </c>
      <c r="J513" s="6" t="str">
        <f t="shared" si="211"/>
        <v>INVALID_SHIPPING</v>
      </c>
      <c r="K513" s="1" t="s">
        <v>183</v>
      </c>
      <c r="L513" s="1" t="s">
        <v>39</v>
      </c>
      <c r="M513" s="1" t="str">
        <f t="shared" si="190"/>
        <v>Mira Das</v>
      </c>
      <c r="N513" s="1" t="s">
        <v>25</v>
      </c>
      <c r="O513" s="1" t="str">
        <f t="shared" si="191"/>
        <v>Consumer</v>
      </c>
      <c r="P513" s="1" t="s">
        <v>60</v>
      </c>
      <c r="Q513" s="1" t="str">
        <f t="shared" si="192"/>
        <v>South</v>
      </c>
      <c r="R513" s="1" t="str">
        <f t="shared" si="193"/>
        <v>OK</v>
      </c>
      <c r="S513" s="1" t="s">
        <v>61</v>
      </c>
      <c r="T513" s="1" t="str">
        <f t="shared" si="194"/>
        <v>Telangana</v>
      </c>
      <c r="U513" s="1" t="s">
        <v>62</v>
      </c>
      <c r="V513" s="1" t="str">
        <f t="shared" si="195"/>
        <v>Hyderabad</v>
      </c>
      <c r="W513" s="1" t="s">
        <v>29</v>
      </c>
      <c r="X513" s="1" t="str">
        <f t="shared" si="196"/>
        <v>Office Supplies</v>
      </c>
      <c r="Y513" s="1" t="s">
        <v>184</v>
      </c>
      <c r="Z513" s="1" t="str">
        <f t="shared" si="197"/>
        <v>Binders</v>
      </c>
      <c r="AA513" s="1" t="s">
        <v>185</v>
      </c>
      <c r="AB513" s="1" t="s">
        <v>65</v>
      </c>
      <c r="AC513" s="1" t="str">
        <f t="shared" si="198"/>
        <v>Standard Class</v>
      </c>
      <c r="AD513" s="1" t="str">
        <f t="shared" si="199"/>
        <v>OK</v>
      </c>
      <c r="AE513" s="1">
        <v>8</v>
      </c>
      <c r="AF513" s="1">
        <v>1219.3399999999999</v>
      </c>
      <c r="AG513" s="9">
        <v>0.15</v>
      </c>
      <c r="AH513" s="9">
        <f t="shared" si="200"/>
        <v>0.15</v>
      </c>
      <c r="AI513" s="1" t="str">
        <f t="shared" si="201"/>
        <v>OK</v>
      </c>
      <c r="AJ513" s="1">
        <v>8291.51</v>
      </c>
      <c r="AK513" s="1">
        <v>6685.03</v>
      </c>
      <c r="AL513" s="1">
        <v>1606.48</v>
      </c>
      <c r="AM513" s="13">
        <f t="shared" si="202"/>
        <v>8291.5119999999988</v>
      </c>
      <c r="AN513" s="9">
        <f t="shared" si="203"/>
        <v>1606.4819999999991</v>
      </c>
      <c r="AO513" s="9">
        <f t="shared" si="212"/>
        <v>0.19375018693816029</v>
      </c>
      <c r="AP513" s="1" t="s">
        <v>186</v>
      </c>
      <c r="AQ513" s="1" t="str">
        <f t="shared" si="204"/>
        <v>Failed</v>
      </c>
      <c r="AR513" s="1" t="str">
        <f t="shared" si="205"/>
        <v>EXCLUDE_FROM_SALES</v>
      </c>
      <c r="AS513" s="1" t="s">
        <v>120</v>
      </c>
      <c r="AT513" s="3" t="str">
        <f t="shared" si="206"/>
        <v>Returned</v>
      </c>
      <c r="AU513" s="3" t="str">
        <f t="shared" si="207"/>
        <v>RETURNED_ORDER</v>
      </c>
      <c r="AV513" s="3" t="str">
        <f t="shared" si="213"/>
        <v>INVALID</v>
      </c>
      <c r="AW513" t="str">
        <f t="shared" si="214"/>
        <v>MATCH</v>
      </c>
      <c r="AX513" t="str">
        <f t="shared" si="215"/>
        <v>MATCH</v>
      </c>
    </row>
    <row r="514" spans="1:50">
      <c r="A514" s="1" t="s">
        <v>187</v>
      </c>
      <c r="B514" s="1">
        <f t="shared" ref="B514:B577" si="216">COUNTIF($A:$A,A514)</f>
        <v>1</v>
      </c>
      <c r="C514" s="16">
        <v>45898</v>
      </c>
      <c r="D514" s="16">
        <v>45898</v>
      </c>
      <c r="E514" s="16" t="str">
        <f t="shared" si="208"/>
        <v>Aug</v>
      </c>
      <c r="F514" s="1">
        <f t="shared" si="209"/>
        <v>2025</v>
      </c>
      <c r="G514" t="s">
        <v>2181</v>
      </c>
      <c r="H514" s="17">
        <v>45719</v>
      </c>
      <c r="I514" s="21">
        <f t="shared" si="210"/>
        <v>-179</v>
      </c>
      <c r="J514" s="6" t="str">
        <f t="shared" si="211"/>
        <v>INVALID_SHIPPING</v>
      </c>
      <c r="K514" s="1" t="s">
        <v>189</v>
      </c>
      <c r="L514" s="1" t="s">
        <v>141</v>
      </c>
      <c r="M514" s="1" t="str">
        <f t="shared" ref="M514:M577" si="217">PROPER(TRIM(SUBSTITUTE(L514,CHAR(160)," ")))</f>
        <v>Rahul Verma</v>
      </c>
      <c r="N514" s="1" t="s">
        <v>110</v>
      </c>
      <c r="O514" s="1" t="str">
        <f t="shared" ref="O514:O577" si="218">PROPER(TRIM(SUBSTITUTE(N514,CHAR(160)," ")))</f>
        <v>Home Office</v>
      </c>
      <c r="P514" s="1" t="s">
        <v>41</v>
      </c>
      <c r="Q514" s="1" t="str">
        <f t="shared" ref="Q514:Q577" si="219">IF(TRIM(P514)="","Unknown",PROPER(TRIM(P514)))</f>
        <v>East</v>
      </c>
      <c r="R514" s="1" t="str">
        <f t="shared" ref="R514:R577" si="220">IF(Q514="Unknown","MISSING_REGION","OK")</f>
        <v>OK</v>
      </c>
      <c r="S514" s="1" t="s">
        <v>174</v>
      </c>
      <c r="T514" s="1" t="str">
        <f t="shared" ref="T514:T577" si="221">PROPER(TRIM(SUBSTITUTE(S514,CHAR(160)," ")))</f>
        <v>Bihar</v>
      </c>
      <c r="U514" s="1" t="s">
        <v>175</v>
      </c>
      <c r="V514" s="1" t="str">
        <f t="shared" ref="V514:V577" si="222">PROPER(TRIM(SUBSTITUTE(U514,CHAR(160)," ")))</f>
        <v>Patna</v>
      </c>
      <c r="W514" s="1" t="s">
        <v>44</v>
      </c>
      <c r="X514" s="1" t="str">
        <f t="shared" ref="X514:X577" si="223">PROPER(TRIM(SUBSTITUTE(W514,CHAR(160)," ")))</f>
        <v>Furniture</v>
      </c>
      <c r="Y514" s="1" t="s">
        <v>190</v>
      </c>
      <c r="Z514" s="1" t="str">
        <f t="shared" ref="Z514:Z577" si="224">PROPER(TRIM(SUBSTITUTE(Y514,CHAR(160)," ")))</f>
        <v>Bookcases</v>
      </c>
      <c r="AA514" s="1" t="s">
        <v>191</v>
      </c>
      <c r="AB514" s="1" t="s">
        <v>55</v>
      </c>
      <c r="AC514" s="1" t="str">
        <f t="shared" ref="AC514:AC577" si="225">IF(TRIM(AB514)="","Unknown",PROPER(TRIM(AB514)))</f>
        <v>First Class</v>
      </c>
      <c r="AD514" s="1" t="str">
        <f t="shared" ref="AD514:AD577" si="226">IF(AC514="Unknown","MISSING_SHIP_MODE","OK")</f>
        <v>OK</v>
      </c>
      <c r="AE514" s="1">
        <v>4</v>
      </c>
      <c r="AF514" s="1">
        <v>1958.01</v>
      </c>
      <c r="AG514" s="9">
        <v>0.2</v>
      </c>
      <c r="AH514" s="9">
        <f t="shared" ref="AH514:AH577" si="227">IF(RIGHT(AG514,1)="%",VALUE(SUBSTITUTE(AG514,"%",""))/100,AG514)</f>
        <v>0.2</v>
      </c>
      <c r="AI514" s="1" t="str">
        <f t="shared" ref="AI514:AI577" si="228">IF(AG514="","Missing Discount",
IF(AG514&lt;0,"Invalid Negative Discount",
"OK"))</f>
        <v>OK</v>
      </c>
      <c r="AJ514" s="1">
        <v>6265.63</v>
      </c>
      <c r="AK514" s="1">
        <v>4321.8599999999997</v>
      </c>
      <c r="AL514" s="1">
        <v>1943.77</v>
      </c>
      <c r="AM514" s="13">
        <f t="shared" ref="AM514:AM577" si="229">IF(AH514&lt;0,"INVALID",AE514*AF514*(1-AH514))</f>
        <v>6265.6320000000005</v>
      </c>
      <c r="AN514" s="9">
        <f t="shared" ref="AN514:AN577" si="230">IF(AM514="INVALID","INVALID",
AM514-AK514)</f>
        <v>1943.7720000000008</v>
      </c>
      <c r="AO514" s="9">
        <f t="shared" si="212"/>
        <v>0.31022760353624351</v>
      </c>
      <c r="AP514" s="1" t="s">
        <v>33</v>
      </c>
      <c r="AQ514" s="1" t="str">
        <f t="shared" ref="AQ514:AQ577" si="231">PROPER(TRIM(SUBSTITUTE(AP514,CHAR(160)," ")))</f>
        <v>Paid</v>
      </c>
      <c r="AR514" s="1" t="str">
        <f t="shared" ref="AR514:AR577" si="232">IF(AQ514="Failed","EXCLUDE_FROM_SALES",
IF(AQ514="Refunded","REFUNDED_PAYMENT",
"OK"))</f>
        <v>OK</v>
      </c>
      <c r="AS514" s="1" t="s">
        <v>34</v>
      </c>
      <c r="AT514" s="3" t="str">
        <f t="shared" ref="AT514:AT577" si="233">PROPER(TRIM(SUBSTITUTE(AS514,CHAR(160)," ")))</f>
        <v>Completed</v>
      </c>
      <c r="AU514" s="3" t="str">
        <f t="shared" ref="AU514:AU577" si="234">IF(AT514="Cancelled","EXCLUDE_FROM_SALES",
IF(AT514="Returned","RETURNED_ORDER",
"OK"))</f>
        <v>OK</v>
      </c>
      <c r="AV514" s="3" t="str">
        <f t="shared" si="213"/>
        <v>INVALID</v>
      </c>
      <c r="AW514" t="str">
        <f t="shared" si="214"/>
        <v>MATCH</v>
      </c>
      <c r="AX514" t="str">
        <f t="shared" si="215"/>
        <v>MATCH</v>
      </c>
    </row>
    <row r="515" spans="1:50">
      <c r="A515" s="1" t="s">
        <v>209</v>
      </c>
      <c r="B515" s="1">
        <f t="shared" si="216"/>
        <v>1</v>
      </c>
      <c r="C515" s="16">
        <v>45929</v>
      </c>
      <c r="D515" s="16">
        <v>45929</v>
      </c>
      <c r="E515" s="16" t="str">
        <f t="shared" ref="E515:E578" si="235">TEXT(D515,"mmm")</f>
        <v>Sep</v>
      </c>
      <c r="F515" s="1">
        <f t="shared" ref="F515:F578" si="236">YEAR(D515)</f>
        <v>2025</v>
      </c>
      <c r="G515" t="s">
        <v>2102</v>
      </c>
      <c r="H515" s="17">
        <v>45840</v>
      </c>
      <c r="I515" s="21">
        <f t="shared" ref="I515:I578" si="237">H515-D515</f>
        <v>-89</v>
      </c>
      <c r="J515" s="6" t="str">
        <f t="shared" ref="J515:J578" si="238">IF(I515&lt;0,"INVALID_SHIPPING","OK")</f>
        <v>INVALID_SHIPPING</v>
      </c>
      <c r="K515" s="1" t="s">
        <v>211</v>
      </c>
      <c r="L515" s="1" t="s">
        <v>59</v>
      </c>
      <c r="M515" s="1" t="str">
        <f t="shared" si="217"/>
        <v>Arjun Bose</v>
      </c>
      <c r="N515" s="1" t="s">
        <v>40</v>
      </c>
      <c r="O515" s="1" t="str">
        <f t="shared" si="218"/>
        <v>Small Business</v>
      </c>
      <c r="P515" s="1" t="s">
        <v>60</v>
      </c>
      <c r="Q515" s="1" t="str">
        <f t="shared" si="219"/>
        <v>South</v>
      </c>
      <c r="R515" s="1" t="str">
        <f t="shared" si="220"/>
        <v>OK</v>
      </c>
      <c r="S515" s="1" t="s">
        <v>212</v>
      </c>
      <c r="T515" s="1" t="str">
        <f t="shared" si="221"/>
        <v>Karnataka</v>
      </c>
      <c r="U515" s="1" t="s">
        <v>213</v>
      </c>
      <c r="V515" s="1" t="str">
        <f t="shared" si="222"/>
        <v>Bengaluru</v>
      </c>
      <c r="W515" s="1" t="s">
        <v>29</v>
      </c>
      <c r="X515" s="1" t="str">
        <f t="shared" si="223"/>
        <v>Office Supplies</v>
      </c>
      <c r="Y515" s="1" t="s">
        <v>30</v>
      </c>
      <c r="Z515" s="1" t="str">
        <f t="shared" si="224"/>
        <v>Paper</v>
      </c>
      <c r="AA515" s="1" t="s">
        <v>214</v>
      </c>
      <c r="AB515" s="1" t="s">
        <v>32</v>
      </c>
      <c r="AC515" s="1" t="str">
        <f t="shared" si="225"/>
        <v>Second Class</v>
      </c>
      <c r="AD515" s="1" t="str">
        <f t="shared" si="226"/>
        <v>OK</v>
      </c>
      <c r="AE515" s="1">
        <v>5</v>
      </c>
      <c r="AF515" s="1">
        <v>1806.51</v>
      </c>
      <c r="AG515" s="9">
        <v>0.25</v>
      </c>
      <c r="AH515" s="9">
        <f t="shared" si="227"/>
        <v>0.25</v>
      </c>
      <c r="AI515" s="1" t="str">
        <f t="shared" si="228"/>
        <v>OK</v>
      </c>
      <c r="AJ515" s="1">
        <v>6774.41</v>
      </c>
      <c r="AK515" s="1">
        <v>4710.3599999999997</v>
      </c>
      <c r="AL515" s="1">
        <v>2064.0500000000002</v>
      </c>
      <c r="AM515" s="13">
        <f t="shared" si="229"/>
        <v>6774.4124999999995</v>
      </c>
      <c r="AN515" s="9">
        <f t="shared" si="230"/>
        <v>2064.0524999999998</v>
      </c>
      <c r="AO515" s="9">
        <f t="shared" ref="AO515:AO578" si="239">IF(OR(AM515="INVALID",AN515="INVALID"),"",AN515/AM515)</f>
        <v>0.30468361647596748</v>
      </c>
      <c r="AP515" s="1" t="s">
        <v>186</v>
      </c>
      <c r="AQ515" s="1" t="str">
        <f t="shared" si="231"/>
        <v>Failed</v>
      </c>
      <c r="AR515" s="1" t="str">
        <f t="shared" si="232"/>
        <v>EXCLUDE_FROM_SALES</v>
      </c>
      <c r="AS515" s="1" t="s">
        <v>120</v>
      </c>
      <c r="AT515" s="3" t="str">
        <f t="shared" si="233"/>
        <v>Returned</v>
      </c>
      <c r="AU515" s="3" t="str">
        <f t="shared" si="234"/>
        <v>RETURNED_ORDER</v>
      </c>
      <c r="AV515" s="3" t="str">
        <f t="shared" ref="AV515:AV578" si="240">IF(OR(AI515&lt;&gt;"OK",J515="INVALID_SHIPPING"),
"INVALID",
IF(OR(R515&lt;&gt;"OK",AD515&lt;&gt;"OK"),
"WARNING",
"CLEAN"))</f>
        <v>INVALID</v>
      </c>
      <c r="AW515" t="str">
        <f t="shared" ref="AW515:AW578" si="241">IF(AM515="INVALID","INVALID",
IF(ROUND(AJ515,2)=ROUND(AM515,2),"MATCH","MISMATCH"))</f>
        <v>MATCH</v>
      </c>
      <c r="AX515" t="str">
        <f t="shared" ref="AX515:AX578" si="242">IF(AN515="INVALID","INVALID",IF(ROUND(AL515,2)=ROUND(AN515,2),"MATCH","MISMATCH"))</f>
        <v>MATCH</v>
      </c>
    </row>
    <row r="516" spans="1:50">
      <c r="A516" s="1" t="s">
        <v>221</v>
      </c>
      <c r="B516" s="1">
        <f t="shared" si="216"/>
        <v>1</v>
      </c>
      <c r="C516" s="16">
        <v>45882</v>
      </c>
      <c r="D516" s="16">
        <v>45882</v>
      </c>
      <c r="E516" s="16" t="str">
        <f t="shared" si="235"/>
        <v>Aug</v>
      </c>
      <c r="F516" s="1">
        <f t="shared" si="236"/>
        <v>2025</v>
      </c>
      <c r="G516" t="s">
        <v>2111</v>
      </c>
      <c r="H516" s="17">
        <v>45618</v>
      </c>
      <c r="I516" s="21">
        <f t="shared" si="237"/>
        <v>-264</v>
      </c>
      <c r="J516" s="6" t="str">
        <f t="shared" si="238"/>
        <v>INVALID_SHIPPING</v>
      </c>
      <c r="K516" s="1" t="s">
        <v>223</v>
      </c>
      <c r="L516" s="1" t="s">
        <v>169</v>
      </c>
      <c r="M516" s="1" t="str">
        <f t="shared" si="217"/>
        <v>Rohan Mehta</v>
      </c>
      <c r="N516" s="1" t="s">
        <v>110</v>
      </c>
      <c r="O516" s="1" t="str">
        <f t="shared" si="218"/>
        <v>Home Office</v>
      </c>
      <c r="P516" s="1" t="s">
        <v>60</v>
      </c>
      <c r="Q516" s="1" t="str">
        <f t="shared" si="219"/>
        <v>South</v>
      </c>
      <c r="R516" s="1" t="str">
        <f t="shared" si="220"/>
        <v>OK</v>
      </c>
      <c r="S516" s="1" t="s">
        <v>224</v>
      </c>
      <c r="T516" s="1" t="str">
        <f t="shared" si="221"/>
        <v>Kerala</v>
      </c>
      <c r="U516" s="1" t="s">
        <v>225</v>
      </c>
      <c r="V516" s="1" t="str">
        <f t="shared" si="222"/>
        <v>Kochi</v>
      </c>
      <c r="W516" s="1" t="s">
        <v>83</v>
      </c>
      <c r="X516" s="1" t="str">
        <f t="shared" si="223"/>
        <v>Technology</v>
      </c>
      <c r="Y516" s="1" t="s">
        <v>207</v>
      </c>
      <c r="Z516" s="1" t="str">
        <f t="shared" si="224"/>
        <v>Phones</v>
      </c>
      <c r="AA516" s="1" t="s">
        <v>226</v>
      </c>
      <c r="AB516" s="1" t="s">
        <v>65</v>
      </c>
      <c r="AC516" s="1" t="str">
        <f t="shared" si="225"/>
        <v>Standard Class</v>
      </c>
      <c r="AD516" s="1" t="str">
        <f t="shared" si="226"/>
        <v>OK</v>
      </c>
      <c r="AE516" s="1">
        <v>1</v>
      </c>
      <c r="AF516" s="1">
        <v>256.01</v>
      </c>
      <c r="AG516" s="9">
        <v>0.15</v>
      </c>
      <c r="AH516" s="9">
        <f t="shared" si="227"/>
        <v>0.15</v>
      </c>
      <c r="AI516" s="1" t="str">
        <f t="shared" si="228"/>
        <v>OK</v>
      </c>
      <c r="AJ516" s="1">
        <v>217.61</v>
      </c>
      <c r="AK516" s="1">
        <v>119.77</v>
      </c>
      <c r="AL516" s="1">
        <v>97.84</v>
      </c>
      <c r="AM516" s="13">
        <f t="shared" si="229"/>
        <v>217.60849999999999</v>
      </c>
      <c r="AN516" s="9">
        <f t="shared" si="230"/>
        <v>97.838499999999996</v>
      </c>
      <c r="AO516" s="9">
        <f t="shared" si="239"/>
        <v>0.44960789675035673</v>
      </c>
      <c r="AP516" s="1" t="s">
        <v>33</v>
      </c>
      <c r="AQ516" s="1" t="str">
        <f t="shared" si="231"/>
        <v>Paid</v>
      </c>
      <c r="AR516" s="1" t="str">
        <f t="shared" si="232"/>
        <v>OK</v>
      </c>
      <c r="AS516" s="1" t="s">
        <v>34</v>
      </c>
      <c r="AT516" s="3" t="str">
        <f t="shared" si="233"/>
        <v>Completed</v>
      </c>
      <c r="AU516" s="3" t="str">
        <f t="shared" si="234"/>
        <v>OK</v>
      </c>
      <c r="AV516" s="3" t="str">
        <f t="shared" si="240"/>
        <v>INVALID</v>
      </c>
      <c r="AW516" t="str">
        <f t="shared" si="241"/>
        <v>MATCH</v>
      </c>
      <c r="AX516" t="str">
        <f t="shared" si="242"/>
        <v>MATCH</v>
      </c>
    </row>
    <row r="517" spans="1:50">
      <c r="A517" s="1" t="s">
        <v>233</v>
      </c>
      <c r="B517" s="1">
        <f t="shared" si="216"/>
        <v>1</v>
      </c>
      <c r="C517" s="16">
        <v>45823</v>
      </c>
      <c r="D517" s="16">
        <v>45823</v>
      </c>
      <c r="E517" s="16" t="str">
        <f t="shared" si="235"/>
        <v>Jun</v>
      </c>
      <c r="F517" s="1">
        <f t="shared" si="236"/>
        <v>2025</v>
      </c>
      <c r="G517" t="s">
        <v>2190</v>
      </c>
      <c r="H517" s="17">
        <v>45758</v>
      </c>
      <c r="I517" s="21">
        <f t="shared" si="237"/>
        <v>-65</v>
      </c>
      <c r="J517" s="6" t="str">
        <f t="shared" si="238"/>
        <v>INVALID_SHIPPING</v>
      </c>
      <c r="K517" s="1" t="s">
        <v>235</v>
      </c>
      <c r="L517" s="1" t="s">
        <v>24</v>
      </c>
      <c r="M517" s="1" t="str">
        <f t="shared" si="217"/>
        <v>Karan Malhotra</v>
      </c>
      <c r="N517" s="1" t="s">
        <v>40</v>
      </c>
      <c r="O517" s="1" t="str">
        <f t="shared" si="218"/>
        <v>Small Business</v>
      </c>
      <c r="P517" s="1" t="s">
        <v>71</v>
      </c>
      <c r="Q517" s="1" t="str">
        <f t="shared" si="219"/>
        <v>West</v>
      </c>
      <c r="R517" s="1" t="str">
        <f t="shared" si="220"/>
        <v>OK</v>
      </c>
      <c r="S517" s="1" t="s">
        <v>81</v>
      </c>
      <c r="T517" s="1" t="str">
        <f t="shared" si="221"/>
        <v>Madhya Pradesh</v>
      </c>
      <c r="U517" s="1" t="s">
        <v>82</v>
      </c>
      <c r="V517" s="1" t="str">
        <f t="shared" si="222"/>
        <v>Indore</v>
      </c>
      <c r="W517" s="1" t="s">
        <v>29</v>
      </c>
      <c r="X517" s="1" t="str">
        <f t="shared" si="223"/>
        <v>Office Supplies</v>
      </c>
      <c r="Y517" s="1" t="s">
        <v>30</v>
      </c>
      <c r="Z517" s="1" t="str">
        <f t="shared" si="224"/>
        <v>Paper</v>
      </c>
      <c r="AA517" s="1" t="s">
        <v>236</v>
      </c>
      <c r="AB517" s="1" t="s">
        <v>32</v>
      </c>
      <c r="AC517" s="1" t="str">
        <f t="shared" si="225"/>
        <v>Second Class</v>
      </c>
      <c r="AD517" s="1" t="str">
        <f t="shared" si="226"/>
        <v>OK</v>
      </c>
      <c r="AE517" s="1">
        <v>9</v>
      </c>
      <c r="AF517" s="1">
        <v>3092.55</v>
      </c>
      <c r="AG517" s="9">
        <v>0</v>
      </c>
      <c r="AH517" s="9">
        <f t="shared" si="227"/>
        <v>0</v>
      </c>
      <c r="AI517" s="1" t="str">
        <f t="shared" si="228"/>
        <v>OK</v>
      </c>
      <c r="AJ517" s="1">
        <v>27832.95</v>
      </c>
      <c r="AK517" s="1">
        <v>17769.75</v>
      </c>
      <c r="AL517" s="1">
        <v>10063.200000000001</v>
      </c>
      <c r="AM517" s="13">
        <f t="shared" si="229"/>
        <v>27832.95</v>
      </c>
      <c r="AN517" s="9">
        <f t="shared" si="230"/>
        <v>10063.200000000001</v>
      </c>
      <c r="AO517" s="9">
        <f t="shared" si="239"/>
        <v>0.36155707533696574</v>
      </c>
      <c r="AP517" s="1" t="s">
        <v>186</v>
      </c>
      <c r="AQ517" s="1" t="str">
        <f t="shared" si="231"/>
        <v>Failed</v>
      </c>
      <c r="AR517" s="1" t="str">
        <f t="shared" si="232"/>
        <v>EXCLUDE_FROM_SALES</v>
      </c>
      <c r="AS517" s="1" t="s">
        <v>120</v>
      </c>
      <c r="AT517" s="3" t="str">
        <f t="shared" si="233"/>
        <v>Returned</v>
      </c>
      <c r="AU517" s="3" t="str">
        <f t="shared" si="234"/>
        <v>RETURNED_ORDER</v>
      </c>
      <c r="AV517" s="3" t="str">
        <f t="shared" si="240"/>
        <v>INVALID</v>
      </c>
      <c r="AW517" t="str">
        <f t="shared" si="241"/>
        <v>MATCH</v>
      </c>
      <c r="AX517" t="str">
        <f t="shared" si="242"/>
        <v>MATCH</v>
      </c>
    </row>
    <row r="518" spans="1:50">
      <c r="A518" s="1" t="s">
        <v>246</v>
      </c>
      <c r="B518" s="1">
        <f t="shared" si="216"/>
        <v>1</v>
      </c>
      <c r="C518" s="16">
        <v>45688</v>
      </c>
      <c r="D518" s="16">
        <v>45688</v>
      </c>
      <c r="E518" s="16" t="str">
        <f t="shared" si="235"/>
        <v>Jan</v>
      </c>
      <c r="F518" s="1">
        <f t="shared" si="236"/>
        <v>2025</v>
      </c>
      <c r="G518" t="s">
        <v>2194</v>
      </c>
      <c r="H518" s="17">
        <v>45569</v>
      </c>
      <c r="I518" s="21">
        <f t="shared" si="237"/>
        <v>-119</v>
      </c>
      <c r="J518" s="6" t="str">
        <f t="shared" si="238"/>
        <v>INVALID_SHIPPING</v>
      </c>
      <c r="K518" s="1" t="s">
        <v>248</v>
      </c>
      <c r="L518" s="1" t="s">
        <v>136</v>
      </c>
      <c r="M518" s="1" t="str">
        <f t="shared" si="217"/>
        <v>Priya Menon</v>
      </c>
      <c r="N518" s="1" t="s">
        <v>110</v>
      </c>
      <c r="O518" s="1" t="str">
        <f t="shared" si="218"/>
        <v>Home Office</v>
      </c>
      <c r="P518" s="1" t="s">
        <v>41</v>
      </c>
      <c r="Q518" s="1" t="str">
        <f t="shared" si="219"/>
        <v>East</v>
      </c>
      <c r="R518" s="1" t="str">
        <f t="shared" si="220"/>
        <v>OK</v>
      </c>
      <c r="S518" s="1" t="s">
        <v>116</v>
      </c>
      <c r="T518" s="1" t="str">
        <f t="shared" si="221"/>
        <v>West Bengal</v>
      </c>
      <c r="U518" s="1" t="s">
        <v>117</v>
      </c>
      <c r="V518" s="1" t="str">
        <f t="shared" si="222"/>
        <v>Kolkata</v>
      </c>
      <c r="W518" s="1" t="s">
        <v>44</v>
      </c>
      <c r="X518" s="1" t="str">
        <f t="shared" si="223"/>
        <v>Furniture</v>
      </c>
      <c r="Y518" s="1" t="s">
        <v>74</v>
      </c>
      <c r="Z518" s="1" t="str">
        <f t="shared" si="224"/>
        <v>Chairs</v>
      </c>
      <c r="AA518" s="1" t="s">
        <v>249</v>
      </c>
      <c r="AB518" s="1"/>
      <c r="AC518" s="1" t="str">
        <f t="shared" si="225"/>
        <v>Unknown</v>
      </c>
      <c r="AD518" s="1" t="str">
        <f t="shared" si="226"/>
        <v>MISSING_SHIP_MODE</v>
      </c>
      <c r="AE518" s="1">
        <v>2</v>
      </c>
      <c r="AF518" s="1">
        <v>4159.6899999999996</v>
      </c>
      <c r="AG518" s="9">
        <v>0.2</v>
      </c>
      <c r="AH518" s="9">
        <f t="shared" si="227"/>
        <v>0.2</v>
      </c>
      <c r="AI518" s="1" t="str">
        <f t="shared" si="228"/>
        <v>OK</v>
      </c>
      <c r="AJ518" s="1">
        <v>6655.5</v>
      </c>
      <c r="AK518" s="1">
        <v>4340.21</v>
      </c>
      <c r="AL518" s="1">
        <v>2607.3200000000002</v>
      </c>
      <c r="AM518" s="13">
        <f t="shared" si="229"/>
        <v>6655.5039999999999</v>
      </c>
      <c r="AN518" s="9">
        <f t="shared" si="230"/>
        <v>2315.2939999999999</v>
      </c>
      <c r="AO518" s="9">
        <f t="shared" si="239"/>
        <v>0.34787658455317583</v>
      </c>
      <c r="AP518" s="1" t="s">
        <v>33</v>
      </c>
      <c r="AQ518" s="1" t="str">
        <f t="shared" si="231"/>
        <v>Paid</v>
      </c>
      <c r="AR518" s="1" t="str">
        <f t="shared" si="232"/>
        <v>OK</v>
      </c>
      <c r="AS518" s="1" t="s">
        <v>34</v>
      </c>
      <c r="AT518" s="3" t="str">
        <f t="shared" si="233"/>
        <v>Completed</v>
      </c>
      <c r="AU518" s="3" t="str">
        <f t="shared" si="234"/>
        <v>OK</v>
      </c>
      <c r="AV518" s="3" t="str">
        <f t="shared" si="240"/>
        <v>INVALID</v>
      </c>
      <c r="AW518" t="str">
        <f t="shared" si="241"/>
        <v>MATCH</v>
      </c>
      <c r="AX518" t="str">
        <f t="shared" si="242"/>
        <v>MISMATCH</v>
      </c>
    </row>
    <row r="519" spans="1:50">
      <c r="A519" s="1" t="s">
        <v>259</v>
      </c>
      <c r="B519" s="1">
        <f t="shared" si="216"/>
        <v>1</v>
      </c>
      <c r="C519" s="16">
        <v>45867</v>
      </c>
      <c r="D519" s="16">
        <v>45867</v>
      </c>
      <c r="E519" s="16" t="str">
        <f t="shared" si="235"/>
        <v>Jul</v>
      </c>
      <c r="F519" s="1">
        <f t="shared" si="236"/>
        <v>2025</v>
      </c>
      <c r="G519" t="s">
        <v>1479</v>
      </c>
      <c r="H519" s="17">
        <v>45804</v>
      </c>
      <c r="I519" s="21">
        <f t="shared" si="237"/>
        <v>-63</v>
      </c>
      <c r="J519" s="6" t="str">
        <f t="shared" si="238"/>
        <v>INVALID_SHIPPING</v>
      </c>
      <c r="K519" s="1" t="s">
        <v>261</v>
      </c>
      <c r="L519" s="1" t="s">
        <v>196</v>
      </c>
      <c r="M519" s="1" t="str">
        <f t="shared" si="217"/>
        <v>Diya Patel</v>
      </c>
      <c r="N519" s="1" t="s">
        <v>25</v>
      </c>
      <c r="O519" s="1" t="str">
        <f t="shared" si="218"/>
        <v>Consumer</v>
      </c>
      <c r="P519" s="1" t="s">
        <v>71</v>
      </c>
      <c r="Q519" s="1" t="str">
        <f t="shared" si="219"/>
        <v>West</v>
      </c>
      <c r="R519" s="1" t="str">
        <f t="shared" si="220"/>
        <v>OK</v>
      </c>
      <c r="S519" s="1" t="s">
        <v>72</v>
      </c>
      <c r="T519" s="1" t="str">
        <f t="shared" si="221"/>
        <v>Maharashtra</v>
      </c>
      <c r="U519" s="1" t="s">
        <v>73</v>
      </c>
      <c r="V519" s="1" t="str">
        <f t="shared" si="222"/>
        <v>Mumbai</v>
      </c>
      <c r="W519" s="1" t="s">
        <v>83</v>
      </c>
      <c r="X519" s="1" t="str">
        <f t="shared" si="223"/>
        <v>Technology</v>
      </c>
      <c r="Y519" s="1" t="s">
        <v>91</v>
      </c>
      <c r="Z519" s="1" t="str">
        <f t="shared" si="224"/>
        <v>Copiers</v>
      </c>
      <c r="AA519" s="1" t="s">
        <v>262</v>
      </c>
      <c r="AB519" s="1" t="s">
        <v>263</v>
      </c>
      <c r="AC519" s="1" t="str">
        <f t="shared" si="225"/>
        <v>Standard Class</v>
      </c>
      <c r="AD519" s="1" t="str">
        <f t="shared" si="226"/>
        <v>OK</v>
      </c>
      <c r="AE519" s="1">
        <v>4</v>
      </c>
      <c r="AF519" s="1">
        <v>1327.54</v>
      </c>
      <c r="AG519" s="9">
        <v>0.2</v>
      </c>
      <c r="AH519" s="9">
        <f t="shared" si="227"/>
        <v>0.2</v>
      </c>
      <c r="AI519" s="1" t="str">
        <f t="shared" si="228"/>
        <v>OK</v>
      </c>
      <c r="AJ519" s="1">
        <v>4248.13</v>
      </c>
      <c r="AK519" s="1">
        <v>3321.09</v>
      </c>
      <c r="AL519" s="1">
        <v>927.04</v>
      </c>
      <c r="AM519" s="13">
        <f t="shared" si="229"/>
        <v>4248.1279999999997</v>
      </c>
      <c r="AN519" s="9">
        <f t="shared" si="230"/>
        <v>927.03799999999956</v>
      </c>
      <c r="AO519" s="9">
        <f t="shared" si="239"/>
        <v>0.21822270892025844</v>
      </c>
      <c r="AP519" s="1" t="s">
        <v>33</v>
      </c>
      <c r="AQ519" s="1" t="str">
        <f t="shared" si="231"/>
        <v>Paid</v>
      </c>
      <c r="AR519" s="1" t="str">
        <f t="shared" si="232"/>
        <v>OK</v>
      </c>
      <c r="AS519" s="1" t="s">
        <v>34</v>
      </c>
      <c r="AT519" s="3" t="str">
        <f t="shared" si="233"/>
        <v>Completed</v>
      </c>
      <c r="AU519" s="3" t="str">
        <f t="shared" si="234"/>
        <v>OK</v>
      </c>
      <c r="AV519" s="3" t="str">
        <f t="shared" si="240"/>
        <v>INVALID</v>
      </c>
      <c r="AW519" t="str">
        <f t="shared" si="241"/>
        <v>MATCH</v>
      </c>
      <c r="AX519" t="str">
        <f t="shared" si="242"/>
        <v>MATCH</v>
      </c>
    </row>
    <row r="520" spans="1:50">
      <c r="A520" s="1" t="s">
        <v>280</v>
      </c>
      <c r="B520" s="1">
        <f t="shared" si="216"/>
        <v>1</v>
      </c>
      <c r="C520" s="16">
        <v>45940</v>
      </c>
      <c r="D520" s="16">
        <v>45940</v>
      </c>
      <c r="E520" s="16" t="str">
        <f t="shared" si="235"/>
        <v>Oct</v>
      </c>
      <c r="F520" s="1">
        <f t="shared" si="236"/>
        <v>2025</v>
      </c>
      <c r="G520" t="s">
        <v>2201</v>
      </c>
      <c r="H520" s="17">
        <v>45773</v>
      </c>
      <c r="I520" s="21">
        <f t="shared" si="237"/>
        <v>-167</v>
      </c>
      <c r="J520" s="6" t="str">
        <f t="shared" si="238"/>
        <v>INVALID_SHIPPING</v>
      </c>
      <c r="K520" s="1" t="s">
        <v>283</v>
      </c>
      <c r="L520" s="1" t="s">
        <v>59</v>
      </c>
      <c r="M520" s="1" t="str">
        <f t="shared" si="217"/>
        <v>Arjun Bose</v>
      </c>
      <c r="N520" s="1" t="s">
        <v>104</v>
      </c>
      <c r="O520" s="1" t="str">
        <f t="shared" si="218"/>
        <v>Corporate</v>
      </c>
      <c r="P520" s="1" t="s">
        <v>41</v>
      </c>
      <c r="Q520" s="1" t="str">
        <f t="shared" si="219"/>
        <v>East</v>
      </c>
      <c r="R520" s="1" t="str">
        <f t="shared" si="220"/>
        <v>OK</v>
      </c>
      <c r="S520" s="1" t="s">
        <v>284</v>
      </c>
      <c r="T520" s="1" t="str">
        <f t="shared" si="221"/>
        <v>Jharkhand</v>
      </c>
      <c r="U520" s="1" t="s">
        <v>285</v>
      </c>
      <c r="V520" s="1" t="str">
        <f t="shared" si="222"/>
        <v>Ranchi</v>
      </c>
      <c r="W520" s="1" t="s">
        <v>83</v>
      </c>
      <c r="X520" s="1" t="str">
        <f t="shared" si="223"/>
        <v>Technology</v>
      </c>
      <c r="Y520" s="1" t="s">
        <v>207</v>
      </c>
      <c r="Z520" s="1" t="str">
        <f t="shared" si="224"/>
        <v>Phones</v>
      </c>
      <c r="AA520" s="1" t="s">
        <v>286</v>
      </c>
      <c r="AB520" s="1" t="s">
        <v>65</v>
      </c>
      <c r="AC520" s="1" t="str">
        <f t="shared" si="225"/>
        <v>Standard Class</v>
      </c>
      <c r="AD520" s="1" t="str">
        <f t="shared" si="226"/>
        <v>OK</v>
      </c>
      <c r="AE520" s="1">
        <v>8</v>
      </c>
      <c r="AF520" s="1">
        <v>979.87</v>
      </c>
      <c r="AG520" s="9">
        <v>0.05</v>
      </c>
      <c r="AH520" s="9">
        <f t="shared" si="227"/>
        <v>0.05</v>
      </c>
      <c r="AI520" s="1" t="str">
        <f t="shared" si="228"/>
        <v>OK</v>
      </c>
      <c r="AJ520" s="1">
        <v>7447.01</v>
      </c>
      <c r="AK520" s="1">
        <v>4496.22</v>
      </c>
      <c r="AL520" s="1">
        <v>2950.79</v>
      </c>
      <c r="AM520" s="13">
        <f t="shared" si="229"/>
        <v>7447.0119999999997</v>
      </c>
      <c r="AN520" s="9">
        <f t="shared" si="230"/>
        <v>2950.7919999999995</v>
      </c>
      <c r="AO520" s="9">
        <f t="shared" si="239"/>
        <v>0.39623838393170302</v>
      </c>
      <c r="AP520" s="1" t="s">
        <v>33</v>
      </c>
      <c r="AQ520" s="1" t="str">
        <f t="shared" si="231"/>
        <v>Paid</v>
      </c>
      <c r="AR520" s="1" t="str">
        <f t="shared" si="232"/>
        <v>OK</v>
      </c>
      <c r="AS520" s="1" t="s">
        <v>34</v>
      </c>
      <c r="AT520" s="3" t="str">
        <f t="shared" si="233"/>
        <v>Completed</v>
      </c>
      <c r="AU520" s="3" t="str">
        <f t="shared" si="234"/>
        <v>OK</v>
      </c>
      <c r="AV520" s="3" t="str">
        <f t="shared" si="240"/>
        <v>INVALID</v>
      </c>
      <c r="AW520" t="str">
        <f t="shared" si="241"/>
        <v>MATCH</v>
      </c>
      <c r="AX520" t="str">
        <f t="shared" si="242"/>
        <v>MATCH</v>
      </c>
    </row>
    <row r="521" spans="1:50" hidden="1">
      <c r="A521" s="1" t="s">
        <v>312</v>
      </c>
      <c r="B521" s="1">
        <f t="shared" si="216"/>
        <v>1</v>
      </c>
      <c r="C521" s="16">
        <v>45687</v>
      </c>
      <c r="D521" s="16">
        <v>45687</v>
      </c>
      <c r="E521" s="16" t="str">
        <f t="shared" si="235"/>
        <v>Jan</v>
      </c>
      <c r="F521" s="1">
        <f t="shared" si="236"/>
        <v>2025</v>
      </c>
      <c r="G521" t="s">
        <v>2205</v>
      </c>
      <c r="H521" s="17">
        <v>45845</v>
      </c>
      <c r="I521" s="21">
        <f t="shared" si="237"/>
        <v>158</v>
      </c>
      <c r="J521" s="6" t="str">
        <f t="shared" si="238"/>
        <v>OK</v>
      </c>
      <c r="K521" s="1" t="s">
        <v>315</v>
      </c>
      <c r="L521" s="1" t="s">
        <v>90</v>
      </c>
      <c r="M521" s="1" t="str">
        <f t="shared" si="217"/>
        <v>Neha Gupta</v>
      </c>
      <c r="N521" s="1" t="s">
        <v>104</v>
      </c>
      <c r="O521" s="1" t="str">
        <f t="shared" si="218"/>
        <v>Corporate</v>
      </c>
      <c r="P521" s="1" t="s">
        <v>71</v>
      </c>
      <c r="Q521" s="1" t="str">
        <f t="shared" si="219"/>
        <v>West</v>
      </c>
      <c r="R521" s="1" t="str">
        <f t="shared" si="220"/>
        <v>OK</v>
      </c>
      <c r="S521" s="1" t="s">
        <v>72</v>
      </c>
      <c r="T521" s="1" t="str">
        <f t="shared" si="221"/>
        <v>Maharashtra</v>
      </c>
      <c r="U521" s="1" t="s">
        <v>73</v>
      </c>
      <c r="V521" s="1" t="str">
        <f t="shared" si="222"/>
        <v>Mumbai</v>
      </c>
      <c r="W521" s="1" t="s">
        <v>44</v>
      </c>
      <c r="X521" s="1" t="str">
        <f t="shared" si="223"/>
        <v>Furniture</v>
      </c>
      <c r="Y521" s="1" t="s">
        <v>74</v>
      </c>
      <c r="Z521" s="1" t="str">
        <f t="shared" si="224"/>
        <v>Chairs</v>
      </c>
      <c r="AA521" s="1" t="s">
        <v>316</v>
      </c>
      <c r="AB521" s="1" t="s">
        <v>32</v>
      </c>
      <c r="AC521" s="1" t="str">
        <f t="shared" si="225"/>
        <v>Second Class</v>
      </c>
      <c r="AD521" s="1" t="str">
        <f t="shared" si="226"/>
        <v>OK</v>
      </c>
      <c r="AE521" s="1">
        <v>7</v>
      </c>
      <c r="AF521" s="1">
        <v>4063.66</v>
      </c>
      <c r="AG521" s="9">
        <v>0</v>
      </c>
      <c r="AH521" s="9">
        <f t="shared" si="227"/>
        <v>0</v>
      </c>
      <c r="AI521" s="1" t="str">
        <f t="shared" si="228"/>
        <v>OK</v>
      </c>
      <c r="AJ521" s="1">
        <v>28445.62</v>
      </c>
      <c r="AK521" s="1">
        <v>20938.59</v>
      </c>
      <c r="AL521" s="1">
        <v>7507.03</v>
      </c>
      <c r="AM521" s="13">
        <f t="shared" si="229"/>
        <v>28445.62</v>
      </c>
      <c r="AN521" s="9">
        <f t="shared" si="230"/>
        <v>7507.0299999999988</v>
      </c>
      <c r="AO521" s="9">
        <f t="shared" si="239"/>
        <v>0.26390811660986818</v>
      </c>
      <c r="AP521" s="1" t="s">
        <v>33</v>
      </c>
      <c r="AQ521" s="1" t="str">
        <f t="shared" si="231"/>
        <v>Paid</v>
      </c>
      <c r="AR521" s="1" t="str">
        <f t="shared" si="232"/>
        <v>OK</v>
      </c>
      <c r="AS521" s="1" t="s">
        <v>34</v>
      </c>
      <c r="AT521" s="3" t="str">
        <f t="shared" si="233"/>
        <v>Completed</v>
      </c>
      <c r="AU521" s="3" t="str">
        <f t="shared" si="234"/>
        <v>OK</v>
      </c>
      <c r="AV521" s="3" t="str">
        <f t="shared" si="240"/>
        <v>CLEAN</v>
      </c>
      <c r="AW521" t="str">
        <f t="shared" si="241"/>
        <v>MATCH</v>
      </c>
      <c r="AX521" t="str">
        <f t="shared" si="242"/>
        <v>MATCH</v>
      </c>
    </row>
    <row r="522" spans="1:50">
      <c r="A522" s="1" t="s">
        <v>322</v>
      </c>
      <c r="B522" s="1">
        <f t="shared" si="216"/>
        <v>1</v>
      </c>
      <c r="C522" s="16">
        <v>45966</v>
      </c>
      <c r="D522" s="16">
        <v>45966</v>
      </c>
      <c r="E522" s="16" t="str">
        <f t="shared" si="235"/>
        <v>Nov</v>
      </c>
      <c r="F522" s="1">
        <f t="shared" si="236"/>
        <v>2025</v>
      </c>
      <c r="G522" t="s">
        <v>2209</v>
      </c>
      <c r="H522" s="17">
        <v>45496</v>
      </c>
      <c r="I522" s="21">
        <f t="shared" si="237"/>
        <v>-470</v>
      </c>
      <c r="J522" s="6" t="str">
        <f t="shared" si="238"/>
        <v>INVALID_SHIPPING</v>
      </c>
      <c r="K522" s="1" t="s">
        <v>324</v>
      </c>
      <c r="L522" s="1" t="s">
        <v>158</v>
      </c>
      <c r="M522" s="1" t="str">
        <f t="shared" si="217"/>
        <v>Sneha Kapoor</v>
      </c>
      <c r="N522" s="1" t="s">
        <v>25</v>
      </c>
      <c r="O522" s="1" t="str">
        <f t="shared" si="218"/>
        <v>Consumer</v>
      </c>
      <c r="P522" s="1" t="s">
        <v>41</v>
      </c>
      <c r="Q522" s="1" t="str">
        <f t="shared" si="219"/>
        <v>East</v>
      </c>
      <c r="R522" s="1" t="str">
        <f t="shared" si="220"/>
        <v>OK</v>
      </c>
      <c r="S522" s="1" t="s">
        <v>116</v>
      </c>
      <c r="T522" s="1" t="str">
        <f t="shared" si="221"/>
        <v>West Bengal</v>
      </c>
      <c r="U522" s="1" t="s">
        <v>117</v>
      </c>
      <c r="V522" s="1" t="str">
        <f t="shared" si="222"/>
        <v>Kolkata</v>
      </c>
      <c r="W522" s="1" t="s">
        <v>83</v>
      </c>
      <c r="X522" s="1" t="str">
        <f t="shared" si="223"/>
        <v>Technology</v>
      </c>
      <c r="Y522" s="1" t="s">
        <v>91</v>
      </c>
      <c r="Z522" s="1" t="str">
        <f t="shared" si="224"/>
        <v>Copiers</v>
      </c>
      <c r="AA522" s="1" t="s">
        <v>325</v>
      </c>
      <c r="AB522" s="1" t="s">
        <v>65</v>
      </c>
      <c r="AC522" s="1" t="str">
        <f t="shared" si="225"/>
        <v>Standard Class</v>
      </c>
      <c r="AD522" s="1" t="str">
        <f t="shared" si="226"/>
        <v>OK</v>
      </c>
      <c r="AE522" s="1">
        <v>1</v>
      </c>
      <c r="AF522" s="1">
        <v>2382.8000000000002</v>
      </c>
      <c r="AG522" s="9">
        <v>0.15</v>
      </c>
      <c r="AH522" s="9">
        <f t="shared" si="227"/>
        <v>0.15</v>
      </c>
      <c r="AI522" s="1" t="str">
        <f t="shared" si="228"/>
        <v>OK</v>
      </c>
      <c r="AJ522" s="1">
        <v>2025.38</v>
      </c>
      <c r="AK522" s="1">
        <v>1140.6500000000001</v>
      </c>
      <c r="AL522" s="1">
        <v>884.73</v>
      </c>
      <c r="AM522" s="13">
        <f t="shared" si="229"/>
        <v>2025.38</v>
      </c>
      <c r="AN522" s="9">
        <f t="shared" si="230"/>
        <v>884.73</v>
      </c>
      <c r="AO522" s="9">
        <f t="shared" si="239"/>
        <v>0.43682173221815163</v>
      </c>
      <c r="AP522" s="1" t="s">
        <v>33</v>
      </c>
      <c r="AQ522" s="1" t="str">
        <f t="shared" si="231"/>
        <v>Paid</v>
      </c>
      <c r="AR522" s="1" t="str">
        <f t="shared" si="232"/>
        <v>OK</v>
      </c>
      <c r="AS522" s="1" t="s">
        <v>34</v>
      </c>
      <c r="AT522" s="3" t="str">
        <f t="shared" si="233"/>
        <v>Completed</v>
      </c>
      <c r="AU522" s="3" t="str">
        <f t="shared" si="234"/>
        <v>OK</v>
      </c>
      <c r="AV522" s="3" t="str">
        <f t="shared" si="240"/>
        <v>INVALID</v>
      </c>
      <c r="AW522" t="str">
        <f t="shared" si="241"/>
        <v>MATCH</v>
      </c>
      <c r="AX522" t="str">
        <f t="shared" si="242"/>
        <v>MATCH</v>
      </c>
    </row>
    <row r="523" spans="1:50" hidden="1">
      <c r="A523" s="1" t="s">
        <v>336</v>
      </c>
      <c r="B523" s="1">
        <f t="shared" si="216"/>
        <v>1</v>
      </c>
      <c r="C523" s="16">
        <v>45747</v>
      </c>
      <c r="D523" s="16">
        <v>45747</v>
      </c>
      <c r="E523" s="16" t="str">
        <f t="shared" si="235"/>
        <v>Mar</v>
      </c>
      <c r="F523" s="1">
        <f t="shared" si="236"/>
        <v>2025</v>
      </c>
      <c r="G523" t="s">
        <v>2213</v>
      </c>
      <c r="H523" s="17">
        <v>45748</v>
      </c>
      <c r="I523" s="21">
        <f t="shared" si="237"/>
        <v>1</v>
      </c>
      <c r="J523" s="6" t="str">
        <f t="shared" si="238"/>
        <v>OK</v>
      </c>
      <c r="K523" s="1" t="s">
        <v>338</v>
      </c>
      <c r="L523" s="1" t="s">
        <v>334</v>
      </c>
      <c r="M523" s="1" t="str">
        <f t="shared" si="217"/>
        <v>Kabir Singh</v>
      </c>
      <c r="N523" s="1" t="s">
        <v>110</v>
      </c>
      <c r="O523" s="1" t="str">
        <f t="shared" si="218"/>
        <v>Home Office</v>
      </c>
      <c r="P523" s="1" t="s">
        <v>71</v>
      </c>
      <c r="Q523" s="1" t="str">
        <f t="shared" si="219"/>
        <v>West</v>
      </c>
      <c r="R523" s="1" t="str">
        <f t="shared" si="220"/>
        <v>OK</v>
      </c>
      <c r="S523" s="1" t="s">
        <v>218</v>
      </c>
      <c r="T523" s="1" t="str">
        <f t="shared" si="221"/>
        <v>Gujarat</v>
      </c>
      <c r="U523" s="1" t="s">
        <v>219</v>
      </c>
      <c r="V523" s="1" t="str">
        <f t="shared" si="222"/>
        <v>Ahmedabad</v>
      </c>
      <c r="W523" s="1" t="s">
        <v>29</v>
      </c>
      <c r="X523" s="1" t="str">
        <f t="shared" si="223"/>
        <v>Office Supplies</v>
      </c>
      <c r="Y523" s="1" t="s">
        <v>148</v>
      </c>
      <c r="Z523" s="1" t="str">
        <f t="shared" si="224"/>
        <v>Storage</v>
      </c>
      <c r="AA523" s="1" t="s">
        <v>339</v>
      </c>
      <c r="AB523" s="1" t="s">
        <v>55</v>
      </c>
      <c r="AC523" s="1" t="str">
        <f t="shared" si="225"/>
        <v>First Class</v>
      </c>
      <c r="AD523" s="1" t="str">
        <f t="shared" si="226"/>
        <v>OK</v>
      </c>
      <c r="AE523" s="1">
        <v>5</v>
      </c>
      <c r="AF523" s="1">
        <v>1207.47</v>
      </c>
      <c r="AG523" s="9">
        <v>0.15</v>
      </c>
      <c r="AH523" s="9">
        <f t="shared" si="227"/>
        <v>0.15</v>
      </c>
      <c r="AI523" s="1" t="str">
        <f t="shared" si="228"/>
        <v>OK</v>
      </c>
      <c r="AJ523" s="1">
        <v>5131.75</v>
      </c>
      <c r="AK523" s="1">
        <v>2838.68</v>
      </c>
      <c r="AL523" s="1">
        <v>2293.0700000000002</v>
      </c>
      <c r="AM523" s="13">
        <f t="shared" si="229"/>
        <v>5131.7475000000004</v>
      </c>
      <c r="AN523" s="9">
        <f t="shared" si="230"/>
        <v>2293.0675000000006</v>
      </c>
      <c r="AO523" s="9">
        <f t="shared" si="239"/>
        <v>0.44683950252813498</v>
      </c>
      <c r="AP523" s="1" t="s">
        <v>33</v>
      </c>
      <c r="AQ523" s="1" t="str">
        <f t="shared" si="231"/>
        <v>Paid</v>
      </c>
      <c r="AR523" s="1" t="str">
        <f t="shared" si="232"/>
        <v>OK</v>
      </c>
      <c r="AS523" s="1" t="s">
        <v>34</v>
      </c>
      <c r="AT523" s="3" t="str">
        <f t="shared" si="233"/>
        <v>Completed</v>
      </c>
      <c r="AU523" s="3" t="str">
        <f t="shared" si="234"/>
        <v>OK</v>
      </c>
      <c r="AV523" s="3" t="str">
        <f t="shared" si="240"/>
        <v>CLEAN</v>
      </c>
      <c r="AW523" t="str">
        <f t="shared" si="241"/>
        <v>MATCH</v>
      </c>
      <c r="AX523" t="str">
        <f t="shared" si="242"/>
        <v>MATCH</v>
      </c>
    </row>
    <row r="524" spans="1:50">
      <c r="A524" s="1" t="s">
        <v>340</v>
      </c>
      <c r="B524" s="1">
        <f t="shared" si="216"/>
        <v>1</v>
      </c>
      <c r="C524" s="16">
        <v>45807</v>
      </c>
      <c r="D524" s="16">
        <v>45807</v>
      </c>
      <c r="E524" s="16" t="str">
        <f t="shared" si="235"/>
        <v>May</v>
      </c>
      <c r="F524" s="1">
        <f t="shared" si="236"/>
        <v>2025</v>
      </c>
      <c r="G524" t="s">
        <v>2038</v>
      </c>
      <c r="H524" s="17">
        <v>45724</v>
      </c>
      <c r="I524" s="21">
        <f t="shared" si="237"/>
        <v>-83</v>
      </c>
      <c r="J524" s="6" t="str">
        <f t="shared" si="238"/>
        <v>INVALID_SHIPPING</v>
      </c>
      <c r="K524" s="1" t="s">
        <v>342</v>
      </c>
      <c r="L524" s="1" t="s">
        <v>59</v>
      </c>
      <c r="M524" s="1" t="str">
        <f t="shared" si="217"/>
        <v>Arjun Bose</v>
      </c>
      <c r="N524" s="1" t="s">
        <v>104</v>
      </c>
      <c r="O524" s="1" t="str">
        <f t="shared" si="218"/>
        <v>Corporate</v>
      </c>
      <c r="P524" s="1" t="s">
        <v>60</v>
      </c>
      <c r="Q524" s="1" t="str">
        <f t="shared" si="219"/>
        <v>South</v>
      </c>
      <c r="R524" s="1" t="str">
        <f t="shared" si="220"/>
        <v>OK</v>
      </c>
      <c r="S524" s="1" t="s">
        <v>309</v>
      </c>
      <c r="T524" s="1" t="str">
        <f t="shared" si="221"/>
        <v>Tamil Nadu</v>
      </c>
      <c r="U524" s="1" t="s">
        <v>310</v>
      </c>
      <c r="V524" s="1" t="str">
        <f t="shared" si="222"/>
        <v>Chennai</v>
      </c>
      <c r="W524" s="1" t="s">
        <v>29</v>
      </c>
      <c r="X524" s="1" t="str">
        <f t="shared" si="223"/>
        <v>Office Supplies</v>
      </c>
      <c r="Y524" s="1" t="s">
        <v>105</v>
      </c>
      <c r="Z524" s="1" t="str">
        <f t="shared" si="224"/>
        <v>Labels</v>
      </c>
      <c r="AA524" s="1" t="s">
        <v>343</v>
      </c>
      <c r="AB524" s="1" t="s">
        <v>47</v>
      </c>
      <c r="AC524" s="1" t="str">
        <f t="shared" si="225"/>
        <v>Same Day</v>
      </c>
      <c r="AD524" s="1" t="str">
        <f t="shared" si="226"/>
        <v>OK</v>
      </c>
      <c r="AE524" s="1">
        <v>8</v>
      </c>
      <c r="AF524" s="1">
        <v>474.37</v>
      </c>
      <c r="AG524" s="9">
        <v>0.1</v>
      </c>
      <c r="AH524" s="9">
        <f t="shared" si="227"/>
        <v>0.1</v>
      </c>
      <c r="AI524" s="1" t="str">
        <f t="shared" si="228"/>
        <v>OK</v>
      </c>
      <c r="AJ524" s="1">
        <v>3415.46</v>
      </c>
      <c r="AK524" s="1">
        <v>1993.23</v>
      </c>
      <c r="AL524" s="1">
        <v>1422.23</v>
      </c>
      <c r="AM524" s="13">
        <f t="shared" si="229"/>
        <v>3415.4639999999999</v>
      </c>
      <c r="AN524" s="9">
        <f t="shared" si="230"/>
        <v>1422.2339999999999</v>
      </c>
      <c r="AO524" s="9">
        <f t="shared" si="239"/>
        <v>0.4164101861416194</v>
      </c>
      <c r="AP524" s="1" t="s">
        <v>186</v>
      </c>
      <c r="AQ524" s="1" t="str">
        <f t="shared" si="231"/>
        <v>Failed</v>
      </c>
      <c r="AR524" s="1" t="str">
        <f t="shared" si="232"/>
        <v>EXCLUDE_FROM_SALES</v>
      </c>
      <c r="AS524" s="1" t="s">
        <v>76</v>
      </c>
      <c r="AT524" s="3" t="str">
        <f t="shared" si="233"/>
        <v>Cancelled</v>
      </c>
      <c r="AU524" s="3" t="str">
        <f t="shared" si="234"/>
        <v>EXCLUDE_FROM_SALES</v>
      </c>
      <c r="AV524" s="3" t="str">
        <f t="shared" si="240"/>
        <v>INVALID</v>
      </c>
      <c r="AW524" t="str">
        <f t="shared" si="241"/>
        <v>MATCH</v>
      </c>
      <c r="AX524" t="str">
        <f t="shared" si="242"/>
        <v>MATCH</v>
      </c>
    </row>
    <row r="525" spans="1:50">
      <c r="A525" s="1" t="s">
        <v>344</v>
      </c>
      <c r="B525" s="1">
        <f t="shared" si="216"/>
        <v>1</v>
      </c>
      <c r="C525" s="16">
        <v>45839</v>
      </c>
      <c r="D525" s="16">
        <v>45839</v>
      </c>
      <c r="E525" s="16" t="str">
        <f t="shared" si="235"/>
        <v>Jul</v>
      </c>
      <c r="F525" s="1">
        <f t="shared" si="236"/>
        <v>2025</v>
      </c>
      <c r="G525" t="s">
        <v>2221</v>
      </c>
      <c r="H525" s="17">
        <v>45385</v>
      </c>
      <c r="I525" s="21">
        <f t="shared" si="237"/>
        <v>-454</v>
      </c>
      <c r="J525" s="6" t="str">
        <f t="shared" si="238"/>
        <v>INVALID_SHIPPING</v>
      </c>
      <c r="K525" s="1" t="s">
        <v>346</v>
      </c>
      <c r="L525" s="1" t="s">
        <v>39</v>
      </c>
      <c r="M525" s="1" t="str">
        <f t="shared" si="217"/>
        <v>Mira Das</v>
      </c>
      <c r="N525" s="1" t="s">
        <v>40</v>
      </c>
      <c r="O525" s="1" t="str">
        <f t="shared" si="218"/>
        <v>Small Business</v>
      </c>
      <c r="P525" s="1" t="s">
        <v>60</v>
      </c>
      <c r="Q525" s="1" t="str">
        <f t="shared" si="219"/>
        <v>South</v>
      </c>
      <c r="R525" s="1" t="str">
        <f t="shared" si="220"/>
        <v>OK</v>
      </c>
      <c r="S525" s="1" t="s">
        <v>97</v>
      </c>
      <c r="T525" s="1" t="str">
        <f t="shared" si="221"/>
        <v>Andhra Pradesh</v>
      </c>
      <c r="U525" s="1" t="s">
        <v>98</v>
      </c>
      <c r="V525" s="1" t="str">
        <f t="shared" si="222"/>
        <v>Vijayawada</v>
      </c>
      <c r="W525" s="1" t="s">
        <v>83</v>
      </c>
      <c r="X525" s="1" t="str">
        <f t="shared" si="223"/>
        <v>Technology</v>
      </c>
      <c r="Y525" s="1" t="s">
        <v>347</v>
      </c>
      <c r="Z525" s="1" t="str">
        <f t="shared" si="224"/>
        <v>Machines</v>
      </c>
      <c r="AA525" s="1" t="s">
        <v>348</v>
      </c>
      <c r="AB525" s="1" t="s">
        <v>47</v>
      </c>
      <c r="AC525" s="1" t="str">
        <f t="shared" si="225"/>
        <v>Same Day</v>
      </c>
      <c r="AD525" s="1" t="str">
        <f t="shared" si="226"/>
        <v>OK</v>
      </c>
      <c r="AE525" s="1">
        <v>3</v>
      </c>
      <c r="AF525" s="1">
        <v>1516.24</v>
      </c>
      <c r="AG525" s="9">
        <v>0.25</v>
      </c>
      <c r="AH525" s="9">
        <f t="shared" si="227"/>
        <v>0.25</v>
      </c>
      <c r="AI525" s="1" t="str">
        <f t="shared" si="228"/>
        <v>OK</v>
      </c>
      <c r="AJ525" s="1">
        <v>3411.54</v>
      </c>
      <c r="AK525" s="1">
        <v>2803.13</v>
      </c>
      <c r="AL525" s="1">
        <v>608.41</v>
      </c>
      <c r="AM525" s="13">
        <f t="shared" si="229"/>
        <v>3411.54</v>
      </c>
      <c r="AN525" s="9">
        <f t="shared" si="230"/>
        <v>608.40999999999985</v>
      </c>
      <c r="AO525" s="9">
        <f t="shared" si="239"/>
        <v>0.17833881472883209</v>
      </c>
      <c r="AP525" s="1" t="s">
        <v>33</v>
      </c>
      <c r="AQ525" s="1" t="str">
        <f t="shared" si="231"/>
        <v>Paid</v>
      </c>
      <c r="AR525" s="1" t="str">
        <f t="shared" si="232"/>
        <v>OK</v>
      </c>
      <c r="AS525" s="1" t="s">
        <v>34</v>
      </c>
      <c r="AT525" s="3" t="str">
        <f t="shared" si="233"/>
        <v>Completed</v>
      </c>
      <c r="AU525" s="3" t="str">
        <f t="shared" si="234"/>
        <v>OK</v>
      </c>
      <c r="AV525" s="3" t="str">
        <f t="shared" si="240"/>
        <v>INVALID</v>
      </c>
      <c r="AW525" t="str">
        <f t="shared" si="241"/>
        <v>MATCH</v>
      </c>
      <c r="AX525" t="str">
        <f t="shared" si="242"/>
        <v>MATCH</v>
      </c>
    </row>
    <row r="526" spans="1:50">
      <c r="A526" s="1" t="s">
        <v>349</v>
      </c>
      <c r="B526" s="1">
        <f t="shared" si="216"/>
        <v>1</v>
      </c>
      <c r="C526" s="16">
        <v>45778</v>
      </c>
      <c r="D526" s="16">
        <v>45778</v>
      </c>
      <c r="E526" s="16" t="str">
        <f t="shared" si="235"/>
        <v>May</v>
      </c>
      <c r="F526" s="1">
        <f t="shared" si="236"/>
        <v>2025</v>
      </c>
      <c r="G526" t="s">
        <v>2225</v>
      </c>
      <c r="H526" s="17">
        <v>45627</v>
      </c>
      <c r="I526" s="21">
        <f t="shared" si="237"/>
        <v>-151</v>
      </c>
      <c r="J526" s="6" t="str">
        <f t="shared" si="238"/>
        <v>INVALID_SHIPPING</v>
      </c>
      <c r="K526" s="1" t="s">
        <v>351</v>
      </c>
      <c r="L526" s="1" t="s">
        <v>24</v>
      </c>
      <c r="M526" s="1" t="str">
        <f t="shared" si="217"/>
        <v>Karan Malhotra</v>
      </c>
      <c r="N526" s="1" t="s">
        <v>25</v>
      </c>
      <c r="O526" s="1" t="str">
        <f t="shared" si="218"/>
        <v>Consumer</v>
      </c>
      <c r="P526" s="1" t="s">
        <v>60</v>
      </c>
      <c r="Q526" s="1" t="str">
        <f t="shared" si="219"/>
        <v>South</v>
      </c>
      <c r="R526" s="1" t="str">
        <f t="shared" si="220"/>
        <v>OK</v>
      </c>
      <c r="S526" s="1" t="s">
        <v>212</v>
      </c>
      <c r="T526" s="1" t="str">
        <f t="shared" si="221"/>
        <v>Karnataka</v>
      </c>
      <c r="U526" s="1" t="s">
        <v>213</v>
      </c>
      <c r="V526" s="1" t="str">
        <f t="shared" si="222"/>
        <v>Bengaluru</v>
      </c>
      <c r="W526" s="1" t="s">
        <v>29</v>
      </c>
      <c r="X526" s="1" t="str">
        <f t="shared" si="223"/>
        <v>Office Supplies</v>
      </c>
      <c r="Y526" s="1" t="s">
        <v>184</v>
      </c>
      <c r="Z526" s="1" t="str">
        <f t="shared" si="224"/>
        <v>Binders</v>
      </c>
      <c r="AA526" s="1" t="s">
        <v>352</v>
      </c>
      <c r="AB526" s="1" t="s">
        <v>32</v>
      </c>
      <c r="AC526" s="1" t="str">
        <f t="shared" si="225"/>
        <v>Second Class</v>
      </c>
      <c r="AD526" s="1" t="str">
        <f t="shared" si="226"/>
        <v>OK</v>
      </c>
      <c r="AE526" s="1">
        <v>3</v>
      </c>
      <c r="AF526" s="1">
        <v>3155.61</v>
      </c>
      <c r="AG526" s="9">
        <v>0</v>
      </c>
      <c r="AH526" s="9">
        <f t="shared" si="227"/>
        <v>0</v>
      </c>
      <c r="AI526" s="1" t="str">
        <f t="shared" si="228"/>
        <v>OK</v>
      </c>
      <c r="AJ526" s="1">
        <v>9466.83</v>
      </c>
      <c r="AK526" s="1">
        <v>6557.83</v>
      </c>
      <c r="AL526" s="1">
        <v>2909</v>
      </c>
      <c r="AM526" s="13">
        <f t="shared" si="229"/>
        <v>9466.83</v>
      </c>
      <c r="AN526" s="9">
        <f t="shared" si="230"/>
        <v>2909</v>
      </c>
      <c r="AO526" s="9">
        <f t="shared" si="239"/>
        <v>0.30728343067320318</v>
      </c>
      <c r="AP526" s="1" t="s">
        <v>119</v>
      </c>
      <c r="AQ526" s="1" t="str">
        <f t="shared" si="231"/>
        <v>Refunded</v>
      </c>
      <c r="AR526" s="1" t="str">
        <f t="shared" si="232"/>
        <v>REFUNDED_PAYMENT</v>
      </c>
      <c r="AS526" s="1" t="s">
        <v>76</v>
      </c>
      <c r="AT526" s="3" t="str">
        <f t="shared" si="233"/>
        <v>Cancelled</v>
      </c>
      <c r="AU526" s="3" t="str">
        <f t="shared" si="234"/>
        <v>EXCLUDE_FROM_SALES</v>
      </c>
      <c r="AV526" s="3" t="str">
        <f t="shared" si="240"/>
        <v>INVALID</v>
      </c>
      <c r="AW526" t="str">
        <f t="shared" si="241"/>
        <v>MATCH</v>
      </c>
      <c r="AX526" t="str">
        <f t="shared" si="242"/>
        <v>MATCH</v>
      </c>
    </row>
    <row r="527" spans="1:50">
      <c r="A527" s="1" t="s">
        <v>391</v>
      </c>
      <c r="B527" s="1">
        <f t="shared" si="216"/>
        <v>1</v>
      </c>
      <c r="C527" s="16">
        <v>45897</v>
      </c>
      <c r="D527" s="16">
        <v>45897</v>
      </c>
      <c r="E527" s="16" t="str">
        <f t="shared" si="235"/>
        <v>Aug</v>
      </c>
      <c r="F527" s="1">
        <f t="shared" si="236"/>
        <v>2025</v>
      </c>
      <c r="G527" t="s">
        <v>2229</v>
      </c>
      <c r="H527" s="17">
        <v>45582</v>
      </c>
      <c r="I527" s="21">
        <f t="shared" si="237"/>
        <v>-315</v>
      </c>
      <c r="J527" s="6" t="str">
        <f t="shared" si="238"/>
        <v>INVALID_SHIPPING</v>
      </c>
      <c r="K527" s="1" t="s">
        <v>394</v>
      </c>
      <c r="L527" s="1" t="s">
        <v>24</v>
      </c>
      <c r="M527" s="1" t="str">
        <f t="shared" si="217"/>
        <v>Karan Malhotra</v>
      </c>
      <c r="N527" s="1" t="s">
        <v>40</v>
      </c>
      <c r="O527" s="1" t="str">
        <f t="shared" si="218"/>
        <v>Small Business</v>
      </c>
      <c r="P527" s="1" t="s">
        <v>60</v>
      </c>
      <c r="Q527" s="1" t="str">
        <f t="shared" si="219"/>
        <v>South</v>
      </c>
      <c r="R527" s="1" t="str">
        <f t="shared" si="220"/>
        <v>OK</v>
      </c>
      <c r="S527" s="1" t="s">
        <v>309</v>
      </c>
      <c r="T527" s="1" t="str">
        <f t="shared" si="221"/>
        <v>Tamil Nadu</v>
      </c>
      <c r="U527" s="1" t="s">
        <v>310</v>
      </c>
      <c r="V527" s="1" t="str">
        <f t="shared" si="222"/>
        <v>Chennai</v>
      </c>
      <c r="W527" s="1" t="s">
        <v>83</v>
      </c>
      <c r="X527" s="1" t="str">
        <f t="shared" si="223"/>
        <v>Technology</v>
      </c>
      <c r="Y527" s="1" t="s">
        <v>84</v>
      </c>
      <c r="Z527" s="1" t="str">
        <f t="shared" si="224"/>
        <v>Accessories</v>
      </c>
      <c r="AA527" s="1" t="s">
        <v>395</v>
      </c>
      <c r="AB527" s="1" t="s">
        <v>47</v>
      </c>
      <c r="AC527" s="1" t="str">
        <f t="shared" si="225"/>
        <v>Same Day</v>
      </c>
      <c r="AD527" s="1" t="str">
        <f t="shared" si="226"/>
        <v>OK</v>
      </c>
      <c r="AE527" s="1">
        <v>7</v>
      </c>
      <c r="AF527" s="1">
        <v>1057.46</v>
      </c>
      <c r="AG527" s="9">
        <v>0.05</v>
      </c>
      <c r="AH527" s="9">
        <f t="shared" si="227"/>
        <v>0.05</v>
      </c>
      <c r="AI527" s="1" t="str">
        <f t="shared" si="228"/>
        <v>OK</v>
      </c>
      <c r="AJ527" s="1">
        <v>7032.11</v>
      </c>
      <c r="AK527" s="1">
        <v>4610.34</v>
      </c>
      <c r="AL527" s="1">
        <v>2421.77</v>
      </c>
      <c r="AM527" s="13">
        <f t="shared" si="229"/>
        <v>7032.1089999999995</v>
      </c>
      <c r="AN527" s="9">
        <f t="shared" si="230"/>
        <v>2421.7689999999993</v>
      </c>
      <c r="AO527" s="9">
        <f t="shared" si="239"/>
        <v>0.34438729547565311</v>
      </c>
      <c r="AP527" s="1" t="s">
        <v>33</v>
      </c>
      <c r="AQ527" s="1" t="str">
        <f t="shared" si="231"/>
        <v>Paid</v>
      </c>
      <c r="AR527" s="1" t="str">
        <f t="shared" si="232"/>
        <v>OK</v>
      </c>
      <c r="AS527" s="1" t="s">
        <v>34</v>
      </c>
      <c r="AT527" s="3" t="str">
        <f t="shared" si="233"/>
        <v>Completed</v>
      </c>
      <c r="AU527" s="3" t="str">
        <f t="shared" si="234"/>
        <v>OK</v>
      </c>
      <c r="AV527" s="3" t="str">
        <f t="shared" si="240"/>
        <v>INVALID</v>
      </c>
      <c r="AW527" t="str">
        <f t="shared" si="241"/>
        <v>MATCH</v>
      </c>
      <c r="AX527" t="str">
        <f t="shared" si="242"/>
        <v>MATCH</v>
      </c>
    </row>
    <row r="528" spans="1:50" hidden="1">
      <c r="A528" s="1" t="s">
        <v>396</v>
      </c>
      <c r="B528" s="1">
        <f t="shared" si="216"/>
        <v>1</v>
      </c>
      <c r="C528" s="16">
        <v>45718</v>
      </c>
      <c r="D528" s="16">
        <v>45718</v>
      </c>
      <c r="E528" s="16" t="str">
        <f t="shared" si="235"/>
        <v>Mar</v>
      </c>
      <c r="F528" s="1">
        <f t="shared" si="236"/>
        <v>2025</v>
      </c>
      <c r="G528" t="s">
        <v>2233</v>
      </c>
      <c r="H528" s="17">
        <v>45859</v>
      </c>
      <c r="I528" s="21">
        <f t="shared" si="237"/>
        <v>141</v>
      </c>
      <c r="J528" s="6" t="str">
        <f t="shared" si="238"/>
        <v>OK</v>
      </c>
      <c r="K528" s="1" t="s">
        <v>399</v>
      </c>
      <c r="L528" s="1" t="s">
        <v>334</v>
      </c>
      <c r="M528" s="1" t="str">
        <f t="shared" si="217"/>
        <v>Kabir Singh</v>
      </c>
      <c r="N528" s="1" t="s">
        <v>25</v>
      </c>
      <c r="O528" s="1" t="str">
        <f t="shared" si="218"/>
        <v>Consumer</v>
      </c>
      <c r="P528" s="1" t="s">
        <v>26</v>
      </c>
      <c r="Q528" s="1" t="str">
        <f t="shared" si="219"/>
        <v>North</v>
      </c>
      <c r="R528" s="1" t="str">
        <f t="shared" si="220"/>
        <v>OK</v>
      </c>
      <c r="S528" s="1" t="s">
        <v>294</v>
      </c>
      <c r="T528" s="1" t="str">
        <f t="shared" si="221"/>
        <v>Haryana</v>
      </c>
      <c r="U528" s="1" t="s">
        <v>295</v>
      </c>
      <c r="V528" s="1" t="str">
        <f t="shared" si="222"/>
        <v>Gurugram</v>
      </c>
      <c r="W528" s="1" t="s">
        <v>29</v>
      </c>
      <c r="X528" s="1" t="str">
        <f t="shared" si="223"/>
        <v>Office Supplies</v>
      </c>
      <c r="Y528" s="1" t="s">
        <v>30</v>
      </c>
      <c r="Z528" s="1" t="str">
        <f t="shared" si="224"/>
        <v>Paper</v>
      </c>
      <c r="AA528" s="1" t="s">
        <v>400</v>
      </c>
      <c r="AB528" s="1" t="s">
        <v>55</v>
      </c>
      <c r="AC528" s="1" t="str">
        <f t="shared" si="225"/>
        <v>First Class</v>
      </c>
      <c r="AD528" s="1" t="str">
        <f t="shared" si="226"/>
        <v>OK</v>
      </c>
      <c r="AE528" s="1">
        <v>7</v>
      </c>
      <c r="AF528" s="1">
        <v>3609.34</v>
      </c>
      <c r="AG528" s="9">
        <v>0.05</v>
      </c>
      <c r="AH528" s="9">
        <f t="shared" si="227"/>
        <v>0.05</v>
      </c>
      <c r="AI528" s="1" t="str">
        <f t="shared" si="228"/>
        <v>OK</v>
      </c>
      <c r="AJ528" s="1">
        <v>24002.11</v>
      </c>
      <c r="AK528" s="1">
        <v>18707.57</v>
      </c>
      <c r="AL528" s="1">
        <v>5294.54</v>
      </c>
      <c r="AM528" s="13">
        <f t="shared" si="229"/>
        <v>24002.111000000001</v>
      </c>
      <c r="AN528" s="9">
        <f t="shared" si="230"/>
        <v>5294.5410000000011</v>
      </c>
      <c r="AO528" s="9">
        <f t="shared" si="239"/>
        <v>0.2205864725815159</v>
      </c>
      <c r="AP528" s="1" t="s">
        <v>33</v>
      </c>
      <c r="AQ528" s="1" t="str">
        <f t="shared" si="231"/>
        <v>Paid</v>
      </c>
      <c r="AR528" s="1" t="str">
        <f t="shared" si="232"/>
        <v>OK</v>
      </c>
      <c r="AS528" s="1" t="s">
        <v>34</v>
      </c>
      <c r="AT528" s="3" t="str">
        <f t="shared" si="233"/>
        <v>Completed</v>
      </c>
      <c r="AU528" s="3" t="str">
        <f t="shared" si="234"/>
        <v>OK</v>
      </c>
      <c r="AV528" s="3" t="str">
        <f t="shared" si="240"/>
        <v>CLEAN</v>
      </c>
      <c r="AW528" t="str">
        <f t="shared" si="241"/>
        <v>MATCH</v>
      </c>
      <c r="AX528" t="str">
        <f t="shared" si="242"/>
        <v>MATCH</v>
      </c>
    </row>
    <row r="529" spans="1:50" hidden="1">
      <c r="A529" s="1" t="s">
        <v>409</v>
      </c>
      <c r="B529" s="1">
        <f t="shared" si="216"/>
        <v>1</v>
      </c>
      <c r="C529" s="16">
        <v>45891</v>
      </c>
      <c r="D529" s="16">
        <v>45891</v>
      </c>
      <c r="E529" s="16" t="str">
        <f t="shared" si="235"/>
        <v>Aug</v>
      </c>
      <c r="F529" s="1">
        <f t="shared" si="236"/>
        <v>2025</v>
      </c>
      <c r="G529" t="s">
        <v>2237</v>
      </c>
      <c r="H529" s="17">
        <v>45935</v>
      </c>
      <c r="I529" s="21">
        <f t="shared" si="237"/>
        <v>44</v>
      </c>
      <c r="J529" s="6" t="str">
        <f t="shared" si="238"/>
        <v>OK</v>
      </c>
      <c r="K529" s="1" t="s">
        <v>411</v>
      </c>
      <c r="L529" s="1" t="s">
        <v>24</v>
      </c>
      <c r="M529" s="1" t="str">
        <f t="shared" si="217"/>
        <v>Karan Malhotra</v>
      </c>
      <c r="N529" s="1" t="s">
        <v>104</v>
      </c>
      <c r="O529" s="1" t="str">
        <f t="shared" si="218"/>
        <v>Corporate</v>
      </c>
      <c r="P529" s="1" t="s">
        <v>60</v>
      </c>
      <c r="Q529" s="1" t="str">
        <f t="shared" si="219"/>
        <v>South</v>
      </c>
      <c r="R529" s="1" t="str">
        <f t="shared" si="220"/>
        <v>OK</v>
      </c>
      <c r="S529" s="1" t="s">
        <v>97</v>
      </c>
      <c r="T529" s="1" t="str">
        <f t="shared" si="221"/>
        <v>Andhra Pradesh</v>
      </c>
      <c r="U529" s="1" t="s">
        <v>98</v>
      </c>
      <c r="V529" s="1" t="str">
        <f t="shared" si="222"/>
        <v>Vijayawada</v>
      </c>
      <c r="W529" s="1" t="s">
        <v>83</v>
      </c>
      <c r="X529" s="1" t="str">
        <f t="shared" si="223"/>
        <v>Technology</v>
      </c>
      <c r="Y529" s="1" t="s">
        <v>207</v>
      </c>
      <c r="Z529" s="1" t="str">
        <f t="shared" si="224"/>
        <v>Phones</v>
      </c>
      <c r="AA529" s="1" t="s">
        <v>412</v>
      </c>
      <c r="AB529" s="1" t="s">
        <v>55</v>
      </c>
      <c r="AC529" s="1" t="str">
        <f t="shared" si="225"/>
        <v>First Class</v>
      </c>
      <c r="AD529" s="1" t="str">
        <f t="shared" si="226"/>
        <v>OK</v>
      </c>
      <c r="AE529" s="1">
        <v>2</v>
      </c>
      <c r="AF529" s="1">
        <v>905.87</v>
      </c>
      <c r="AG529" s="9">
        <v>0.15</v>
      </c>
      <c r="AH529" s="9">
        <f t="shared" si="227"/>
        <v>0.15</v>
      </c>
      <c r="AI529" s="1" t="str">
        <f t="shared" si="228"/>
        <v>OK</v>
      </c>
      <c r="AJ529" s="1">
        <v>1539.98</v>
      </c>
      <c r="AK529" s="1">
        <v>1070.2</v>
      </c>
      <c r="AL529" s="1">
        <v>469.78</v>
      </c>
      <c r="AM529" s="13">
        <f t="shared" si="229"/>
        <v>1539.979</v>
      </c>
      <c r="AN529" s="9">
        <f t="shared" si="230"/>
        <v>469.779</v>
      </c>
      <c r="AO529" s="9">
        <f t="shared" si="239"/>
        <v>0.30505545854846072</v>
      </c>
      <c r="AP529" s="1" t="s">
        <v>33</v>
      </c>
      <c r="AQ529" s="1" t="str">
        <f t="shared" si="231"/>
        <v>Paid</v>
      </c>
      <c r="AR529" s="1" t="str">
        <f t="shared" si="232"/>
        <v>OK</v>
      </c>
      <c r="AS529" s="1" t="s">
        <v>34</v>
      </c>
      <c r="AT529" s="3" t="str">
        <f t="shared" si="233"/>
        <v>Completed</v>
      </c>
      <c r="AU529" s="3" t="str">
        <f t="shared" si="234"/>
        <v>OK</v>
      </c>
      <c r="AV529" s="3" t="str">
        <f t="shared" si="240"/>
        <v>CLEAN</v>
      </c>
      <c r="AW529" t="str">
        <f t="shared" si="241"/>
        <v>MATCH</v>
      </c>
      <c r="AX529" t="str">
        <f t="shared" si="242"/>
        <v>MATCH</v>
      </c>
    </row>
    <row r="530" spans="1:50">
      <c r="A530" s="1" t="s">
        <v>413</v>
      </c>
      <c r="B530" s="1">
        <f t="shared" si="216"/>
        <v>1</v>
      </c>
      <c r="C530" s="16">
        <v>45763</v>
      </c>
      <c r="D530" s="16">
        <v>45763</v>
      </c>
      <c r="E530" s="16" t="str">
        <f t="shared" si="235"/>
        <v>Apr</v>
      </c>
      <c r="F530" s="1">
        <f t="shared" si="236"/>
        <v>2025</v>
      </c>
      <c r="G530" t="s">
        <v>2241</v>
      </c>
      <c r="H530" s="17">
        <v>45545</v>
      </c>
      <c r="I530" s="21">
        <f t="shared" si="237"/>
        <v>-218</v>
      </c>
      <c r="J530" s="6" t="str">
        <f t="shared" si="238"/>
        <v>INVALID_SHIPPING</v>
      </c>
      <c r="K530" s="1" t="s">
        <v>415</v>
      </c>
      <c r="L530" s="1" t="s">
        <v>39</v>
      </c>
      <c r="M530" s="1" t="str">
        <f t="shared" si="217"/>
        <v>Mira Das</v>
      </c>
      <c r="N530" s="1" t="s">
        <v>40</v>
      </c>
      <c r="O530" s="1" t="str">
        <f t="shared" si="218"/>
        <v>Small Business</v>
      </c>
      <c r="P530" s="1" t="s">
        <v>71</v>
      </c>
      <c r="Q530" s="1" t="str">
        <f t="shared" si="219"/>
        <v>West</v>
      </c>
      <c r="R530" s="1" t="str">
        <f t="shared" si="220"/>
        <v>OK</v>
      </c>
      <c r="S530" s="1" t="s">
        <v>230</v>
      </c>
      <c r="T530" s="1" t="str">
        <f t="shared" si="221"/>
        <v>Goa</v>
      </c>
      <c r="U530" s="1" t="s">
        <v>231</v>
      </c>
      <c r="V530" s="1" t="str">
        <f t="shared" si="222"/>
        <v>Panaji</v>
      </c>
      <c r="W530" s="1" t="s">
        <v>83</v>
      </c>
      <c r="X530" s="1" t="str">
        <f t="shared" si="223"/>
        <v>Technology</v>
      </c>
      <c r="Y530" s="1" t="s">
        <v>347</v>
      </c>
      <c r="Z530" s="1" t="str">
        <f t="shared" si="224"/>
        <v>Machines</v>
      </c>
      <c r="AA530" s="1" t="s">
        <v>416</v>
      </c>
      <c r="AB530" s="1" t="s">
        <v>65</v>
      </c>
      <c r="AC530" s="1" t="str">
        <f t="shared" si="225"/>
        <v>Standard Class</v>
      </c>
      <c r="AD530" s="1" t="str">
        <f t="shared" si="226"/>
        <v>OK</v>
      </c>
      <c r="AE530" s="1">
        <v>6</v>
      </c>
      <c r="AF530" s="1">
        <v>2027.32</v>
      </c>
      <c r="AG530" s="9">
        <v>0.1</v>
      </c>
      <c r="AH530" s="9">
        <f t="shared" si="227"/>
        <v>0.1</v>
      </c>
      <c r="AI530" s="1" t="str">
        <f t="shared" si="228"/>
        <v>OK</v>
      </c>
      <c r="AJ530" s="1">
        <v>10947.53</v>
      </c>
      <c r="AK530" s="1">
        <v>6447.36</v>
      </c>
      <c r="AL530" s="1">
        <v>4500.17</v>
      </c>
      <c r="AM530" s="13">
        <f t="shared" si="229"/>
        <v>10947.528</v>
      </c>
      <c r="AN530" s="9">
        <f t="shared" si="230"/>
        <v>4500.1680000000006</v>
      </c>
      <c r="AO530" s="9">
        <f t="shared" si="239"/>
        <v>0.41106704636882413</v>
      </c>
      <c r="AP530" s="1" t="s">
        <v>33</v>
      </c>
      <c r="AQ530" s="1" t="str">
        <f t="shared" si="231"/>
        <v>Paid</v>
      </c>
      <c r="AR530" s="1" t="str">
        <f t="shared" si="232"/>
        <v>OK</v>
      </c>
      <c r="AS530" s="1" t="s">
        <v>34</v>
      </c>
      <c r="AT530" s="3" t="str">
        <f t="shared" si="233"/>
        <v>Completed</v>
      </c>
      <c r="AU530" s="3" t="str">
        <f t="shared" si="234"/>
        <v>OK</v>
      </c>
      <c r="AV530" s="3" t="str">
        <f t="shared" si="240"/>
        <v>INVALID</v>
      </c>
      <c r="AW530" t="str">
        <f t="shared" si="241"/>
        <v>MATCH</v>
      </c>
      <c r="AX530" t="str">
        <f t="shared" si="242"/>
        <v>MATCH</v>
      </c>
    </row>
    <row r="531" spans="1:50">
      <c r="A531" s="1" t="s">
        <v>421</v>
      </c>
      <c r="B531" s="1">
        <f t="shared" si="216"/>
        <v>1</v>
      </c>
      <c r="C531" s="16">
        <v>45745</v>
      </c>
      <c r="D531" s="16">
        <v>45745</v>
      </c>
      <c r="E531" s="16" t="str">
        <f t="shared" si="235"/>
        <v>Mar</v>
      </c>
      <c r="F531" s="1">
        <f t="shared" si="236"/>
        <v>2025</v>
      </c>
      <c r="G531" t="s">
        <v>2245</v>
      </c>
      <c r="H531" s="17">
        <v>45330</v>
      </c>
      <c r="I531" s="21">
        <f t="shared" si="237"/>
        <v>-415</v>
      </c>
      <c r="J531" s="6" t="str">
        <f t="shared" si="238"/>
        <v>INVALID_SHIPPING</v>
      </c>
      <c r="K531" s="1" t="s">
        <v>423</v>
      </c>
      <c r="L531" s="1" t="s">
        <v>158</v>
      </c>
      <c r="M531" s="1" t="str">
        <f t="shared" si="217"/>
        <v>Sneha Kapoor</v>
      </c>
      <c r="N531" s="1" t="s">
        <v>104</v>
      </c>
      <c r="O531" s="1" t="str">
        <f t="shared" si="218"/>
        <v>Corporate</v>
      </c>
      <c r="P531" s="1" t="s">
        <v>41</v>
      </c>
      <c r="Q531" s="1" t="str">
        <f t="shared" si="219"/>
        <v>East</v>
      </c>
      <c r="R531" s="1" t="str">
        <f t="shared" si="220"/>
        <v>OK</v>
      </c>
      <c r="S531" s="1" t="s">
        <v>116</v>
      </c>
      <c r="T531" s="1" t="str">
        <f t="shared" si="221"/>
        <v>West Bengal</v>
      </c>
      <c r="U531" s="1" t="s">
        <v>117</v>
      </c>
      <c r="V531" s="1" t="str">
        <f t="shared" si="222"/>
        <v>Kolkata</v>
      </c>
      <c r="W531" s="1" t="s">
        <v>44</v>
      </c>
      <c r="X531" s="1" t="str">
        <f t="shared" si="223"/>
        <v>Furniture</v>
      </c>
      <c r="Y531" s="1" t="s">
        <v>190</v>
      </c>
      <c r="Z531" s="1" t="str">
        <f t="shared" si="224"/>
        <v>Bookcases</v>
      </c>
      <c r="AA531" s="1" t="s">
        <v>424</v>
      </c>
      <c r="AB531" s="1" t="s">
        <v>55</v>
      </c>
      <c r="AC531" s="1" t="str">
        <f t="shared" si="225"/>
        <v>First Class</v>
      </c>
      <c r="AD531" s="1" t="str">
        <f t="shared" si="226"/>
        <v>OK</v>
      </c>
      <c r="AE531" s="1">
        <v>5</v>
      </c>
      <c r="AF531" s="1">
        <v>1425.74</v>
      </c>
      <c r="AG531" s="9">
        <v>0</v>
      </c>
      <c r="AH531" s="9">
        <f t="shared" si="227"/>
        <v>0</v>
      </c>
      <c r="AI531" s="1" t="str">
        <f t="shared" si="228"/>
        <v>OK</v>
      </c>
      <c r="AJ531" s="1">
        <v>7128.7</v>
      </c>
      <c r="AK531" s="1">
        <v>4382.1499999999996</v>
      </c>
      <c r="AL531" s="1">
        <v>2746.55</v>
      </c>
      <c r="AM531" s="13">
        <f t="shared" si="229"/>
        <v>7128.7</v>
      </c>
      <c r="AN531" s="9">
        <f t="shared" si="230"/>
        <v>2746.55</v>
      </c>
      <c r="AO531" s="9">
        <f t="shared" si="239"/>
        <v>0.38528062620113068</v>
      </c>
      <c r="AP531" s="1" t="s">
        <v>33</v>
      </c>
      <c r="AQ531" s="1" t="str">
        <f t="shared" si="231"/>
        <v>Paid</v>
      </c>
      <c r="AR531" s="1" t="str">
        <f t="shared" si="232"/>
        <v>OK</v>
      </c>
      <c r="AS531" s="1" t="s">
        <v>34</v>
      </c>
      <c r="AT531" s="3" t="str">
        <f t="shared" si="233"/>
        <v>Completed</v>
      </c>
      <c r="AU531" s="3" t="str">
        <f t="shared" si="234"/>
        <v>OK</v>
      </c>
      <c r="AV531" s="3" t="str">
        <f t="shared" si="240"/>
        <v>INVALID</v>
      </c>
      <c r="AW531" t="str">
        <f t="shared" si="241"/>
        <v>MATCH</v>
      </c>
      <c r="AX531" t="str">
        <f t="shared" si="242"/>
        <v>MATCH</v>
      </c>
    </row>
    <row r="532" spans="1:50" hidden="1">
      <c r="A532" s="1" t="s">
        <v>425</v>
      </c>
      <c r="B532" s="1">
        <f t="shared" si="216"/>
        <v>1</v>
      </c>
      <c r="C532" s="16">
        <v>45715</v>
      </c>
      <c r="D532" s="16">
        <v>45715</v>
      </c>
      <c r="E532" s="16" t="str">
        <f t="shared" si="235"/>
        <v>Feb</v>
      </c>
      <c r="F532" s="1">
        <f t="shared" si="236"/>
        <v>2025</v>
      </c>
      <c r="G532" t="s">
        <v>2248</v>
      </c>
      <c r="H532" s="17">
        <v>45809</v>
      </c>
      <c r="I532" s="21">
        <f t="shared" si="237"/>
        <v>94</v>
      </c>
      <c r="J532" s="6" t="str">
        <f t="shared" si="238"/>
        <v>OK</v>
      </c>
      <c r="K532" s="1" t="s">
        <v>427</v>
      </c>
      <c r="L532" s="1" t="s">
        <v>80</v>
      </c>
      <c r="M532" s="1" t="str">
        <f t="shared" si="217"/>
        <v>Vikram Iyer</v>
      </c>
      <c r="N532" s="1" t="s">
        <v>40</v>
      </c>
      <c r="O532" s="1" t="str">
        <f t="shared" si="218"/>
        <v>Small Business</v>
      </c>
      <c r="P532" s="1" t="s">
        <v>41</v>
      </c>
      <c r="Q532" s="1" t="str">
        <f t="shared" si="219"/>
        <v>East</v>
      </c>
      <c r="R532" s="1" t="str">
        <f t="shared" si="220"/>
        <v>OK</v>
      </c>
      <c r="S532" s="1" t="s">
        <v>116</v>
      </c>
      <c r="T532" s="1" t="str">
        <f t="shared" si="221"/>
        <v>West Bengal</v>
      </c>
      <c r="U532" s="1" t="s">
        <v>117</v>
      </c>
      <c r="V532" s="1" t="str">
        <f t="shared" si="222"/>
        <v>Kolkata</v>
      </c>
      <c r="W532" s="1" t="s">
        <v>44</v>
      </c>
      <c r="X532" s="1" t="str">
        <f t="shared" si="223"/>
        <v>Furniture</v>
      </c>
      <c r="Y532" s="1" t="s">
        <v>74</v>
      </c>
      <c r="Z532" s="1" t="str">
        <f t="shared" si="224"/>
        <v>Chairs</v>
      </c>
      <c r="AA532" s="1" t="s">
        <v>428</v>
      </c>
      <c r="AB532" s="1" t="s">
        <v>65</v>
      </c>
      <c r="AC532" s="1" t="str">
        <f t="shared" si="225"/>
        <v>Standard Class</v>
      </c>
      <c r="AD532" s="1" t="str">
        <f t="shared" si="226"/>
        <v>OK</v>
      </c>
      <c r="AE532" s="1">
        <v>6</v>
      </c>
      <c r="AF532" s="1">
        <v>551.64</v>
      </c>
      <c r="AG532" s="9">
        <v>0</v>
      </c>
      <c r="AH532" s="9">
        <f t="shared" si="227"/>
        <v>0</v>
      </c>
      <c r="AI532" s="1" t="str">
        <f t="shared" si="228"/>
        <v>OK</v>
      </c>
      <c r="AJ532" s="1">
        <v>3309.84</v>
      </c>
      <c r="AK532" s="1">
        <v>2671.08</v>
      </c>
      <c r="AL532" s="1">
        <v>638.76</v>
      </c>
      <c r="AM532" s="13">
        <f t="shared" si="229"/>
        <v>3309.84</v>
      </c>
      <c r="AN532" s="9">
        <f t="shared" si="230"/>
        <v>638.76000000000022</v>
      </c>
      <c r="AO532" s="9">
        <f t="shared" si="239"/>
        <v>0.19298818069755644</v>
      </c>
      <c r="AP532" s="1" t="s">
        <v>33</v>
      </c>
      <c r="AQ532" s="1" t="str">
        <f t="shared" si="231"/>
        <v>Paid</v>
      </c>
      <c r="AR532" s="1" t="str">
        <f t="shared" si="232"/>
        <v>OK</v>
      </c>
      <c r="AS532" s="1" t="s">
        <v>34</v>
      </c>
      <c r="AT532" s="3" t="str">
        <f t="shared" si="233"/>
        <v>Completed</v>
      </c>
      <c r="AU532" s="3" t="str">
        <f t="shared" si="234"/>
        <v>OK</v>
      </c>
      <c r="AV532" s="3" t="str">
        <f t="shared" si="240"/>
        <v>CLEAN</v>
      </c>
      <c r="AW532" t="str">
        <f t="shared" si="241"/>
        <v>MATCH</v>
      </c>
      <c r="AX532" t="str">
        <f t="shared" si="242"/>
        <v>MATCH</v>
      </c>
    </row>
    <row r="533" spans="1:50">
      <c r="A533" s="1" t="s">
        <v>429</v>
      </c>
      <c r="B533" s="1">
        <f t="shared" si="216"/>
        <v>1</v>
      </c>
      <c r="C533" s="16">
        <v>45891</v>
      </c>
      <c r="D533" s="16">
        <v>45891</v>
      </c>
      <c r="E533" s="16" t="str">
        <f t="shared" si="235"/>
        <v>Aug</v>
      </c>
      <c r="F533" s="1">
        <f t="shared" si="236"/>
        <v>2025</v>
      </c>
      <c r="G533" t="s">
        <v>2252</v>
      </c>
      <c r="H533" s="17">
        <v>45512</v>
      </c>
      <c r="I533" s="21">
        <f t="shared" si="237"/>
        <v>-379</v>
      </c>
      <c r="J533" s="6" t="str">
        <f t="shared" si="238"/>
        <v>INVALID_SHIPPING</v>
      </c>
      <c r="K533" s="1" t="s">
        <v>431</v>
      </c>
      <c r="L533" s="1" t="s">
        <v>136</v>
      </c>
      <c r="M533" s="1" t="str">
        <f t="shared" si="217"/>
        <v>Priya Menon</v>
      </c>
      <c r="N533" s="1" t="s">
        <v>40</v>
      </c>
      <c r="O533" s="1" t="str">
        <f t="shared" si="218"/>
        <v>Small Business</v>
      </c>
      <c r="P533" s="1" t="s">
        <v>41</v>
      </c>
      <c r="Q533" s="1" t="str">
        <f t="shared" si="219"/>
        <v>East</v>
      </c>
      <c r="R533" s="1" t="str">
        <f t="shared" si="220"/>
        <v>OK</v>
      </c>
      <c r="S533" s="1" t="s">
        <v>42</v>
      </c>
      <c r="T533" s="1" t="str">
        <f t="shared" si="221"/>
        <v>Odisha</v>
      </c>
      <c r="U533" s="1" t="s">
        <v>43</v>
      </c>
      <c r="V533" s="1" t="str">
        <f t="shared" si="222"/>
        <v>Bhubaneswar</v>
      </c>
      <c r="W533" s="1" t="s">
        <v>29</v>
      </c>
      <c r="X533" s="1" t="str">
        <f t="shared" si="223"/>
        <v>Office Supplies</v>
      </c>
      <c r="Y533" s="1" t="s">
        <v>105</v>
      </c>
      <c r="Z533" s="1" t="str">
        <f t="shared" si="224"/>
        <v>Labels</v>
      </c>
      <c r="AA533" s="1" t="s">
        <v>432</v>
      </c>
      <c r="AB533" s="1" t="s">
        <v>55</v>
      </c>
      <c r="AC533" s="1" t="str">
        <f t="shared" si="225"/>
        <v>First Class</v>
      </c>
      <c r="AD533" s="1" t="str">
        <f t="shared" si="226"/>
        <v>OK</v>
      </c>
      <c r="AE533" s="1">
        <v>3</v>
      </c>
      <c r="AF533" s="1">
        <v>3294.82</v>
      </c>
      <c r="AG533" s="9">
        <v>0.2</v>
      </c>
      <c r="AH533" s="9">
        <f t="shared" si="227"/>
        <v>0.2</v>
      </c>
      <c r="AI533" s="1" t="str">
        <f t="shared" si="228"/>
        <v>OK</v>
      </c>
      <c r="AJ533" s="1">
        <v>7907.57</v>
      </c>
      <c r="AK533" s="1">
        <v>5391.18</v>
      </c>
      <c r="AL533" s="1">
        <v>2516.39</v>
      </c>
      <c r="AM533" s="13">
        <f t="shared" si="229"/>
        <v>7907.5680000000011</v>
      </c>
      <c r="AN533" s="9">
        <f t="shared" si="230"/>
        <v>2516.3880000000008</v>
      </c>
      <c r="AO533" s="9">
        <f t="shared" si="239"/>
        <v>0.31822527482533197</v>
      </c>
      <c r="AP533" s="1" t="s">
        <v>33</v>
      </c>
      <c r="AQ533" s="1" t="str">
        <f t="shared" si="231"/>
        <v>Paid</v>
      </c>
      <c r="AR533" s="1" t="str">
        <f t="shared" si="232"/>
        <v>OK</v>
      </c>
      <c r="AS533" s="1" t="s">
        <v>34</v>
      </c>
      <c r="AT533" s="3" t="str">
        <f t="shared" si="233"/>
        <v>Completed</v>
      </c>
      <c r="AU533" s="3" t="str">
        <f t="shared" si="234"/>
        <v>OK</v>
      </c>
      <c r="AV533" s="3" t="str">
        <f t="shared" si="240"/>
        <v>INVALID</v>
      </c>
      <c r="AW533" t="str">
        <f t="shared" si="241"/>
        <v>MATCH</v>
      </c>
      <c r="AX533" t="str">
        <f t="shared" si="242"/>
        <v>MATCH</v>
      </c>
    </row>
    <row r="534" spans="1:50" hidden="1">
      <c r="A534" s="1" t="s">
        <v>438</v>
      </c>
      <c r="B534" s="1">
        <f t="shared" si="216"/>
        <v>1</v>
      </c>
      <c r="C534" s="16">
        <v>45876</v>
      </c>
      <c r="D534" s="16">
        <v>45876</v>
      </c>
      <c r="E534" s="16" t="str">
        <f t="shared" si="235"/>
        <v>Aug</v>
      </c>
      <c r="F534" s="1">
        <f t="shared" si="236"/>
        <v>2025</v>
      </c>
      <c r="G534" t="s">
        <v>281</v>
      </c>
      <c r="H534" s="17">
        <v>45940</v>
      </c>
      <c r="I534" s="21">
        <f t="shared" si="237"/>
        <v>64</v>
      </c>
      <c r="J534" s="6" t="str">
        <f t="shared" si="238"/>
        <v>OK</v>
      </c>
      <c r="K534" s="1" t="s">
        <v>441</v>
      </c>
      <c r="L534" s="1" t="s">
        <v>169</v>
      </c>
      <c r="M534" s="1" t="str">
        <f t="shared" si="217"/>
        <v>Rohan Mehta</v>
      </c>
      <c r="N534" s="1" t="s">
        <v>110</v>
      </c>
      <c r="O534" s="1" t="str">
        <f t="shared" si="218"/>
        <v>Home Office</v>
      </c>
      <c r="P534" s="1" t="s">
        <v>26</v>
      </c>
      <c r="Q534" s="1" t="str">
        <f t="shared" si="219"/>
        <v>North</v>
      </c>
      <c r="R534" s="1" t="str">
        <f t="shared" si="220"/>
        <v>OK</v>
      </c>
      <c r="S534" s="1" t="s">
        <v>163</v>
      </c>
      <c r="T534" s="1" t="str">
        <f t="shared" si="221"/>
        <v>Uttar Pradesh</v>
      </c>
      <c r="U534" s="1" t="s">
        <v>164</v>
      </c>
      <c r="V534" s="1" t="str">
        <f t="shared" si="222"/>
        <v>Noida</v>
      </c>
      <c r="W534" s="1" t="s">
        <v>44</v>
      </c>
      <c r="X534" s="1" t="str">
        <f t="shared" si="223"/>
        <v>Furniture</v>
      </c>
      <c r="Y534" s="1" t="s">
        <v>63</v>
      </c>
      <c r="Z534" s="1" t="str">
        <f t="shared" si="224"/>
        <v>Furnishings</v>
      </c>
      <c r="AA534" s="1" t="s">
        <v>442</v>
      </c>
      <c r="AB534" s="1" t="s">
        <v>65</v>
      </c>
      <c r="AC534" s="1" t="str">
        <f t="shared" si="225"/>
        <v>Standard Class</v>
      </c>
      <c r="AD534" s="1" t="str">
        <f t="shared" si="226"/>
        <v>OK</v>
      </c>
      <c r="AE534" s="1">
        <v>1</v>
      </c>
      <c r="AF534" s="1">
        <v>2582.1999999999998</v>
      </c>
      <c r="AG534" s="9">
        <v>0.15</v>
      </c>
      <c r="AH534" s="9">
        <f t="shared" si="227"/>
        <v>0.15</v>
      </c>
      <c r="AI534" s="1" t="str">
        <f t="shared" si="228"/>
        <v>OK</v>
      </c>
      <c r="AJ534" s="1">
        <v>2194.87</v>
      </c>
      <c r="AK534" s="1">
        <v>1223.17</v>
      </c>
      <c r="AL534" s="1">
        <v>971.7</v>
      </c>
      <c r="AM534" s="13">
        <f t="shared" si="229"/>
        <v>2194.87</v>
      </c>
      <c r="AN534" s="9">
        <f t="shared" si="230"/>
        <v>971.69999999999982</v>
      </c>
      <c r="AO534" s="9">
        <f t="shared" si="239"/>
        <v>0.44271414707932583</v>
      </c>
      <c r="AP534" s="1" t="s">
        <v>119</v>
      </c>
      <c r="AQ534" s="1" t="str">
        <f t="shared" si="231"/>
        <v>Refunded</v>
      </c>
      <c r="AR534" s="1" t="str">
        <f t="shared" si="232"/>
        <v>REFUNDED_PAYMENT</v>
      </c>
      <c r="AS534" s="1" t="s">
        <v>76</v>
      </c>
      <c r="AT534" s="3" t="str">
        <f t="shared" si="233"/>
        <v>Cancelled</v>
      </c>
      <c r="AU534" s="3" t="str">
        <f t="shared" si="234"/>
        <v>EXCLUDE_FROM_SALES</v>
      </c>
      <c r="AV534" s="3" t="str">
        <f t="shared" si="240"/>
        <v>CLEAN</v>
      </c>
      <c r="AW534" t="str">
        <f t="shared" si="241"/>
        <v>MATCH</v>
      </c>
      <c r="AX534" t="str">
        <f t="shared" si="242"/>
        <v>MATCH</v>
      </c>
    </row>
    <row r="535" spans="1:50">
      <c r="A535" s="1" t="s">
        <v>443</v>
      </c>
      <c r="B535" s="1">
        <f t="shared" si="216"/>
        <v>1</v>
      </c>
      <c r="C535" s="16">
        <v>45854</v>
      </c>
      <c r="D535" s="16">
        <v>45854</v>
      </c>
      <c r="E535" s="16" t="str">
        <f t="shared" si="235"/>
        <v>Jul</v>
      </c>
      <c r="F535" s="1">
        <f t="shared" si="236"/>
        <v>2025</v>
      </c>
      <c r="G535" t="s">
        <v>358</v>
      </c>
      <c r="H535" s="17">
        <v>45536</v>
      </c>
      <c r="I535" s="21">
        <f t="shared" si="237"/>
        <v>-318</v>
      </c>
      <c r="J535" s="6" t="str">
        <f t="shared" si="238"/>
        <v>INVALID_SHIPPING</v>
      </c>
      <c r="K535" s="1" t="s">
        <v>445</v>
      </c>
      <c r="L535" s="1" t="s">
        <v>158</v>
      </c>
      <c r="M535" s="1" t="str">
        <f t="shared" si="217"/>
        <v>Sneha Kapoor</v>
      </c>
      <c r="N535" s="1" t="s">
        <v>104</v>
      </c>
      <c r="O535" s="1" t="str">
        <f t="shared" si="218"/>
        <v>Corporate</v>
      </c>
      <c r="P535" s="1" t="s">
        <v>41</v>
      </c>
      <c r="Q535" s="1" t="str">
        <f t="shared" si="219"/>
        <v>East</v>
      </c>
      <c r="R535" s="1" t="str">
        <f t="shared" si="220"/>
        <v>OK</v>
      </c>
      <c r="S535" s="1" t="s">
        <v>116</v>
      </c>
      <c r="T535" s="1" t="str">
        <f t="shared" si="221"/>
        <v>West Bengal</v>
      </c>
      <c r="U535" s="1" t="s">
        <v>117</v>
      </c>
      <c r="V535" s="1" t="str">
        <f t="shared" si="222"/>
        <v>Kolkata</v>
      </c>
      <c r="W535" s="1" t="s">
        <v>44</v>
      </c>
      <c r="X535" s="1" t="str">
        <f t="shared" si="223"/>
        <v>Furniture</v>
      </c>
      <c r="Y535" s="1" t="s">
        <v>45</v>
      </c>
      <c r="Z535" s="1" t="str">
        <f t="shared" si="224"/>
        <v>Tables</v>
      </c>
      <c r="AA535" s="1" t="s">
        <v>446</v>
      </c>
      <c r="AB535" s="1" t="s">
        <v>55</v>
      </c>
      <c r="AC535" s="1" t="str">
        <f t="shared" si="225"/>
        <v>First Class</v>
      </c>
      <c r="AD535" s="1" t="str">
        <f t="shared" si="226"/>
        <v>OK</v>
      </c>
      <c r="AE535" s="1">
        <v>5</v>
      </c>
      <c r="AF535" s="1">
        <v>2129.5100000000002</v>
      </c>
      <c r="AG535" s="9">
        <v>0.15</v>
      </c>
      <c r="AH535" s="9">
        <f t="shared" si="227"/>
        <v>0.15</v>
      </c>
      <c r="AI535" s="1" t="str">
        <f t="shared" si="228"/>
        <v>OK</v>
      </c>
      <c r="AJ535" s="1">
        <v>9050.42</v>
      </c>
      <c r="AK535" s="1">
        <v>6778.85</v>
      </c>
      <c r="AL535" s="1">
        <v>2271.5700000000002</v>
      </c>
      <c r="AM535" s="13">
        <f t="shared" si="229"/>
        <v>9050.4175000000014</v>
      </c>
      <c r="AN535" s="9">
        <f t="shared" si="230"/>
        <v>2271.567500000001</v>
      </c>
      <c r="AO535" s="9">
        <f t="shared" si="239"/>
        <v>0.25099035486484472</v>
      </c>
      <c r="AP535" s="1" t="s">
        <v>33</v>
      </c>
      <c r="AQ535" s="1" t="str">
        <f t="shared" si="231"/>
        <v>Paid</v>
      </c>
      <c r="AR535" s="1" t="str">
        <f t="shared" si="232"/>
        <v>OK</v>
      </c>
      <c r="AS535" s="1" t="s">
        <v>34</v>
      </c>
      <c r="AT535" s="3" t="str">
        <f t="shared" si="233"/>
        <v>Completed</v>
      </c>
      <c r="AU535" s="3" t="str">
        <f t="shared" si="234"/>
        <v>OK</v>
      </c>
      <c r="AV535" s="3" t="str">
        <f t="shared" si="240"/>
        <v>INVALID</v>
      </c>
      <c r="AW535" t="str">
        <f t="shared" si="241"/>
        <v>MATCH</v>
      </c>
      <c r="AX535" t="str">
        <f t="shared" si="242"/>
        <v>MATCH</v>
      </c>
    </row>
    <row r="536" spans="1:50">
      <c r="A536" s="1" t="s">
        <v>447</v>
      </c>
      <c r="B536" s="1">
        <f t="shared" si="216"/>
        <v>1</v>
      </c>
      <c r="C536" s="16">
        <v>45927</v>
      </c>
      <c r="D536" s="16">
        <v>45927</v>
      </c>
      <c r="E536" s="16" t="str">
        <f t="shared" si="235"/>
        <v>Sep</v>
      </c>
      <c r="F536" s="1">
        <f t="shared" si="236"/>
        <v>2025</v>
      </c>
      <c r="G536" t="s">
        <v>2262</v>
      </c>
      <c r="H536" s="17">
        <v>45782</v>
      </c>
      <c r="I536" s="21">
        <f t="shared" si="237"/>
        <v>-145</v>
      </c>
      <c r="J536" s="6" t="str">
        <f t="shared" si="238"/>
        <v>INVALID_SHIPPING</v>
      </c>
      <c r="K536" s="1" t="s">
        <v>449</v>
      </c>
      <c r="L536" s="1" t="s">
        <v>196</v>
      </c>
      <c r="M536" s="1" t="str">
        <f t="shared" si="217"/>
        <v>Diya Patel</v>
      </c>
      <c r="N536" s="1" t="s">
        <v>110</v>
      </c>
      <c r="O536" s="1" t="str">
        <f t="shared" si="218"/>
        <v>Home Office</v>
      </c>
      <c r="P536" s="1" t="s">
        <v>60</v>
      </c>
      <c r="Q536" s="1" t="str">
        <f t="shared" si="219"/>
        <v>South</v>
      </c>
      <c r="R536" s="1" t="str">
        <f t="shared" si="220"/>
        <v>OK</v>
      </c>
      <c r="S536" s="1" t="s">
        <v>309</v>
      </c>
      <c r="T536" s="1" t="str">
        <f t="shared" si="221"/>
        <v>Tamil Nadu</v>
      </c>
      <c r="U536" s="1" t="s">
        <v>310</v>
      </c>
      <c r="V536" s="1" t="str">
        <f t="shared" si="222"/>
        <v>Chennai</v>
      </c>
      <c r="W536" s="1" t="s">
        <v>44</v>
      </c>
      <c r="X536" s="1" t="str">
        <f t="shared" si="223"/>
        <v>Furniture</v>
      </c>
      <c r="Y536" s="1" t="s">
        <v>74</v>
      </c>
      <c r="Z536" s="1" t="str">
        <f t="shared" si="224"/>
        <v>Chairs</v>
      </c>
      <c r="AA536" s="1" t="s">
        <v>450</v>
      </c>
      <c r="AB536" s="1" t="s">
        <v>47</v>
      </c>
      <c r="AC536" s="1" t="str">
        <f t="shared" si="225"/>
        <v>Same Day</v>
      </c>
      <c r="AD536" s="1" t="str">
        <f t="shared" si="226"/>
        <v>OK</v>
      </c>
      <c r="AE536" s="1">
        <v>9</v>
      </c>
      <c r="AF536" s="1">
        <v>4131.5200000000004</v>
      </c>
      <c r="AG536" s="9">
        <v>0.1</v>
      </c>
      <c r="AH536" s="9">
        <f t="shared" si="227"/>
        <v>0.1</v>
      </c>
      <c r="AI536" s="1" t="str">
        <f t="shared" si="228"/>
        <v>OK</v>
      </c>
      <c r="AJ536" s="1">
        <v>33465.31</v>
      </c>
      <c r="AK536" s="1">
        <v>24781.26</v>
      </c>
      <c r="AL536" s="1">
        <v>8684.0499999999993</v>
      </c>
      <c r="AM536" s="13">
        <f t="shared" si="229"/>
        <v>33465.312000000005</v>
      </c>
      <c r="AN536" s="9">
        <f t="shared" si="230"/>
        <v>8684.052000000007</v>
      </c>
      <c r="AO536" s="9">
        <f t="shared" si="239"/>
        <v>0.25949412932411942</v>
      </c>
      <c r="AP536" s="1" t="s">
        <v>33</v>
      </c>
      <c r="AQ536" s="1" t="str">
        <f t="shared" si="231"/>
        <v>Paid</v>
      </c>
      <c r="AR536" s="1" t="str">
        <f t="shared" si="232"/>
        <v>OK</v>
      </c>
      <c r="AS536" s="1" t="s">
        <v>34</v>
      </c>
      <c r="AT536" s="3" t="str">
        <f t="shared" si="233"/>
        <v>Completed</v>
      </c>
      <c r="AU536" s="3" t="str">
        <f t="shared" si="234"/>
        <v>OK</v>
      </c>
      <c r="AV536" s="3" t="str">
        <f t="shared" si="240"/>
        <v>INVALID</v>
      </c>
      <c r="AW536" t="str">
        <f t="shared" si="241"/>
        <v>MATCH</v>
      </c>
      <c r="AX536" t="str">
        <f t="shared" si="242"/>
        <v>MATCH</v>
      </c>
    </row>
    <row r="537" spans="1:50">
      <c r="A537" s="1" t="s">
        <v>457</v>
      </c>
      <c r="B537" s="1">
        <f t="shared" si="216"/>
        <v>1</v>
      </c>
      <c r="C537" s="16">
        <v>45732</v>
      </c>
      <c r="D537" s="16">
        <v>45732</v>
      </c>
      <c r="E537" s="16" t="str">
        <f t="shared" si="235"/>
        <v>Mar</v>
      </c>
      <c r="F537" s="1">
        <f t="shared" si="236"/>
        <v>2025</v>
      </c>
      <c r="G537" t="s">
        <v>2266</v>
      </c>
      <c r="H537" s="17">
        <v>45433</v>
      </c>
      <c r="I537" s="21">
        <f t="shared" si="237"/>
        <v>-299</v>
      </c>
      <c r="J537" s="6" t="str">
        <f t="shared" si="238"/>
        <v>INVALID_SHIPPING</v>
      </c>
      <c r="K537" s="1" t="s">
        <v>459</v>
      </c>
      <c r="L537" s="1" t="s">
        <v>24</v>
      </c>
      <c r="M537" s="1" t="str">
        <f t="shared" si="217"/>
        <v>Karan Malhotra</v>
      </c>
      <c r="N537" s="1" t="s">
        <v>110</v>
      </c>
      <c r="O537" s="1" t="str">
        <f t="shared" si="218"/>
        <v>Home Office</v>
      </c>
      <c r="P537" s="1" t="s">
        <v>71</v>
      </c>
      <c r="Q537" s="1" t="str">
        <f t="shared" si="219"/>
        <v>West</v>
      </c>
      <c r="R537" s="1" t="str">
        <f t="shared" si="220"/>
        <v>OK</v>
      </c>
      <c r="S537" s="1" t="s">
        <v>230</v>
      </c>
      <c r="T537" s="1" t="str">
        <f t="shared" si="221"/>
        <v>Goa</v>
      </c>
      <c r="U537" s="1" t="s">
        <v>231</v>
      </c>
      <c r="V537" s="1" t="str">
        <f t="shared" si="222"/>
        <v>Panaji</v>
      </c>
      <c r="W537" s="1" t="s">
        <v>29</v>
      </c>
      <c r="X537" s="1" t="str">
        <f t="shared" si="223"/>
        <v>Office Supplies</v>
      </c>
      <c r="Y537" s="1" t="s">
        <v>105</v>
      </c>
      <c r="Z537" s="1" t="str">
        <f t="shared" si="224"/>
        <v>Labels</v>
      </c>
      <c r="AA537" s="1" t="s">
        <v>460</v>
      </c>
      <c r="AB537" s="1" t="s">
        <v>47</v>
      </c>
      <c r="AC537" s="1" t="str">
        <f t="shared" si="225"/>
        <v>Same Day</v>
      </c>
      <c r="AD537" s="1" t="str">
        <f t="shared" si="226"/>
        <v>OK</v>
      </c>
      <c r="AE537" s="1">
        <v>3</v>
      </c>
      <c r="AF537" s="1">
        <v>1841.91</v>
      </c>
      <c r="AG537" s="9">
        <v>0</v>
      </c>
      <c r="AH537" s="9">
        <f t="shared" si="227"/>
        <v>0</v>
      </c>
      <c r="AI537" s="1" t="str">
        <f t="shared" si="228"/>
        <v>OK</v>
      </c>
      <c r="AJ537" s="1">
        <v>5525.73</v>
      </c>
      <c r="AK537" s="1">
        <v>3093.42</v>
      </c>
      <c r="AL537" s="1">
        <v>2432.31</v>
      </c>
      <c r="AM537" s="13">
        <f t="shared" si="229"/>
        <v>5525.7300000000005</v>
      </c>
      <c r="AN537" s="9">
        <f t="shared" si="230"/>
        <v>2432.3100000000004</v>
      </c>
      <c r="AO537" s="9">
        <f t="shared" si="239"/>
        <v>0.44017894468242208</v>
      </c>
      <c r="AP537" s="1" t="s">
        <v>33</v>
      </c>
      <c r="AQ537" s="1" t="str">
        <f t="shared" si="231"/>
        <v>Paid</v>
      </c>
      <c r="AR537" s="1" t="str">
        <f t="shared" si="232"/>
        <v>OK</v>
      </c>
      <c r="AS537" s="1" t="s">
        <v>34</v>
      </c>
      <c r="AT537" s="3" t="str">
        <f t="shared" si="233"/>
        <v>Completed</v>
      </c>
      <c r="AU537" s="3" t="str">
        <f t="shared" si="234"/>
        <v>OK</v>
      </c>
      <c r="AV537" s="3" t="str">
        <f t="shared" si="240"/>
        <v>INVALID</v>
      </c>
      <c r="AW537" t="str">
        <f t="shared" si="241"/>
        <v>MATCH</v>
      </c>
      <c r="AX537" t="str">
        <f t="shared" si="242"/>
        <v>MATCH</v>
      </c>
    </row>
    <row r="538" spans="1:50">
      <c r="A538" s="1" t="s">
        <v>494</v>
      </c>
      <c r="B538" s="1">
        <f t="shared" si="216"/>
        <v>2</v>
      </c>
      <c r="C538" s="16">
        <v>45893</v>
      </c>
      <c r="D538" s="16">
        <v>45893</v>
      </c>
      <c r="E538" s="16" t="str">
        <f t="shared" si="235"/>
        <v>Aug</v>
      </c>
      <c r="F538" s="1">
        <f t="shared" si="236"/>
        <v>2025</v>
      </c>
      <c r="G538" t="s">
        <v>2270</v>
      </c>
      <c r="H538" s="17">
        <v>45764</v>
      </c>
      <c r="I538" s="21">
        <f t="shared" si="237"/>
        <v>-129</v>
      </c>
      <c r="J538" s="6" t="str">
        <f t="shared" si="238"/>
        <v>INVALID_SHIPPING</v>
      </c>
      <c r="K538" s="1" t="s">
        <v>495</v>
      </c>
      <c r="L538" s="1" t="s">
        <v>153</v>
      </c>
      <c r="M538" s="1" t="str">
        <f t="shared" si="217"/>
        <v>Aarav Sharma</v>
      </c>
      <c r="N538" s="1" t="s">
        <v>40</v>
      </c>
      <c r="O538" s="1" t="str">
        <f t="shared" si="218"/>
        <v>Small Business</v>
      </c>
      <c r="P538" s="1" t="s">
        <v>41</v>
      </c>
      <c r="Q538" s="1" t="str">
        <f t="shared" si="219"/>
        <v>East</v>
      </c>
      <c r="R538" s="1" t="str">
        <f t="shared" si="220"/>
        <v>OK</v>
      </c>
      <c r="S538" s="1" t="s">
        <v>174</v>
      </c>
      <c r="T538" s="1" t="str">
        <f t="shared" si="221"/>
        <v>Bihar</v>
      </c>
      <c r="U538" s="1" t="s">
        <v>175</v>
      </c>
      <c r="V538" s="1" t="str">
        <f t="shared" si="222"/>
        <v>Patna</v>
      </c>
      <c r="W538" s="1" t="s">
        <v>83</v>
      </c>
      <c r="X538" s="1" t="str">
        <f t="shared" si="223"/>
        <v>Technology</v>
      </c>
      <c r="Y538" s="1" t="s">
        <v>91</v>
      </c>
      <c r="Z538" s="1" t="str">
        <f t="shared" si="224"/>
        <v>Copiers</v>
      </c>
      <c r="AA538" s="1" t="s">
        <v>496</v>
      </c>
      <c r="AB538" s="1" t="s">
        <v>55</v>
      </c>
      <c r="AC538" s="1" t="str">
        <f t="shared" si="225"/>
        <v>First Class</v>
      </c>
      <c r="AD538" s="1" t="str">
        <f t="shared" si="226"/>
        <v>OK</v>
      </c>
      <c r="AE538" s="1">
        <v>3</v>
      </c>
      <c r="AF538" s="1">
        <v>3703.96</v>
      </c>
      <c r="AG538" s="9">
        <v>0.15</v>
      </c>
      <c r="AH538" s="9">
        <f t="shared" si="227"/>
        <v>0.15</v>
      </c>
      <c r="AI538" s="1" t="str">
        <f t="shared" si="228"/>
        <v>OK</v>
      </c>
      <c r="AJ538" s="1">
        <v>9445.1</v>
      </c>
      <c r="AK538" s="1">
        <v>5586.28</v>
      </c>
      <c r="AL538" s="1">
        <v>3858.82</v>
      </c>
      <c r="AM538" s="13">
        <f t="shared" si="229"/>
        <v>9445.098</v>
      </c>
      <c r="AN538" s="9">
        <f t="shared" si="230"/>
        <v>3858.8180000000002</v>
      </c>
      <c r="AO538" s="9">
        <f t="shared" si="239"/>
        <v>0.40855245758170006</v>
      </c>
      <c r="AP538" s="1" t="s">
        <v>33</v>
      </c>
      <c r="AQ538" s="1" t="str">
        <f t="shared" si="231"/>
        <v>Paid</v>
      </c>
      <c r="AR538" s="1" t="str">
        <f t="shared" si="232"/>
        <v>OK</v>
      </c>
      <c r="AS538" s="1" t="s">
        <v>34</v>
      </c>
      <c r="AT538" s="3" t="str">
        <f t="shared" si="233"/>
        <v>Completed</v>
      </c>
      <c r="AU538" s="3" t="str">
        <f t="shared" si="234"/>
        <v>OK</v>
      </c>
      <c r="AV538" s="3" t="str">
        <f t="shared" si="240"/>
        <v>INVALID</v>
      </c>
      <c r="AW538" t="str">
        <f t="shared" si="241"/>
        <v>MATCH</v>
      </c>
      <c r="AX538" t="str">
        <f t="shared" si="242"/>
        <v>MATCH</v>
      </c>
    </row>
    <row r="539" spans="1:50" ht="15.6">
      <c r="A539" s="1" t="s">
        <v>494</v>
      </c>
      <c r="B539" s="1">
        <f t="shared" si="216"/>
        <v>2</v>
      </c>
      <c r="C539" s="16">
        <v>45893</v>
      </c>
      <c r="D539" s="16">
        <v>45893</v>
      </c>
      <c r="E539" s="16" t="str">
        <f t="shared" si="235"/>
        <v>Aug</v>
      </c>
      <c r="F539" s="1">
        <f t="shared" si="236"/>
        <v>2025</v>
      </c>
      <c r="G539" t="s">
        <v>2274</v>
      </c>
      <c r="H539" s="17">
        <v>45321</v>
      </c>
      <c r="I539" s="21">
        <f t="shared" si="237"/>
        <v>-572</v>
      </c>
      <c r="J539" s="6" t="str">
        <f t="shared" si="238"/>
        <v>INVALID_SHIPPING</v>
      </c>
      <c r="K539" s="1" t="s">
        <v>495</v>
      </c>
      <c r="L539" s="1" t="s">
        <v>153</v>
      </c>
      <c r="M539" s="1" t="str">
        <f t="shared" si="217"/>
        <v>Aarav Sharma</v>
      </c>
      <c r="N539" s="1" t="s">
        <v>40</v>
      </c>
      <c r="O539" s="1" t="str">
        <f t="shared" si="218"/>
        <v>Small Business</v>
      </c>
      <c r="P539" s="1" t="s">
        <v>41</v>
      </c>
      <c r="Q539" s="1" t="str">
        <f t="shared" si="219"/>
        <v>East</v>
      </c>
      <c r="R539" s="1" t="str">
        <f t="shared" si="220"/>
        <v>OK</v>
      </c>
      <c r="S539" s="1" t="s">
        <v>174</v>
      </c>
      <c r="T539" s="1" t="str">
        <f t="shared" si="221"/>
        <v>Bihar</v>
      </c>
      <c r="U539" s="1" t="s">
        <v>175</v>
      </c>
      <c r="V539" s="1" t="str">
        <f t="shared" si="222"/>
        <v>Patna</v>
      </c>
      <c r="W539" s="1" t="s">
        <v>83</v>
      </c>
      <c r="X539" s="1" t="str">
        <f t="shared" si="223"/>
        <v>Technology</v>
      </c>
      <c r="Y539" s="1" t="s">
        <v>91</v>
      </c>
      <c r="Z539" s="1" t="str">
        <f t="shared" si="224"/>
        <v>Copiers</v>
      </c>
      <c r="AA539" s="1" t="s">
        <v>496</v>
      </c>
      <c r="AB539" s="1" t="s">
        <v>55</v>
      </c>
      <c r="AC539" s="1" t="str">
        <f t="shared" si="225"/>
        <v>First Class</v>
      </c>
      <c r="AD539" s="1" t="str">
        <f t="shared" si="226"/>
        <v>OK</v>
      </c>
      <c r="AE539" s="1">
        <v>3</v>
      </c>
      <c r="AF539" s="1">
        <v>3703.96</v>
      </c>
      <c r="AG539" s="9">
        <v>0.15</v>
      </c>
      <c r="AH539" s="9">
        <f t="shared" si="227"/>
        <v>0.15</v>
      </c>
      <c r="AI539" s="1" t="str">
        <f t="shared" si="228"/>
        <v>OK</v>
      </c>
      <c r="AJ539" s="1">
        <v>9549.44</v>
      </c>
      <c r="AK539" s="1">
        <v>5586.28</v>
      </c>
      <c r="AL539" s="1">
        <v>3858.82</v>
      </c>
      <c r="AM539" s="13">
        <f t="shared" si="229"/>
        <v>9445.098</v>
      </c>
      <c r="AN539" s="9">
        <f t="shared" si="230"/>
        <v>3858.8180000000002</v>
      </c>
      <c r="AO539" s="9">
        <f t="shared" si="239"/>
        <v>0.40855245758170006</v>
      </c>
      <c r="AP539" s="1" t="s">
        <v>33</v>
      </c>
      <c r="AQ539" s="1" t="str">
        <f t="shared" si="231"/>
        <v>Paid</v>
      </c>
      <c r="AR539" s="1" t="str">
        <f t="shared" si="232"/>
        <v>OK</v>
      </c>
      <c r="AS539" s="1" t="s">
        <v>120</v>
      </c>
      <c r="AT539" s="4" t="str">
        <f t="shared" si="233"/>
        <v>Returned</v>
      </c>
      <c r="AU539" s="3" t="str">
        <f t="shared" si="234"/>
        <v>RETURNED_ORDER</v>
      </c>
      <c r="AV539" s="3" t="str">
        <f t="shared" si="240"/>
        <v>INVALID</v>
      </c>
      <c r="AW539" t="str">
        <f t="shared" si="241"/>
        <v>MISMATCH</v>
      </c>
      <c r="AX539" t="str">
        <f t="shared" si="242"/>
        <v>MATCH</v>
      </c>
    </row>
    <row r="540" spans="1:50">
      <c r="A540" s="1" t="s">
        <v>497</v>
      </c>
      <c r="B540" s="1">
        <f t="shared" si="216"/>
        <v>1</v>
      </c>
      <c r="C540" s="16">
        <v>45718</v>
      </c>
      <c r="D540" s="16">
        <v>45718</v>
      </c>
      <c r="E540" s="16" t="str">
        <f t="shared" si="235"/>
        <v>Mar</v>
      </c>
      <c r="F540" s="1">
        <f t="shared" si="236"/>
        <v>2025</v>
      </c>
      <c r="G540" t="s">
        <v>2278</v>
      </c>
      <c r="H540" s="17">
        <v>45301</v>
      </c>
      <c r="I540" s="21">
        <f t="shared" si="237"/>
        <v>-417</v>
      </c>
      <c r="J540" s="6" t="str">
        <f t="shared" si="238"/>
        <v>INVALID_SHIPPING</v>
      </c>
      <c r="K540" s="1" t="s">
        <v>499</v>
      </c>
      <c r="L540" s="1" t="s">
        <v>158</v>
      </c>
      <c r="M540" s="1" t="str">
        <f t="shared" si="217"/>
        <v>Sneha Kapoor</v>
      </c>
      <c r="N540" s="1" t="s">
        <v>104</v>
      </c>
      <c r="O540" s="1" t="str">
        <f t="shared" si="218"/>
        <v>Corporate</v>
      </c>
      <c r="P540" s="1" t="s">
        <v>71</v>
      </c>
      <c r="Q540" s="1" t="str">
        <f t="shared" si="219"/>
        <v>West</v>
      </c>
      <c r="R540" s="1" t="str">
        <f t="shared" si="220"/>
        <v>OK</v>
      </c>
      <c r="S540" s="1" t="s">
        <v>81</v>
      </c>
      <c r="T540" s="1" t="str">
        <f t="shared" si="221"/>
        <v>Madhya Pradesh</v>
      </c>
      <c r="U540" s="1" t="s">
        <v>82</v>
      </c>
      <c r="V540" s="1" t="str">
        <f t="shared" si="222"/>
        <v>Indore</v>
      </c>
      <c r="W540" s="1" t="s">
        <v>83</v>
      </c>
      <c r="X540" s="1" t="str">
        <f t="shared" si="223"/>
        <v>Technology</v>
      </c>
      <c r="Y540" s="1" t="s">
        <v>91</v>
      </c>
      <c r="Z540" s="1" t="str">
        <f t="shared" si="224"/>
        <v>Copiers</v>
      </c>
      <c r="AA540" s="1" t="s">
        <v>500</v>
      </c>
      <c r="AB540" s="1" t="s">
        <v>32</v>
      </c>
      <c r="AC540" s="1" t="str">
        <f t="shared" si="225"/>
        <v>Second Class</v>
      </c>
      <c r="AD540" s="1" t="str">
        <f t="shared" si="226"/>
        <v>OK</v>
      </c>
      <c r="AE540" s="1">
        <v>9</v>
      </c>
      <c r="AF540" s="1">
        <v>269.68</v>
      </c>
      <c r="AG540" s="9">
        <v>0</v>
      </c>
      <c r="AH540" s="9">
        <f t="shared" si="227"/>
        <v>0</v>
      </c>
      <c r="AI540" s="1" t="str">
        <f t="shared" si="228"/>
        <v>OK</v>
      </c>
      <c r="AJ540" s="1">
        <v>2427.12</v>
      </c>
      <c r="AK540" s="1">
        <v>1538.35</v>
      </c>
      <c r="AL540" s="1">
        <v>804.53</v>
      </c>
      <c r="AM540" s="13">
        <f t="shared" si="229"/>
        <v>2427.12</v>
      </c>
      <c r="AN540" s="9">
        <f t="shared" si="230"/>
        <v>888.77</v>
      </c>
      <c r="AO540" s="9">
        <f t="shared" si="239"/>
        <v>0.36618296581957216</v>
      </c>
      <c r="AP540" s="1" t="s">
        <v>33</v>
      </c>
      <c r="AQ540" s="1" t="str">
        <f t="shared" si="231"/>
        <v>Paid</v>
      </c>
      <c r="AR540" s="1" t="str">
        <f t="shared" si="232"/>
        <v>OK</v>
      </c>
      <c r="AS540" s="1" t="s">
        <v>34</v>
      </c>
      <c r="AT540" s="3" t="str">
        <f t="shared" si="233"/>
        <v>Completed</v>
      </c>
      <c r="AU540" s="3" t="str">
        <f t="shared" si="234"/>
        <v>OK</v>
      </c>
      <c r="AV540" s="3" t="str">
        <f t="shared" si="240"/>
        <v>INVALID</v>
      </c>
      <c r="AW540" t="str">
        <f t="shared" si="241"/>
        <v>MATCH</v>
      </c>
      <c r="AX540" t="str">
        <f t="shared" si="242"/>
        <v>MISMATCH</v>
      </c>
    </row>
    <row r="541" spans="1:50" hidden="1">
      <c r="A541" s="1" t="s">
        <v>501</v>
      </c>
      <c r="B541" s="1">
        <f t="shared" si="216"/>
        <v>1</v>
      </c>
      <c r="C541" s="16">
        <v>45680</v>
      </c>
      <c r="D541" s="16">
        <v>45680</v>
      </c>
      <c r="E541" s="16" t="str">
        <f t="shared" si="235"/>
        <v>Jan</v>
      </c>
      <c r="F541" s="1">
        <f t="shared" si="236"/>
        <v>2025</v>
      </c>
      <c r="G541" t="s">
        <v>2119</v>
      </c>
      <c r="H541" s="17">
        <v>45842</v>
      </c>
      <c r="I541" s="21">
        <f t="shared" si="237"/>
        <v>162</v>
      </c>
      <c r="J541" s="6" t="str">
        <f t="shared" si="238"/>
        <v>OK</v>
      </c>
      <c r="K541" s="1" t="s">
        <v>503</v>
      </c>
      <c r="L541" s="1" t="s">
        <v>153</v>
      </c>
      <c r="M541" s="1" t="str">
        <f t="shared" si="217"/>
        <v>Aarav Sharma</v>
      </c>
      <c r="N541" s="1" t="s">
        <v>25</v>
      </c>
      <c r="O541" s="1" t="str">
        <f t="shared" si="218"/>
        <v>Consumer</v>
      </c>
      <c r="P541" s="1" t="s">
        <v>71</v>
      </c>
      <c r="Q541" s="1" t="str">
        <f t="shared" si="219"/>
        <v>West</v>
      </c>
      <c r="R541" s="1" t="str">
        <f t="shared" si="220"/>
        <v>OK</v>
      </c>
      <c r="S541" s="1" t="s">
        <v>81</v>
      </c>
      <c r="T541" s="1" t="str">
        <f t="shared" si="221"/>
        <v>Madhya Pradesh</v>
      </c>
      <c r="U541" s="1" t="s">
        <v>82</v>
      </c>
      <c r="V541" s="1" t="str">
        <f t="shared" si="222"/>
        <v>Indore</v>
      </c>
      <c r="W541" s="1" t="s">
        <v>29</v>
      </c>
      <c r="X541" s="1" t="str">
        <f t="shared" si="223"/>
        <v>Office Supplies</v>
      </c>
      <c r="Y541" s="1" t="s">
        <v>30</v>
      </c>
      <c r="Z541" s="1" t="str">
        <f t="shared" si="224"/>
        <v>Paper</v>
      </c>
      <c r="AA541" s="1" t="s">
        <v>504</v>
      </c>
      <c r="AB541" s="1" t="s">
        <v>65</v>
      </c>
      <c r="AC541" s="1" t="str">
        <f t="shared" si="225"/>
        <v>Standard Class</v>
      </c>
      <c r="AD541" s="1" t="str">
        <f t="shared" si="226"/>
        <v>OK</v>
      </c>
      <c r="AE541" s="1">
        <v>9</v>
      </c>
      <c r="AF541" s="1">
        <v>4458.26</v>
      </c>
      <c r="AG541" s="9">
        <v>0.1</v>
      </c>
      <c r="AH541" s="9">
        <f t="shared" si="227"/>
        <v>0.1</v>
      </c>
      <c r="AI541" s="1" t="str">
        <f t="shared" si="228"/>
        <v>OK</v>
      </c>
      <c r="AJ541" s="1">
        <v>36111.910000000003</v>
      </c>
      <c r="AK541" s="1">
        <v>29194.5</v>
      </c>
      <c r="AL541" s="1">
        <v>6917.41</v>
      </c>
      <c r="AM541" s="13">
        <f t="shared" si="229"/>
        <v>36111.906000000003</v>
      </c>
      <c r="AN541" s="9">
        <f t="shared" si="230"/>
        <v>6917.4060000000027</v>
      </c>
      <c r="AO541" s="9">
        <f t="shared" si="239"/>
        <v>0.19155471882320479</v>
      </c>
      <c r="AP541" s="1" t="s">
        <v>33</v>
      </c>
      <c r="AQ541" s="1" t="str">
        <f t="shared" si="231"/>
        <v>Paid</v>
      </c>
      <c r="AR541" s="1" t="str">
        <f t="shared" si="232"/>
        <v>OK</v>
      </c>
      <c r="AS541" s="1" t="s">
        <v>34</v>
      </c>
      <c r="AT541" s="3" t="str">
        <f t="shared" si="233"/>
        <v>Completed</v>
      </c>
      <c r="AU541" s="3" t="str">
        <f t="shared" si="234"/>
        <v>OK</v>
      </c>
      <c r="AV541" s="3" t="str">
        <f t="shared" si="240"/>
        <v>CLEAN</v>
      </c>
      <c r="AW541" t="str">
        <f t="shared" si="241"/>
        <v>MATCH</v>
      </c>
      <c r="AX541" t="str">
        <f t="shared" si="242"/>
        <v>MATCH</v>
      </c>
    </row>
    <row r="542" spans="1:50">
      <c r="A542" s="1" t="s">
        <v>513</v>
      </c>
      <c r="B542" s="1">
        <f t="shared" si="216"/>
        <v>1</v>
      </c>
      <c r="C542" s="16">
        <v>45905</v>
      </c>
      <c r="D542" s="16">
        <v>45905</v>
      </c>
      <c r="E542" s="16" t="str">
        <f t="shared" si="235"/>
        <v>Sep</v>
      </c>
      <c r="F542" s="1">
        <f t="shared" si="236"/>
        <v>2025</v>
      </c>
      <c r="G542" t="s">
        <v>2054</v>
      </c>
      <c r="H542" s="17">
        <v>45345</v>
      </c>
      <c r="I542" s="21">
        <f t="shared" si="237"/>
        <v>-560</v>
      </c>
      <c r="J542" s="6" t="str">
        <f t="shared" si="238"/>
        <v>INVALID_SHIPPING</v>
      </c>
      <c r="K542" s="1" t="s">
        <v>516</v>
      </c>
      <c r="L542" s="1" t="s">
        <v>158</v>
      </c>
      <c r="M542" s="1" t="str">
        <f t="shared" si="217"/>
        <v>Sneha Kapoor</v>
      </c>
      <c r="N542" s="1" t="s">
        <v>104</v>
      </c>
      <c r="O542" s="1" t="str">
        <f t="shared" si="218"/>
        <v>Corporate</v>
      </c>
      <c r="P542" s="1" t="s">
        <v>71</v>
      </c>
      <c r="Q542" s="1" t="str">
        <f t="shared" si="219"/>
        <v>West</v>
      </c>
      <c r="R542" s="1" t="str">
        <f t="shared" si="220"/>
        <v>OK</v>
      </c>
      <c r="S542" s="1" t="s">
        <v>230</v>
      </c>
      <c r="T542" s="1" t="str">
        <f t="shared" si="221"/>
        <v>Goa</v>
      </c>
      <c r="U542" s="1" t="s">
        <v>231</v>
      </c>
      <c r="V542" s="1" t="str">
        <f t="shared" si="222"/>
        <v>Panaji</v>
      </c>
      <c r="W542" s="1" t="s">
        <v>44</v>
      </c>
      <c r="X542" s="1" t="str">
        <f t="shared" si="223"/>
        <v>Furniture</v>
      </c>
      <c r="Y542" s="1" t="s">
        <v>190</v>
      </c>
      <c r="Z542" s="1" t="str">
        <f t="shared" si="224"/>
        <v>Bookcases</v>
      </c>
      <c r="AA542" s="1" t="s">
        <v>517</v>
      </c>
      <c r="AB542" s="1" t="s">
        <v>47</v>
      </c>
      <c r="AC542" s="1" t="str">
        <f t="shared" si="225"/>
        <v>Same Day</v>
      </c>
      <c r="AD542" s="1" t="str">
        <f t="shared" si="226"/>
        <v>OK</v>
      </c>
      <c r="AE542" s="1">
        <v>6</v>
      </c>
      <c r="AF542" s="1">
        <v>1754.13</v>
      </c>
      <c r="AG542" s="9">
        <v>0</v>
      </c>
      <c r="AH542" s="9">
        <f t="shared" si="227"/>
        <v>0</v>
      </c>
      <c r="AI542" s="1" t="str">
        <f t="shared" si="228"/>
        <v>OK</v>
      </c>
      <c r="AJ542" s="1">
        <v>10524.78</v>
      </c>
      <c r="AK542" s="1">
        <v>8841.0499999999993</v>
      </c>
      <c r="AL542" s="1">
        <v>1683.73</v>
      </c>
      <c r="AM542" s="13">
        <f t="shared" si="229"/>
        <v>10524.78</v>
      </c>
      <c r="AN542" s="9">
        <f t="shared" si="230"/>
        <v>1683.7300000000014</v>
      </c>
      <c r="AO542" s="9">
        <f t="shared" si="239"/>
        <v>0.15997769074507984</v>
      </c>
      <c r="AP542" s="1" t="s">
        <v>33</v>
      </c>
      <c r="AQ542" s="1" t="str">
        <f t="shared" si="231"/>
        <v>Paid</v>
      </c>
      <c r="AR542" s="1" t="str">
        <f t="shared" si="232"/>
        <v>OK</v>
      </c>
      <c r="AS542" s="1" t="s">
        <v>34</v>
      </c>
      <c r="AT542" s="3" t="str">
        <f t="shared" si="233"/>
        <v>Completed</v>
      </c>
      <c r="AU542" s="3" t="str">
        <f t="shared" si="234"/>
        <v>OK</v>
      </c>
      <c r="AV542" s="3" t="str">
        <f t="shared" si="240"/>
        <v>INVALID</v>
      </c>
      <c r="AW542" t="str">
        <f t="shared" si="241"/>
        <v>MATCH</v>
      </c>
      <c r="AX542" t="str">
        <f t="shared" si="242"/>
        <v>MATCH</v>
      </c>
    </row>
    <row r="543" spans="1:50">
      <c r="A543" s="1" t="s">
        <v>523</v>
      </c>
      <c r="B543" s="1">
        <f t="shared" si="216"/>
        <v>1</v>
      </c>
      <c r="C543" s="16">
        <v>45877</v>
      </c>
      <c r="D543" s="16">
        <v>45877</v>
      </c>
      <c r="E543" s="16" t="str">
        <f t="shared" si="235"/>
        <v>Aug</v>
      </c>
      <c r="F543" s="1">
        <f t="shared" si="236"/>
        <v>2025</v>
      </c>
      <c r="G543" t="s">
        <v>2289</v>
      </c>
      <c r="H543" s="17">
        <v>45847</v>
      </c>
      <c r="I543" s="21">
        <f t="shared" si="237"/>
        <v>-30</v>
      </c>
      <c r="J543" s="6" t="str">
        <f t="shared" si="238"/>
        <v>INVALID_SHIPPING</v>
      </c>
      <c r="K543" s="1" t="s">
        <v>525</v>
      </c>
      <c r="L543" s="1" t="s">
        <v>196</v>
      </c>
      <c r="M543" s="1" t="str">
        <f t="shared" si="217"/>
        <v>Diya Patel</v>
      </c>
      <c r="N543" s="1" t="s">
        <v>40</v>
      </c>
      <c r="O543" s="1" t="str">
        <f t="shared" si="218"/>
        <v>Small Business</v>
      </c>
      <c r="P543" s="1" t="s">
        <v>71</v>
      </c>
      <c r="Q543" s="1" t="str">
        <f t="shared" si="219"/>
        <v>West</v>
      </c>
      <c r="R543" s="1" t="str">
        <f t="shared" si="220"/>
        <v>OK</v>
      </c>
      <c r="S543" s="1" t="s">
        <v>218</v>
      </c>
      <c r="T543" s="1" t="str">
        <f t="shared" si="221"/>
        <v>Gujarat</v>
      </c>
      <c r="U543" s="1" t="s">
        <v>219</v>
      </c>
      <c r="V543" s="1" t="str">
        <f t="shared" si="222"/>
        <v>Ahmedabad</v>
      </c>
      <c r="W543" s="1" t="s">
        <v>29</v>
      </c>
      <c r="X543" s="1" t="str">
        <f t="shared" si="223"/>
        <v>Office Supplies</v>
      </c>
      <c r="Y543" s="1" t="s">
        <v>148</v>
      </c>
      <c r="Z543" s="1" t="str">
        <f t="shared" si="224"/>
        <v>Storage</v>
      </c>
      <c r="AA543" s="1" t="s">
        <v>526</v>
      </c>
      <c r="AB543" s="1" t="s">
        <v>47</v>
      </c>
      <c r="AC543" s="1" t="str">
        <f t="shared" si="225"/>
        <v>Same Day</v>
      </c>
      <c r="AD543" s="1" t="str">
        <f t="shared" si="226"/>
        <v>OK</v>
      </c>
      <c r="AE543" s="1">
        <v>5</v>
      </c>
      <c r="AF543" s="1">
        <v>3602.36</v>
      </c>
      <c r="AG543" s="9">
        <v>0.2</v>
      </c>
      <c r="AH543" s="9">
        <f t="shared" si="227"/>
        <v>0.2</v>
      </c>
      <c r="AI543" s="1" t="str">
        <f t="shared" si="228"/>
        <v>OK</v>
      </c>
      <c r="AJ543" s="1">
        <v>14409.44</v>
      </c>
      <c r="AK543" s="1">
        <v>8809.9699999999993</v>
      </c>
      <c r="AL543" s="1">
        <v>5599.47</v>
      </c>
      <c r="AM543" s="13">
        <f t="shared" si="229"/>
        <v>14409.44</v>
      </c>
      <c r="AN543" s="9">
        <f t="shared" si="230"/>
        <v>5599.4700000000012</v>
      </c>
      <c r="AO543" s="9">
        <f t="shared" si="239"/>
        <v>0.38859733619071951</v>
      </c>
      <c r="AP543" s="1" t="s">
        <v>131</v>
      </c>
      <c r="AQ543" s="1" t="str">
        <f t="shared" si="231"/>
        <v>Pending</v>
      </c>
      <c r="AR543" s="1" t="str">
        <f t="shared" si="232"/>
        <v>OK</v>
      </c>
      <c r="AS543" s="1" t="s">
        <v>120</v>
      </c>
      <c r="AT543" s="3" t="str">
        <f t="shared" si="233"/>
        <v>Returned</v>
      </c>
      <c r="AU543" s="3" t="str">
        <f t="shared" si="234"/>
        <v>RETURNED_ORDER</v>
      </c>
      <c r="AV543" s="3" t="str">
        <f t="shared" si="240"/>
        <v>INVALID</v>
      </c>
      <c r="AW543" t="str">
        <f t="shared" si="241"/>
        <v>MATCH</v>
      </c>
      <c r="AX543" t="str">
        <f t="shared" si="242"/>
        <v>MATCH</v>
      </c>
    </row>
    <row r="544" spans="1:50">
      <c r="A544" s="1" t="s">
        <v>531</v>
      </c>
      <c r="B544" s="1">
        <f t="shared" si="216"/>
        <v>1</v>
      </c>
      <c r="C544" s="16">
        <v>45668</v>
      </c>
      <c r="D544" s="16">
        <v>45668</v>
      </c>
      <c r="E544" s="16" t="str">
        <f t="shared" si="235"/>
        <v>Jan</v>
      </c>
      <c r="F544" s="1">
        <f t="shared" si="236"/>
        <v>2025</v>
      </c>
      <c r="G544" t="s">
        <v>2293</v>
      </c>
      <c r="H544" s="17">
        <v>45558</v>
      </c>
      <c r="I544" s="21">
        <f t="shared" si="237"/>
        <v>-110</v>
      </c>
      <c r="J544" s="6" t="str">
        <f t="shared" si="238"/>
        <v>INVALID_SHIPPING</v>
      </c>
      <c r="K544" s="1" t="s">
        <v>533</v>
      </c>
      <c r="L544" s="1" t="s">
        <v>103</v>
      </c>
      <c r="M544" s="1" t="str">
        <f t="shared" si="217"/>
        <v>Aditi Sen</v>
      </c>
      <c r="N544" s="1" t="s">
        <v>40</v>
      </c>
      <c r="O544" s="1" t="str">
        <f t="shared" si="218"/>
        <v>Small Business</v>
      </c>
      <c r="P544" s="1" t="s">
        <v>71</v>
      </c>
      <c r="Q544" s="1" t="str">
        <f t="shared" si="219"/>
        <v>West</v>
      </c>
      <c r="R544" s="1" t="str">
        <f t="shared" si="220"/>
        <v>OK</v>
      </c>
      <c r="S544" s="1" t="s">
        <v>27</v>
      </c>
      <c r="T544" s="1" t="str">
        <f t="shared" si="221"/>
        <v>Rajasthan</v>
      </c>
      <c r="U544" s="1" t="s">
        <v>129</v>
      </c>
      <c r="V544" s="1" t="str">
        <f t="shared" si="222"/>
        <v>Udaipur</v>
      </c>
      <c r="W544" s="1" t="s">
        <v>83</v>
      </c>
      <c r="X544" s="1" t="str">
        <f t="shared" si="223"/>
        <v>Technology</v>
      </c>
      <c r="Y544" s="1" t="s">
        <v>84</v>
      </c>
      <c r="Z544" s="1" t="str">
        <f t="shared" si="224"/>
        <v>Accessories</v>
      </c>
      <c r="AA544" s="1" t="s">
        <v>534</v>
      </c>
      <c r="AB544" s="1" t="s">
        <v>47</v>
      </c>
      <c r="AC544" s="1" t="str">
        <f t="shared" si="225"/>
        <v>Same Day</v>
      </c>
      <c r="AD544" s="1" t="str">
        <f t="shared" si="226"/>
        <v>OK</v>
      </c>
      <c r="AE544" s="1">
        <v>3</v>
      </c>
      <c r="AF544" s="1">
        <v>2165.29</v>
      </c>
      <c r="AG544" s="9">
        <v>0</v>
      </c>
      <c r="AH544" s="9">
        <f t="shared" si="227"/>
        <v>0</v>
      </c>
      <c r="AI544" s="1" t="str">
        <f t="shared" si="228"/>
        <v>OK</v>
      </c>
      <c r="AJ544" s="1">
        <v>6495.87</v>
      </c>
      <c r="AK544" s="1">
        <v>4700.8900000000003</v>
      </c>
      <c r="AL544" s="1">
        <v>1794.98</v>
      </c>
      <c r="AM544" s="13">
        <f t="shared" si="229"/>
        <v>6495.87</v>
      </c>
      <c r="AN544" s="9">
        <f t="shared" si="230"/>
        <v>1794.9799999999996</v>
      </c>
      <c r="AO544" s="9">
        <f t="shared" si="239"/>
        <v>0.27632634273777024</v>
      </c>
      <c r="AP544" s="1" t="s">
        <v>33</v>
      </c>
      <c r="AQ544" s="1" t="str">
        <f t="shared" si="231"/>
        <v>Paid</v>
      </c>
      <c r="AR544" s="1" t="str">
        <f t="shared" si="232"/>
        <v>OK</v>
      </c>
      <c r="AS544" s="1" t="s">
        <v>34</v>
      </c>
      <c r="AT544" s="3" t="str">
        <f t="shared" si="233"/>
        <v>Completed</v>
      </c>
      <c r="AU544" s="3" t="str">
        <f t="shared" si="234"/>
        <v>OK</v>
      </c>
      <c r="AV544" s="3" t="str">
        <f t="shared" si="240"/>
        <v>INVALID</v>
      </c>
      <c r="AW544" t="str">
        <f t="shared" si="241"/>
        <v>MATCH</v>
      </c>
      <c r="AX544" t="str">
        <f t="shared" si="242"/>
        <v>MATCH</v>
      </c>
    </row>
    <row r="545" spans="1:50">
      <c r="A545" s="1" t="s">
        <v>535</v>
      </c>
      <c r="B545" s="1">
        <f t="shared" si="216"/>
        <v>1</v>
      </c>
      <c r="C545" s="16">
        <v>46000</v>
      </c>
      <c r="D545" s="16">
        <v>46000</v>
      </c>
      <c r="E545" s="16" t="str">
        <f t="shared" si="235"/>
        <v>Dec</v>
      </c>
      <c r="F545" s="1">
        <f t="shared" si="236"/>
        <v>2025</v>
      </c>
      <c r="G545" t="s">
        <v>363</v>
      </c>
      <c r="H545" s="17">
        <v>45493</v>
      </c>
      <c r="I545" s="21">
        <f t="shared" si="237"/>
        <v>-507</v>
      </c>
      <c r="J545" s="6" t="str">
        <f t="shared" si="238"/>
        <v>INVALID_SHIPPING</v>
      </c>
      <c r="K545" s="1" t="s">
        <v>537</v>
      </c>
      <c r="L545" s="1" t="s">
        <v>153</v>
      </c>
      <c r="M545" s="1" t="str">
        <f t="shared" si="217"/>
        <v>Aarav Sharma</v>
      </c>
      <c r="N545" s="1" t="s">
        <v>110</v>
      </c>
      <c r="O545" s="1" t="str">
        <f t="shared" si="218"/>
        <v>Home Office</v>
      </c>
      <c r="P545" s="1" t="s">
        <v>60</v>
      </c>
      <c r="Q545" s="1" t="str">
        <f t="shared" si="219"/>
        <v>South</v>
      </c>
      <c r="R545" s="1" t="str">
        <f t="shared" si="220"/>
        <v>OK</v>
      </c>
      <c r="S545" s="1" t="s">
        <v>224</v>
      </c>
      <c r="T545" s="1" t="str">
        <f t="shared" si="221"/>
        <v>Kerala</v>
      </c>
      <c r="U545" s="1" t="s">
        <v>225</v>
      </c>
      <c r="V545" s="1" t="str">
        <f t="shared" si="222"/>
        <v>Kochi</v>
      </c>
      <c r="W545" s="1" t="s">
        <v>29</v>
      </c>
      <c r="X545" s="1" t="str">
        <f t="shared" si="223"/>
        <v>Office Supplies</v>
      </c>
      <c r="Y545" s="1" t="s">
        <v>148</v>
      </c>
      <c r="Z545" s="1" t="str">
        <f t="shared" si="224"/>
        <v>Storage</v>
      </c>
      <c r="AA545" s="1" t="s">
        <v>538</v>
      </c>
      <c r="AB545" s="1" t="s">
        <v>65</v>
      </c>
      <c r="AC545" s="1" t="str">
        <f t="shared" si="225"/>
        <v>Standard Class</v>
      </c>
      <c r="AD545" s="1" t="str">
        <f t="shared" si="226"/>
        <v>OK</v>
      </c>
      <c r="AE545" s="1">
        <v>6</v>
      </c>
      <c r="AF545" s="1">
        <v>1673.8</v>
      </c>
      <c r="AG545" s="9">
        <v>0.05</v>
      </c>
      <c r="AH545" s="9">
        <f t="shared" si="227"/>
        <v>0.05</v>
      </c>
      <c r="AI545" s="1" t="str">
        <f t="shared" si="228"/>
        <v>OK</v>
      </c>
      <c r="AJ545" s="1">
        <v>9540.66</v>
      </c>
      <c r="AK545" s="1">
        <v>5561.49</v>
      </c>
      <c r="AL545" s="1">
        <v>3979.17</v>
      </c>
      <c r="AM545" s="13">
        <f t="shared" si="229"/>
        <v>9540.659999999998</v>
      </c>
      <c r="AN545" s="9">
        <f t="shared" si="230"/>
        <v>3979.1699999999983</v>
      </c>
      <c r="AO545" s="9">
        <f t="shared" si="239"/>
        <v>0.41707491934520241</v>
      </c>
      <c r="AP545" s="1" t="s">
        <v>33</v>
      </c>
      <c r="AQ545" s="1" t="str">
        <f t="shared" si="231"/>
        <v>Paid</v>
      </c>
      <c r="AR545" s="1" t="str">
        <f t="shared" si="232"/>
        <v>OK</v>
      </c>
      <c r="AS545" s="1" t="s">
        <v>34</v>
      </c>
      <c r="AT545" s="3" t="str">
        <f t="shared" si="233"/>
        <v>Completed</v>
      </c>
      <c r="AU545" s="3" t="str">
        <f t="shared" si="234"/>
        <v>OK</v>
      </c>
      <c r="AV545" s="3" t="str">
        <f t="shared" si="240"/>
        <v>INVALID</v>
      </c>
      <c r="AW545" t="str">
        <f t="shared" si="241"/>
        <v>MATCH</v>
      </c>
      <c r="AX545" t="str">
        <f t="shared" si="242"/>
        <v>MATCH</v>
      </c>
    </row>
    <row r="546" spans="1:50">
      <c r="A546" s="1" t="s">
        <v>543</v>
      </c>
      <c r="B546" s="1">
        <f t="shared" si="216"/>
        <v>1</v>
      </c>
      <c r="C546" s="16">
        <v>45998</v>
      </c>
      <c r="D546" s="16">
        <v>45998</v>
      </c>
      <c r="E546" s="16" t="str">
        <f t="shared" si="235"/>
        <v>Dec</v>
      </c>
      <c r="F546" s="1">
        <f t="shared" si="236"/>
        <v>2025</v>
      </c>
      <c r="G546" t="s">
        <v>1813</v>
      </c>
      <c r="H546" s="17">
        <v>45693</v>
      </c>
      <c r="I546" s="21">
        <f t="shared" si="237"/>
        <v>-305</v>
      </c>
      <c r="J546" s="6" t="str">
        <f t="shared" si="238"/>
        <v>INVALID_SHIPPING</v>
      </c>
      <c r="K546" s="1" t="s">
        <v>545</v>
      </c>
      <c r="L546" s="1" t="s">
        <v>80</v>
      </c>
      <c r="M546" s="1" t="str">
        <f t="shared" si="217"/>
        <v>Vikram Iyer</v>
      </c>
      <c r="N546" s="1" t="s">
        <v>25</v>
      </c>
      <c r="O546" s="1" t="str">
        <f t="shared" si="218"/>
        <v>Consumer</v>
      </c>
      <c r="P546" s="1" t="s">
        <v>60</v>
      </c>
      <c r="Q546" s="1" t="str">
        <f t="shared" si="219"/>
        <v>South</v>
      </c>
      <c r="R546" s="1" t="str">
        <f t="shared" si="220"/>
        <v>OK</v>
      </c>
      <c r="S546" s="1" t="s">
        <v>212</v>
      </c>
      <c r="T546" s="1" t="str">
        <f t="shared" si="221"/>
        <v>Karnataka</v>
      </c>
      <c r="U546" s="1" t="s">
        <v>213</v>
      </c>
      <c r="V546" s="1" t="str">
        <f t="shared" si="222"/>
        <v>Bengaluru</v>
      </c>
      <c r="W546" s="1" t="s">
        <v>44</v>
      </c>
      <c r="X546" s="1" t="str">
        <f t="shared" si="223"/>
        <v>Furniture</v>
      </c>
      <c r="Y546" s="1" t="s">
        <v>74</v>
      </c>
      <c r="Z546" s="1" t="str">
        <f t="shared" si="224"/>
        <v>Chairs</v>
      </c>
      <c r="AA546" s="1" t="s">
        <v>546</v>
      </c>
      <c r="AB546" s="1" t="s">
        <v>55</v>
      </c>
      <c r="AC546" s="1" t="str">
        <f t="shared" si="225"/>
        <v>First Class</v>
      </c>
      <c r="AD546" s="1" t="str">
        <f t="shared" si="226"/>
        <v>OK</v>
      </c>
      <c r="AE546" s="1">
        <v>4</v>
      </c>
      <c r="AF546" s="1">
        <v>2865.71</v>
      </c>
      <c r="AG546" s="9">
        <v>0</v>
      </c>
      <c r="AH546" s="9">
        <f t="shared" si="227"/>
        <v>0</v>
      </c>
      <c r="AI546" s="1" t="str">
        <f t="shared" si="228"/>
        <v>OK</v>
      </c>
      <c r="AJ546" s="1">
        <v>11462.84</v>
      </c>
      <c r="AK546" s="1">
        <v>8979.7800000000007</v>
      </c>
      <c r="AL546" s="1">
        <v>2483.06</v>
      </c>
      <c r="AM546" s="13">
        <f t="shared" si="229"/>
        <v>11462.84</v>
      </c>
      <c r="AN546" s="9">
        <f t="shared" si="230"/>
        <v>2483.0599999999995</v>
      </c>
      <c r="AO546" s="9">
        <f t="shared" si="239"/>
        <v>0.21661822026653077</v>
      </c>
      <c r="AP546" s="1" t="s">
        <v>119</v>
      </c>
      <c r="AQ546" s="1" t="str">
        <f t="shared" si="231"/>
        <v>Refunded</v>
      </c>
      <c r="AR546" s="1" t="str">
        <f t="shared" si="232"/>
        <v>REFUNDED_PAYMENT</v>
      </c>
      <c r="AS546" s="1" t="s">
        <v>76</v>
      </c>
      <c r="AT546" s="3" t="str">
        <f t="shared" si="233"/>
        <v>Cancelled</v>
      </c>
      <c r="AU546" s="3" t="str">
        <f t="shared" si="234"/>
        <v>EXCLUDE_FROM_SALES</v>
      </c>
      <c r="AV546" s="3" t="str">
        <f t="shared" si="240"/>
        <v>INVALID</v>
      </c>
      <c r="AW546" t="str">
        <f t="shared" si="241"/>
        <v>MATCH</v>
      </c>
      <c r="AX546" t="str">
        <f t="shared" si="242"/>
        <v>MATCH</v>
      </c>
    </row>
    <row r="547" spans="1:50">
      <c r="A547" s="1" t="s">
        <v>547</v>
      </c>
      <c r="B547" s="1">
        <f t="shared" si="216"/>
        <v>1</v>
      </c>
      <c r="C547" s="16">
        <v>45693</v>
      </c>
      <c r="D547" s="16">
        <v>45693</v>
      </c>
      <c r="E547" s="16" t="str">
        <f t="shared" si="235"/>
        <v>Feb</v>
      </c>
      <c r="F547" s="1">
        <f t="shared" si="236"/>
        <v>2025</v>
      </c>
      <c r="G547" t="s">
        <v>2305</v>
      </c>
      <c r="H547" s="17">
        <v>45442</v>
      </c>
      <c r="I547" s="21">
        <f t="shared" si="237"/>
        <v>-251</v>
      </c>
      <c r="J547" s="6" t="str">
        <f t="shared" si="238"/>
        <v>INVALID_SHIPPING</v>
      </c>
      <c r="K547" s="1" t="s">
        <v>549</v>
      </c>
      <c r="L547" s="1" t="s">
        <v>334</v>
      </c>
      <c r="M547" s="1" t="str">
        <f t="shared" si="217"/>
        <v>Kabir Singh</v>
      </c>
      <c r="N547" s="1" t="s">
        <v>104</v>
      </c>
      <c r="O547" s="1" t="str">
        <f t="shared" si="218"/>
        <v>Corporate</v>
      </c>
      <c r="P547" s="1" t="s">
        <v>71</v>
      </c>
      <c r="Q547" s="1" t="str">
        <f t="shared" si="219"/>
        <v>West</v>
      </c>
      <c r="R547" s="1" t="str">
        <f t="shared" si="220"/>
        <v>OK</v>
      </c>
      <c r="S547" s="1" t="s">
        <v>72</v>
      </c>
      <c r="T547" s="1" t="str">
        <f t="shared" si="221"/>
        <v>Maharashtra</v>
      </c>
      <c r="U547" s="1" t="s">
        <v>73</v>
      </c>
      <c r="V547" s="1" t="str">
        <f t="shared" si="222"/>
        <v>Mumbai</v>
      </c>
      <c r="W547" s="1" t="s">
        <v>44</v>
      </c>
      <c r="X547" s="1" t="str">
        <f t="shared" si="223"/>
        <v>Furniture</v>
      </c>
      <c r="Y547" s="1" t="s">
        <v>45</v>
      </c>
      <c r="Z547" s="1" t="str">
        <f t="shared" si="224"/>
        <v>Tables</v>
      </c>
      <c r="AA547" s="1" t="s">
        <v>550</v>
      </c>
      <c r="AB547" s="1" t="s">
        <v>55</v>
      </c>
      <c r="AC547" s="1" t="str">
        <f t="shared" si="225"/>
        <v>First Class</v>
      </c>
      <c r="AD547" s="1" t="str">
        <f t="shared" si="226"/>
        <v>OK</v>
      </c>
      <c r="AE547" s="1">
        <v>4</v>
      </c>
      <c r="AF547" s="1">
        <v>2440.34</v>
      </c>
      <c r="AG547" s="9">
        <v>0.2</v>
      </c>
      <c r="AH547" s="9">
        <f t="shared" si="227"/>
        <v>0.2</v>
      </c>
      <c r="AI547" s="1" t="str">
        <f t="shared" si="228"/>
        <v>OK</v>
      </c>
      <c r="AJ547" s="1">
        <v>7809.09</v>
      </c>
      <c r="AK547" s="1">
        <v>6657.75</v>
      </c>
      <c r="AL547" s="1">
        <v>1151.3399999999999</v>
      </c>
      <c r="AM547" s="13">
        <f t="shared" si="229"/>
        <v>7809.0880000000006</v>
      </c>
      <c r="AN547" s="9">
        <f t="shared" si="230"/>
        <v>1151.3380000000006</v>
      </c>
      <c r="AO547" s="9">
        <f t="shared" si="239"/>
        <v>0.14743565445798543</v>
      </c>
      <c r="AP547" s="1" t="s">
        <v>33</v>
      </c>
      <c r="AQ547" s="1" t="str">
        <f t="shared" si="231"/>
        <v>Paid</v>
      </c>
      <c r="AR547" s="1" t="str">
        <f t="shared" si="232"/>
        <v>OK</v>
      </c>
      <c r="AS547" s="1" t="s">
        <v>34</v>
      </c>
      <c r="AT547" s="3" t="str">
        <f t="shared" si="233"/>
        <v>Completed</v>
      </c>
      <c r="AU547" s="3" t="str">
        <f t="shared" si="234"/>
        <v>OK</v>
      </c>
      <c r="AV547" s="3" t="str">
        <f t="shared" si="240"/>
        <v>INVALID</v>
      </c>
      <c r="AW547" t="str">
        <f t="shared" si="241"/>
        <v>MATCH</v>
      </c>
      <c r="AX547" t="str">
        <f t="shared" si="242"/>
        <v>MATCH</v>
      </c>
    </row>
    <row r="548" spans="1:50" hidden="1">
      <c r="A548" s="1" t="s">
        <v>551</v>
      </c>
      <c r="B548" s="1">
        <f t="shared" si="216"/>
        <v>1</v>
      </c>
      <c r="C548" s="16">
        <v>45659</v>
      </c>
      <c r="D548" s="16">
        <v>45659</v>
      </c>
      <c r="E548" s="16" t="str">
        <f t="shared" si="235"/>
        <v>Jan</v>
      </c>
      <c r="F548" s="1">
        <f t="shared" si="236"/>
        <v>2025</v>
      </c>
      <c r="G548" t="s">
        <v>1313</v>
      </c>
      <c r="H548" s="17">
        <v>45891</v>
      </c>
      <c r="I548" s="21">
        <f t="shared" si="237"/>
        <v>232</v>
      </c>
      <c r="J548" s="6" t="str">
        <f t="shared" si="238"/>
        <v>OK</v>
      </c>
      <c r="K548" s="1" t="s">
        <v>553</v>
      </c>
      <c r="L548" s="1" t="s">
        <v>70</v>
      </c>
      <c r="M548" s="1" t="str">
        <f t="shared" si="217"/>
        <v>Ananya Rao</v>
      </c>
      <c r="N548" s="1" t="s">
        <v>25</v>
      </c>
      <c r="O548" s="1" t="str">
        <f t="shared" si="218"/>
        <v>Consumer</v>
      </c>
      <c r="P548" s="1" t="s">
        <v>60</v>
      </c>
      <c r="Q548" s="1" t="str">
        <f t="shared" si="219"/>
        <v>South</v>
      </c>
      <c r="R548" s="1" t="str">
        <f t="shared" si="220"/>
        <v>OK</v>
      </c>
      <c r="S548" s="1" t="s">
        <v>212</v>
      </c>
      <c r="T548" s="1" t="str">
        <f t="shared" si="221"/>
        <v>Karnataka</v>
      </c>
      <c r="U548" s="1" t="s">
        <v>213</v>
      </c>
      <c r="V548" s="1" t="str">
        <f t="shared" si="222"/>
        <v>Bengaluru</v>
      </c>
      <c r="W548" s="1" t="s">
        <v>29</v>
      </c>
      <c r="X548" s="1" t="str">
        <f t="shared" si="223"/>
        <v>Office Supplies</v>
      </c>
      <c r="Y548" s="1" t="s">
        <v>105</v>
      </c>
      <c r="Z548" s="1" t="str">
        <f t="shared" si="224"/>
        <v>Labels</v>
      </c>
      <c r="AA548" s="1" t="s">
        <v>554</v>
      </c>
      <c r="AB548" s="1" t="s">
        <v>47</v>
      </c>
      <c r="AC548" s="1" t="str">
        <f t="shared" si="225"/>
        <v>Same Day</v>
      </c>
      <c r="AD548" s="1" t="str">
        <f t="shared" si="226"/>
        <v>OK</v>
      </c>
      <c r="AE548" s="1">
        <v>5</v>
      </c>
      <c r="AF548" s="1">
        <v>2112.54</v>
      </c>
      <c r="AG548" s="9">
        <v>0.25</v>
      </c>
      <c r="AH548" s="9">
        <f t="shared" si="227"/>
        <v>0.25</v>
      </c>
      <c r="AI548" s="1" t="str">
        <f t="shared" si="228"/>
        <v>OK</v>
      </c>
      <c r="AJ548" s="1">
        <v>8260.4599999999991</v>
      </c>
      <c r="AK548" s="1">
        <v>5619.95</v>
      </c>
      <c r="AL548" s="1">
        <v>2302.08</v>
      </c>
      <c r="AM548" s="13">
        <f t="shared" si="229"/>
        <v>7922.0250000000005</v>
      </c>
      <c r="AN548" s="9">
        <f t="shared" si="230"/>
        <v>2302.0750000000007</v>
      </c>
      <c r="AO548" s="9">
        <f t="shared" si="239"/>
        <v>0.29059173633004193</v>
      </c>
      <c r="AP548" s="1" t="s">
        <v>33</v>
      </c>
      <c r="AQ548" s="1" t="str">
        <f t="shared" si="231"/>
        <v>Paid</v>
      </c>
      <c r="AR548" s="1" t="str">
        <f t="shared" si="232"/>
        <v>OK</v>
      </c>
      <c r="AS548" s="1" t="s">
        <v>76</v>
      </c>
      <c r="AT548" s="3" t="str">
        <f t="shared" si="233"/>
        <v>Cancelled</v>
      </c>
      <c r="AU548" s="3" t="str">
        <f t="shared" si="234"/>
        <v>EXCLUDE_FROM_SALES</v>
      </c>
      <c r="AV548" s="3" t="str">
        <f t="shared" si="240"/>
        <v>CLEAN</v>
      </c>
      <c r="AW548" t="str">
        <f t="shared" si="241"/>
        <v>MISMATCH</v>
      </c>
      <c r="AX548" t="str">
        <f t="shared" si="242"/>
        <v>MATCH</v>
      </c>
    </row>
    <row r="549" spans="1:50">
      <c r="A549" s="1" t="s">
        <v>571</v>
      </c>
      <c r="B549" s="1">
        <f t="shared" si="216"/>
        <v>1</v>
      </c>
      <c r="C549" s="16">
        <v>45892</v>
      </c>
      <c r="D549" s="16">
        <v>45892</v>
      </c>
      <c r="E549" s="16" t="str">
        <f t="shared" si="235"/>
        <v>Aug</v>
      </c>
      <c r="F549" s="1">
        <f t="shared" si="236"/>
        <v>2025</v>
      </c>
      <c r="G549" t="s">
        <v>2314</v>
      </c>
      <c r="H549" s="17">
        <v>45435</v>
      </c>
      <c r="I549" s="21">
        <f t="shared" si="237"/>
        <v>-457</v>
      </c>
      <c r="J549" s="6" t="str">
        <f t="shared" si="238"/>
        <v>INVALID_SHIPPING</v>
      </c>
      <c r="K549" s="1" t="s">
        <v>573</v>
      </c>
      <c r="L549" s="1" t="s">
        <v>158</v>
      </c>
      <c r="M549" s="1" t="str">
        <f t="shared" si="217"/>
        <v>Sneha Kapoor</v>
      </c>
      <c r="N549" s="1" t="s">
        <v>25</v>
      </c>
      <c r="O549" s="1" t="str">
        <f t="shared" si="218"/>
        <v>Consumer</v>
      </c>
      <c r="P549" s="1" t="s">
        <v>26</v>
      </c>
      <c r="Q549" s="1" t="str">
        <f t="shared" si="219"/>
        <v>North</v>
      </c>
      <c r="R549" s="1" t="str">
        <f t="shared" si="220"/>
        <v>OK</v>
      </c>
      <c r="S549" s="1" t="s">
        <v>454</v>
      </c>
      <c r="T549" s="1" t="str">
        <f t="shared" si="221"/>
        <v>Delhi</v>
      </c>
      <c r="U549" s="1" t="s">
        <v>455</v>
      </c>
      <c r="V549" s="1" t="str">
        <f t="shared" si="222"/>
        <v>New Delhi</v>
      </c>
      <c r="W549" s="1" t="s">
        <v>29</v>
      </c>
      <c r="X549" s="1" t="str">
        <f t="shared" si="223"/>
        <v>Office Supplies</v>
      </c>
      <c r="Y549" s="1" t="s">
        <v>184</v>
      </c>
      <c r="Z549" s="1" t="str">
        <f t="shared" si="224"/>
        <v>Binders</v>
      </c>
      <c r="AA549" s="1" t="s">
        <v>574</v>
      </c>
      <c r="AB549" s="1" t="s">
        <v>32</v>
      </c>
      <c r="AC549" s="1" t="str">
        <f t="shared" si="225"/>
        <v>Second Class</v>
      </c>
      <c r="AD549" s="1" t="str">
        <f t="shared" si="226"/>
        <v>OK</v>
      </c>
      <c r="AE549" s="1">
        <v>1</v>
      </c>
      <c r="AF549" s="1">
        <v>2788.62</v>
      </c>
      <c r="AG549" s="9">
        <v>0.25</v>
      </c>
      <c r="AH549" s="9">
        <f t="shared" si="227"/>
        <v>0.25</v>
      </c>
      <c r="AI549" s="1" t="str">
        <f t="shared" si="228"/>
        <v>OK</v>
      </c>
      <c r="AJ549" s="1">
        <v>2091.4699999999998</v>
      </c>
      <c r="AK549" s="1">
        <v>1317.22</v>
      </c>
      <c r="AL549" s="1">
        <v>774.25</v>
      </c>
      <c r="AM549" s="13">
        <f t="shared" si="229"/>
        <v>2091.4650000000001</v>
      </c>
      <c r="AN549" s="9">
        <f t="shared" si="230"/>
        <v>774.24500000000012</v>
      </c>
      <c r="AO549" s="9">
        <f t="shared" si="239"/>
        <v>0.37019266399389905</v>
      </c>
      <c r="AP549" s="1" t="s">
        <v>33</v>
      </c>
      <c r="AQ549" s="1" t="str">
        <f t="shared" si="231"/>
        <v>Paid</v>
      </c>
      <c r="AR549" s="1" t="str">
        <f t="shared" si="232"/>
        <v>OK</v>
      </c>
      <c r="AS549" s="1" t="s">
        <v>34</v>
      </c>
      <c r="AT549" s="3" t="str">
        <f t="shared" si="233"/>
        <v>Completed</v>
      </c>
      <c r="AU549" s="3" t="str">
        <f t="shared" si="234"/>
        <v>OK</v>
      </c>
      <c r="AV549" s="3" t="str">
        <f t="shared" si="240"/>
        <v>INVALID</v>
      </c>
      <c r="AW549" t="str">
        <f t="shared" si="241"/>
        <v>MATCH</v>
      </c>
      <c r="AX549" t="str">
        <f t="shared" si="242"/>
        <v>MATCH</v>
      </c>
    </row>
    <row r="550" spans="1:50">
      <c r="A550" s="1" t="s">
        <v>579</v>
      </c>
      <c r="B550" s="1">
        <f t="shared" si="216"/>
        <v>1</v>
      </c>
      <c r="C550" s="16">
        <v>45835</v>
      </c>
      <c r="D550" s="16">
        <v>45835</v>
      </c>
      <c r="E550" s="16" t="str">
        <f t="shared" si="235"/>
        <v>Jun</v>
      </c>
      <c r="F550" s="1">
        <f t="shared" si="236"/>
        <v>2025</v>
      </c>
      <c r="G550" t="s">
        <v>251</v>
      </c>
      <c r="H550" s="17">
        <v>45441</v>
      </c>
      <c r="I550" s="21">
        <f t="shared" si="237"/>
        <v>-394</v>
      </c>
      <c r="J550" s="6" t="str">
        <f t="shared" si="238"/>
        <v>INVALID_SHIPPING</v>
      </c>
      <c r="K550" s="1" t="s">
        <v>582</v>
      </c>
      <c r="L550" s="1" t="s">
        <v>90</v>
      </c>
      <c r="M550" s="1" t="str">
        <f t="shared" si="217"/>
        <v>Neha Gupta</v>
      </c>
      <c r="N550" s="1" t="s">
        <v>104</v>
      </c>
      <c r="O550" s="1" t="str">
        <f t="shared" si="218"/>
        <v>Corporate</v>
      </c>
      <c r="P550" s="1" t="s">
        <v>41</v>
      </c>
      <c r="Q550" s="1" t="str">
        <f t="shared" si="219"/>
        <v>East</v>
      </c>
      <c r="R550" s="1" t="str">
        <f t="shared" si="220"/>
        <v>OK</v>
      </c>
      <c r="S550" s="1" t="s">
        <v>174</v>
      </c>
      <c r="T550" s="1" t="str">
        <f t="shared" si="221"/>
        <v>Bihar</v>
      </c>
      <c r="U550" s="1" t="s">
        <v>175</v>
      </c>
      <c r="V550" s="1" t="str">
        <f t="shared" si="222"/>
        <v>Patna</v>
      </c>
      <c r="W550" s="1" t="s">
        <v>83</v>
      </c>
      <c r="X550" s="1" t="str">
        <f t="shared" si="223"/>
        <v>Technology</v>
      </c>
      <c r="Y550" s="1" t="s">
        <v>84</v>
      </c>
      <c r="Z550" s="1" t="str">
        <f t="shared" si="224"/>
        <v>Accessories</v>
      </c>
      <c r="AA550" s="1" t="s">
        <v>583</v>
      </c>
      <c r="AB550" s="1" t="s">
        <v>55</v>
      </c>
      <c r="AC550" s="1" t="str">
        <f t="shared" si="225"/>
        <v>First Class</v>
      </c>
      <c r="AD550" s="1" t="str">
        <f t="shared" si="226"/>
        <v>OK</v>
      </c>
      <c r="AE550" s="1">
        <v>1</v>
      </c>
      <c r="AF550" s="1">
        <v>1708.44</v>
      </c>
      <c r="AG550" s="9">
        <v>0.05</v>
      </c>
      <c r="AH550" s="9">
        <f t="shared" si="227"/>
        <v>0.05</v>
      </c>
      <c r="AI550" s="1" t="str">
        <f t="shared" si="228"/>
        <v>OK</v>
      </c>
      <c r="AJ550" s="1">
        <v>1623.02</v>
      </c>
      <c r="AK550" s="1">
        <v>1077.46</v>
      </c>
      <c r="AL550" s="1">
        <v>545.55999999999995</v>
      </c>
      <c r="AM550" s="13">
        <f t="shared" si="229"/>
        <v>1623.018</v>
      </c>
      <c r="AN550" s="9">
        <f t="shared" si="230"/>
        <v>545.55799999999999</v>
      </c>
      <c r="AO550" s="9">
        <f t="shared" si="239"/>
        <v>0.3361379849145234</v>
      </c>
      <c r="AP550" s="1" t="s">
        <v>131</v>
      </c>
      <c r="AQ550" s="1" t="str">
        <f t="shared" si="231"/>
        <v>Pending</v>
      </c>
      <c r="AR550" s="1" t="str">
        <f t="shared" si="232"/>
        <v>OK</v>
      </c>
      <c r="AS550" s="1" t="s">
        <v>76</v>
      </c>
      <c r="AT550" s="3" t="str">
        <f t="shared" si="233"/>
        <v>Cancelled</v>
      </c>
      <c r="AU550" s="3" t="str">
        <f t="shared" si="234"/>
        <v>EXCLUDE_FROM_SALES</v>
      </c>
      <c r="AV550" s="3" t="str">
        <f t="shared" si="240"/>
        <v>INVALID</v>
      </c>
      <c r="AW550" t="str">
        <f t="shared" si="241"/>
        <v>MATCH</v>
      </c>
      <c r="AX550" t="str">
        <f t="shared" si="242"/>
        <v>MATCH</v>
      </c>
    </row>
    <row r="551" spans="1:50" hidden="1">
      <c r="A551" s="1" t="s">
        <v>599</v>
      </c>
      <c r="B551" s="1">
        <f t="shared" si="216"/>
        <v>1</v>
      </c>
      <c r="C551" s="16">
        <v>45703</v>
      </c>
      <c r="D551" s="16">
        <v>45703</v>
      </c>
      <c r="E551" s="16" t="str">
        <f t="shared" si="235"/>
        <v>Feb</v>
      </c>
      <c r="F551" s="1">
        <f t="shared" si="236"/>
        <v>2025</v>
      </c>
      <c r="G551" t="s">
        <v>2321</v>
      </c>
      <c r="H551" s="17">
        <v>45943</v>
      </c>
      <c r="I551" s="21">
        <f t="shared" si="237"/>
        <v>240</v>
      </c>
      <c r="J551" s="6" t="str">
        <f t="shared" si="238"/>
        <v>OK</v>
      </c>
      <c r="K551" s="1" t="s">
        <v>601</v>
      </c>
      <c r="L551" s="1" t="s">
        <v>70</v>
      </c>
      <c r="M551" s="1" t="str">
        <f t="shared" si="217"/>
        <v>Ananya Rao</v>
      </c>
      <c r="N551" s="1" t="s">
        <v>40</v>
      </c>
      <c r="O551" s="1" t="str">
        <f t="shared" si="218"/>
        <v>Small Business</v>
      </c>
      <c r="P551" s="1"/>
      <c r="Q551" s="1" t="str">
        <f t="shared" si="219"/>
        <v>Unknown</v>
      </c>
      <c r="R551" s="1" t="str">
        <f t="shared" si="220"/>
        <v>MISSING_REGION</v>
      </c>
      <c r="S551" s="1" t="s">
        <v>81</v>
      </c>
      <c r="T551" s="1" t="str">
        <f t="shared" si="221"/>
        <v>Madhya Pradesh</v>
      </c>
      <c r="U551" s="1" t="s">
        <v>82</v>
      </c>
      <c r="V551" s="1" t="str">
        <f t="shared" si="222"/>
        <v>Indore</v>
      </c>
      <c r="W551" s="1" t="s">
        <v>29</v>
      </c>
      <c r="X551" s="1" t="str">
        <f t="shared" si="223"/>
        <v>Office Supplies</v>
      </c>
      <c r="Y551" s="1" t="s">
        <v>184</v>
      </c>
      <c r="Z551" s="1" t="str">
        <f t="shared" si="224"/>
        <v>Binders</v>
      </c>
      <c r="AA551" s="1" t="s">
        <v>602</v>
      </c>
      <c r="AB551" s="1" t="s">
        <v>55</v>
      </c>
      <c r="AC551" s="1" t="str">
        <f t="shared" si="225"/>
        <v>First Class</v>
      </c>
      <c r="AD551" s="1" t="str">
        <f t="shared" si="226"/>
        <v>OK</v>
      </c>
      <c r="AE551" s="1">
        <v>9</v>
      </c>
      <c r="AF551" s="1">
        <v>531.99</v>
      </c>
      <c r="AG551" s="9">
        <v>0.25</v>
      </c>
      <c r="AH551" s="9">
        <f t="shared" si="227"/>
        <v>0.25</v>
      </c>
      <c r="AI551" s="1" t="str">
        <f t="shared" si="228"/>
        <v>OK</v>
      </c>
      <c r="AJ551" s="1">
        <v>3590.93</v>
      </c>
      <c r="AK551" s="1">
        <v>3061.39</v>
      </c>
      <c r="AL551" s="1">
        <v>529.54</v>
      </c>
      <c r="AM551" s="13">
        <f t="shared" si="229"/>
        <v>3590.9324999999999</v>
      </c>
      <c r="AN551" s="9">
        <f t="shared" si="230"/>
        <v>529.54250000000002</v>
      </c>
      <c r="AO551" s="9">
        <f t="shared" si="239"/>
        <v>0.14746657031286442</v>
      </c>
      <c r="AP551" s="1" t="s">
        <v>186</v>
      </c>
      <c r="AQ551" s="1" t="str">
        <f t="shared" si="231"/>
        <v>Failed</v>
      </c>
      <c r="AR551" s="1" t="str">
        <f t="shared" si="232"/>
        <v>EXCLUDE_FROM_SALES</v>
      </c>
      <c r="AS551" s="1" t="s">
        <v>76</v>
      </c>
      <c r="AT551" s="3" t="str">
        <f t="shared" si="233"/>
        <v>Cancelled</v>
      </c>
      <c r="AU551" s="3" t="str">
        <f t="shared" si="234"/>
        <v>EXCLUDE_FROM_SALES</v>
      </c>
      <c r="AV551" s="3" t="str">
        <f t="shared" si="240"/>
        <v>WARNING</v>
      </c>
      <c r="AW551" t="str">
        <f t="shared" si="241"/>
        <v>MATCH</v>
      </c>
      <c r="AX551" t="str">
        <f t="shared" si="242"/>
        <v>MATCH</v>
      </c>
    </row>
    <row r="552" spans="1:50">
      <c r="A552" s="1" t="s">
        <v>621</v>
      </c>
      <c r="B552" s="1">
        <f t="shared" si="216"/>
        <v>1</v>
      </c>
      <c r="C552" s="16">
        <v>45891</v>
      </c>
      <c r="D552" s="16">
        <v>45891</v>
      </c>
      <c r="E552" s="16" t="str">
        <f t="shared" si="235"/>
        <v>Aug</v>
      </c>
      <c r="F552" s="1">
        <f t="shared" si="236"/>
        <v>2025</v>
      </c>
      <c r="G552" t="s">
        <v>2325</v>
      </c>
      <c r="H552" s="17">
        <v>45514</v>
      </c>
      <c r="I552" s="21">
        <f t="shared" si="237"/>
        <v>-377</v>
      </c>
      <c r="J552" s="6" t="str">
        <f t="shared" si="238"/>
        <v>INVALID_SHIPPING</v>
      </c>
      <c r="K552" s="1" t="s">
        <v>624</v>
      </c>
      <c r="L552" s="1" t="s">
        <v>334</v>
      </c>
      <c r="M552" s="1" t="str">
        <f t="shared" si="217"/>
        <v>Kabir Singh</v>
      </c>
      <c r="N552" s="1" t="s">
        <v>625</v>
      </c>
      <c r="O552" s="1" t="str">
        <f t="shared" si="218"/>
        <v>Small Business</v>
      </c>
      <c r="P552" s="1" t="s">
        <v>60</v>
      </c>
      <c r="Q552" s="1" t="str">
        <f t="shared" si="219"/>
        <v>South</v>
      </c>
      <c r="R552" s="1" t="str">
        <f t="shared" si="220"/>
        <v>OK</v>
      </c>
      <c r="S552" s="1" t="s">
        <v>97</v>
      </c>
      <c r="T552" s="1" t="str">
        <f t="shared" si="221"/>
        <v>Andhra Pradesh</v>
      </c>
      <c r="U552" s="1" t="s">
        <v>98</v>
      </c>
      <c r="V552" s="1" t="str">
        <f t="shared" si="222"/>
        <v>Vijayawada</v>
      </c>
      <c r="W552" s="1" t="s">
        <v>83</v>
      </c>
      <c r="X552" s="1" t="str">
        <f t="shared" si="223"/>
        <v>Technology</v>
      </c>
      <c r="Y552" s="1" t="s">
        <v>347</v>
      </c>
      <c r="Z552" s="1" t="str">
        <f t="shared" si="224"/>
        <v>Machines</v>
      </c>
      <c r="AA552" s="1" t="s">
        <v>626</v>
      </c>
      <c r="AB552" s="1" t="s">
        <v>32</v>
      </c>
      <c r="AC552" s="1" t="str">
        <f t="shared" si="225"/>
        <v>Second Class</v>
      </c>
      <c r="AD552" s="1" t="str">
        <f t="shared" si="226"/>
        <v>OK</v>
      </c>
      <c r="AE552" s="1">
        <v>5</v>
      </c>
      <c r="AF552" s="1">
        <v>3482.92</v>
      </c>
      <c r="AG552" s="9">
        <v>0</v>
      </c>
      <c r="AH552" s="9">
        <f t="shared" si="227"/>
        <v>0</v>
      </c>
      <c r="AI552" s="1" t="str">
        <f t="shared" si="228"/>
        <v>OK</v>
      </c>
      <c r="AJ552" s="1">
        <v>17414.599999999999</v>
      </c>
      <c r="AK552" s="1">
        <v>11760.91</v>
      </c>
      <c r="AL552" s="1">
        <v>5653.69</v>
      </c>
      <c r="AM552" s="13">
        <f t="shared" si="229"/>
        <v>17414.599999999999</v>
      </c>
      <c r="AN552" s="9">
        <f t="shared" si="230"/>
        <v>5653.6899999999987</v>
      </c>
      <c r="AO552" s="9">
        <f t="shared" si="239"/>
        <v>0.3246523032398102</v>
      </c>
      <c r="AP552" s="1" t="s">
        <v>119</v>
      </c>
      <c r="AQ552" s="1" t="str">
        <f t="shared" si="231"/>
        <v>Refunded</v>
      </c>
      <c r="AR552" s="1" t="str">
        <f t="shared" si="232"/>
        <v>REFUNDED_PAYMENT</v>
      </c>
      <c r="AS552" s="1" t="s">
        <v>76</v>
      </c>
      <c r="AT552" s="3" t="str">
        <f t="shared" si="233"/>
        <v>Cancelled</v>
      </c>
      <c r="AU552" s="3" t="str">
        <f t="shared" si="234"/>
        <v>EXCLUDE_FROM_SALES</v>
      </c>
      <c r="AV552" s="3" t="str">
        <f t="shared" si="240"/>
        <v>INVALID</v>
      </c>
      <c r="AW552" t="str">
        <f t="shared" si="241"/>
        <v>MATCH</v>
      </c>
      <c r="AX552" t="str">
        <f t="shared" si="242"/>
        <v>MATCH</v>
      </c>
    </row>
    <row r="553" spans="1:50">
      <c r="A553" s="1" t="s">
        <v>641</v>
      </c>
      <c r="B553" s="1">
        <f t="shared" si="216"/>
        <v>1</v>
      </c>
      <c r="C553" s="16">
        <v>45855</v>
      </c>
      <c r="D553" s="16">
        <v>45855</v>
      </c>
      <c r="E553" s="16" t="str">
        <f t="shared" si="235"/>
        <v>Jul</v>
      </c>
      <c r="F553" s="1">
        <f t="shared" si="236"/>
        <v>2025</v>
      </c>
      <c r="G553" t="s">
        <v>2329</v>
      </c>
      <c r="H553" s="17">
        <v>45349</v>
      </c>
      <c r="I553" s="21">
        <f t="shared" si="237"/>
        <v>-506</v>
      </c>
      <c r="J553" s="6" t="str">
        <f t="shared" si="238"/>
        <v>INVALID_SHIPPING</v>
      </c>
      <c r="K553" s="1" t="s">
        <v>643</v>
      </c>
      <c r="L553" s="1" t="s">
        <v>90</v>
      </c>
      <c r="M553" s="1" t="str">
        <f t="shared" si="217"/>
        <v>Neha Gupta</v>
      </c>
      <c r="N553" s="1" t="s">
        <v>40</v>
      </c>
      <c r="O553" s="1" t="str">
        <f t="shared" si="218"/>
        <v>Small Business</v>
      </c>
      <c r="P553" s="1" t="s">
        <v>71</v>
      </c>
      <c r="Q553" s="1" t="str">
        <f t="shared" si="219"/>
        <v>West</v>
      </c>
      <c r="R553" s="1" t="str">
        <f t="shared" si="220"/>
        <v>OK</v>
      </c>
      <c r="S553" s="1" t="s">
        <v>27</v>
      </c>
      <c r="T553" s="1" t="str">
        <f t="shared" si="221"/>
        <v>Rajasthan</v>
      </c>
      <c r="U553" s="1" t="s">
        <v>129</v>
      </c>
      <c r="V553" s="1" t="str">
        <f t="shared" si="222"/>
        <v>Udaipur</v>
      </c>
      <c r="W553" s="1" t="s">
        <v>44</v>
      </c>
      <c r="X553" s="1" t="str">
        <f t="shared" si="223"/>
        <v>Furniture</v>
      </c>
      <c r="Y553" s="1" t="s">
        <v>45</v>
      </c>
      <c r="Z553" s="1" t="str">
        <f t="shared" si="224"/>
        <v>Tables</v>
      </c>
      <c r="AA553" s="1" t="s">
        <v>644</v>
      </c>
      <c r="AB553" s="1" t="s">
        <v>47</v>
      </c>
      <c r="AC553" s="1" t="str">
        <f t="shared" si="225"/>
        <v>Same Day</v>
      </c>
      <c r="AD553" s="1" t="str">
        <f t="shared" si="226"/>
        <v>OK</v>
      </c>
      <c r="AE553" s="1">
        <v>6</v>
      </c>
      <c r="AF553" s="1">
        <v>3235.27</v>
      </c>
      <c r="AG553" s="9">
        <v>0.25</v>
      </c>
      <c r="AH553" s="9">
        <f t="shared" si="227"/>
        <v>0.25</v>
      </c>
      <c r="AI553" s="1" t="str">
        <f t="shared" si="228"/>
        <v>OK</v>
      </c>
      <c r="AJ553" s="1">
        <v>14558.72</v>
      </c>
      <c r="AK553" s="1">
        <v>9591.48</v>
      </c>
      <c r="AL553" s="1">
        <v>4967.24</v>
      </c>
      <c r="AM553" s="13">
        <f t="shared" si="229"/>
        <v>14558.715</v>
      </c>
      <c r="AN553" s="9">
        <f t="shared" si="230"/>
        <v>4967.2350000000006</v>
      </c>
      <c r="AO553" s="9">
        <f t="shared" si="239"/>
        <v>0.34118636157105903</v>
      </c>
      <c r="AP553" s="1" t="s">
        <v>119</v>
      </c>
      <c r="AQ553" s="1" t="str">
        <f t="shared" si="231"/>
        <v>Refunded</v>
      </c>
      <c r="AR553" s="1" t="str">
        <f t="shared" si="232"/>
        <v>REFUNDED_PAYMENT</v>
      </c>
      <c r="AS553" s="1" t="s">
        <v>120</v>
      </c>
      <c r="AT553" s="3" t="str">
        <f t="shared" si="233"/>
        <v>Returned</v>
      </c>
      <c r="AU553" s="3" t="str">
        <f t="shared" si="234"/>
        <v>RETURNED_ORDER</v>
      </c>
      <c r="AV553" s="3" t="str">
        <f t="shared" si="240"/>
        <v>INVALID</v>
      </c>
      <c r="AW553" t="str">
        <f t="shared" si="241"/>
        <v>MATCH</v>
      </c>
      <c r="AX553" t="str">
        <f t="shared" si="242"/>
        <v>MATCH</v>
      </c>
    </row>
    <row r="554" spans="1:50">
      <c r="A554" s="1" t="s">
        <v>645</v>
      </c>
      <c r="B554" s="1">
        <f t="shared" si="216"/>
        <v>1</v>
      </c>
      <c r="C554" s="16">
        <v>45924</v>
      </c>
      <c r="D554" s="16">
        <v>45924</v>
      </c>
      <c r="E554" s="16" t="str">
        <f t="shared" si="235"/>
        <v>Sep</v>
      </c>
      <c r="F554" s="1">
        <f t="shared" si="236"/>
        <v>2025</v>
      </c>
      <c r="G554" t="s">
        <v>313</v>
      </c>
      <c r="H554" s="17">
        <v>45687</v>
      </c>
      <c r="I554" s="21">
        <f t="shared" si="237"/>
        <v>-237</v>
      </c>
      <c r="J554" s="6" t="str">
        <f t="shared" si="238"/>
        <v>INVALID_SHIPPING</v>
      </c>
      <c r="K554" s="1" t="s">
        <v>647</v>
      </c>
      <c r="L554" s="1" t="s">
        <v>136</v>
      </c>
      <c r="M554" s="1" t="str">
        <f t="shared" si="217"/>
        <v>Priya Menon</v>
      </c>
      <c r="N554" s="1" t="s">
        <v>104</v>
      </c>
      <c r="O554" s="1" t="str">
        <f t="shared" si="218"/>
        <v>Corporate</v>
      </c>
      <c r="P554" s="1" t="s">
        <v>26</v>
      </c>
      <c r="Q554" s="1" t="str">
        <f t="shared" si="219"/>
        <v>North</v>
      </c>
      <c r="R554" s="1" t="str">
        <f t="shared" si="220"/>
        <v>OK</v>
      </c>
      <c r="S554" s="1" t="s">
        <v>454</v>
      </c>
      <c r="T554" s="1" t="str">
        <f t="shared" si="221"/>
        <v>Delhi</v>
      </c>
      <c r="U554" s="1" t="s">
        <v>455</v>
      </c>
      <c r="V554" s="1" t="str">
        <f t="shared" si="222"/>
        <v>New Delhi</v>
      </c>
      <c r="W554" s="1" t="s">
        <v>83</v>
      </c>
      <c r="X554" s="1" t="str">
        <f t="shared" si="223"/>
        <v>Technology</v>
      </c>
      <c r="Y554" s="1" t="s">
        <v>91</v>
      </c>
      <c r="Z554" s="1" t="str">
        <f t="shared" si="224"/>
        <v>Copiers</v>
      </c>
      <c r="AA554" s="1" t="s">
        <v>648</v>
      </c>
      <c r="AB554" s="1" t="s">
        <v>65</v>
      </c>
      <c r="AC554" s="1" t="str">
        <f t="shared" si="225"/>
        <v>Standard Class</v>
      </c>
      <c r="AD554" s="1" t="str">
        <f t="shared" si="226"/>
        <v>OK</v>
      </c>
      <c r="AE554" s="1">
        <v>3</v>
      </c>
      <c r="AF554" s="1">
        <v>1593.86</v>
      </c>
      <c r="AG554" s="9">
        <v>0.1</v>
      </c>
      <c r="AH554" s="9">
        <f t="shared" si="227"/>
        <v>0.1</v>
      </c>
      <c r="AI554" s="1" t="str">
        <f t="shared" si="228"/>
        <v>OK</v>
      </c>
      <c r="AJ554" s="1">
        <v>4303.42</v>
      </c>
      <c r="AK554" s="1">
        <v>2568.5700000000002</v>
      </c>
      <c r="AL554" s="1">
        <v>1734.85</v>
      </c>
      <c r="AM554" s="13">
        <f t="shared" si="229"/>
        <v>4303.4220000000005</v>
      </c>
      <c r="AN554" s="9">
        <f t="shared" si="230"/>
        <v>1734.8520000000003</v>
      </c>
      <c r="AO554" s="9">
        <f t="shared" si="239"/>
        <v>0.40313313451481175</v>
      </c>
      <c r="AP554" s="1" t="s">
        <v>33</v>
      </c>
      <c r="AQ554" s="1" t="str">
        <f t="shared" si="231"/>
        <v>Paid</v>
      </c>
      <c r="AR554" s="1" t="str">
        <f t="shared" si="232"/>
        <v>OK</v>
      </c>
      <c r="AS554" s="1" t="s">
        <v>34</v>
      </c>
      <c r="AT554" s="3" t="str">
        <f t="shared" si="233"/>
        <v>Completed</v>
      </c>
      <c r="AU554" s="3" t="str">
        <f t="shared" si="234"/>
        <v>OK</v>
      </c>
      <c r="AV554" s="3" t="str">
        <f t="shared" si="240"/>
        <v>INVALID</v>
      </c>
      <c r="AW554" t="str">
        <f t="shared" si="241"/>
        <v>MATCH</v>
      </c>
      <c r="AX554" t="str">
        <f t="shared" si="242"/>
        <v>MATCH</v>
      </c>
    </row>
    <row r="555" spans="1:50" hidden="1">
      <c r="A555" s="1" t="s">
        <v>649</v>
      </c>
      <c r="B555" s="1">
        <f t="shared" si="216"/>
        <v>2</v>
      </c>
      <c r="C555" s="16">
        <v>45687</v>
      </c>
      <c r="D555" s="16">
        <v>45687</v>
      </c>
      <c r="E555" s="16" t="str">
        <f t="shared" si="235"/>
        <v>Jan</v>
      </c>
      <c r="F555" s="1">
        <f t="shared" si="236"/>
        <v>2025</v>
      </c>
      <c r="G555" t="s">
        <v>2336</v>
      </c>
      <c r="H555" s="17">
        <v>45775</v>
      </c>
      <c r="I555" s="21">
        <f t="shared" si="237"/>
        <v>88</v>
      </c>
      <c r="J555" s="6" t="str">
        <f t="shared" si="238"/>
        <v>OK</v>
      </c>
      <c r="K555" s="1" t="s">
        <v>651</v>
      </c>
      <c r="L555" s="1" t="s">
        <v>136</v>
      </c>
      <c r="M555" s="1" t="str">
        <f t="shared" si="217"/>
        <v>Priya Menon</v>
      </c>
      <c r="N555" s="1" t="s">
        <v>104</v>
      </c>
      <c r="O555" s="1" t="str">
        <f t="shared" si="218"/>
        <v>Corporate</v>
      </c>
      <c r="P555" s="1" t="s">
        <v>71</v>
      </c>
      <c r="Q555" s="1" t="str">
        <f t="shared" si="219"/>
        <v>West</v>
      </c>
      <c r="R555" s="1" t="str">
        <f t="shared" si="220"/>
        <v>OK</v>
      </c>
      <c r="S555" s="1" t="s">
        <v>81</v>
      </c>
      <c r="T555" s="1" t="str">
        <f t="shared" si="221"/>
        <v>Madhya Pradesh</v>
      </c>
      <c r="U555" s="1" t="s">
        <v>82</v>
      </c>
      <c r="V555" s="1" t="str">
        <f t="shared" si="222"/>
        <v>Indore</v>
      </c>
      <c r="W555" s="1" t="s">
        <v>29</v>
      </c>
      <c r="X555" s="1" t="str">
        <f t="shared" si="223"/>
        <v>Office Supplies</v>
      </c>
      <c r="Y555" s="1" t="s">
        <v>148</v>
      </c>
      <c r="Z555" s="1" t="str">
        <f t="shared" si="224"/>
        <v>Storage</v>
      </c>
      <c r="AA555" s="1" t="s">
        <v>652</v>
      </c>
      <c r="AB555" s="1" t="s">
        <v>32</v>
      </c>
      <c r="AC555" s="1" t="str">
        <f t="shared" si="225"/>
        <v>Second Class</v>
      </c>
      <c r="AD555" s="1" t="str">
        <f t="shared" si="226"/>
        <v>OK</v>
      </c>
      <c r="AE555" s="1">
        <v>2</v>
      </c>
      <c r="AF555" s="1">
        <v>3039.3</v>
      </c>
      <c r="AG555" s="9">
        <v>0.05</v>
      </c>
      <c r="AH555" s="9">
        <f t="shared" si="227"/>
        <v>0.05</v>
      </c>
      <c r="AI555" s="1" t="str">
        <f t="shared" si="228"/>
        <v>OK</v>
      </c>
      <c r="AJ555" s="1">
        <v>5774.67</v>
      </c>
      <c r="AK555" s="1">
        <v>3518.36</v>
      </c>
      <c r="AL555" s="1">
        <v>2256.31</v>
      </c>
      <c r="AM555" s="13">
        <f t="shared" si="229"/>
        <v>5774.67</v>
      </c>
      <c r="AN555" s="9">
        <f t="shared" si="230"/>
        <v>2256.31</v>
      </c>
      <c r="AO555" s="9">
        <f t="shared" si="239"/>
        <v>0.39072535746631409</v>
      </c>
      <c r="AP555" s="1" t="s">
        <v>33</v>
      </c>
      <c r="AQ555" s="1" t="str">
        <f t="shared" si="231"/>
        <v>Paid</v>
      </c>
      <c r="AR555" s="1" t="str">
        <f t="shared" si="232"/>
        <v>OK</v>
      </c>
      <c r="AS555" s="1" t="s">
        <v>34</v>
      </c>
      <c r="AT555" s="3" t="str">
        <f t="shared" si="233"/>
        <v>Completed</v>
      </c>
      <c r="AU555" s="3" t="str">
        <f t="shared" si="234"/>
        <v>OK</v>
      </c>
      <c r="AV555" s="3" t="str">
        <f t="shared" si="240"/>
        <v>CLEAN</v>
      </c>
      <c r="AW555" t="str">
        <f t="shared" si="241"/>
        <v>MATCH</v>
      </c>
      <c r="AX555" t="str">
        <f t="shared" si="242"/>
        <v>MATCH</v>
      </c>
    </row>
    <row r="556" spans="1:50" ht="15.6">
      <c r="A556" s="1" t="s">
        <v>649</v>
      </c>
      <c r="B556" s="1">
        <f t="shared" si="216"/>
        <v>2</v>
      </c>
      <c r="C556" s="16">
        <v>45687</v>
      </c>
      <c r="D556" s="16">
        <v>45687</v>
      </c>
      <c r="E556" s="16" t="str">
        <f t="shared" si="235"/>
        <v>Jan</v>
      </c>
      <c r="F556" s="1">
        <f t="shared" si="236"/>
        <v>2025</v>
      </c>
      <c r="G556" t="s">
        <v>2340</v>
      </c>
      <c r="H556" s="17">
        <v>45582</v>
      </c>
      <c r="I556" s="21">
        <f t="shared" si="237"/>
        <v>-105</v>
      </c>
      <c r="J556" s="6" t="str">
        <f t="shared" si="238"/>
        <v>INVALID_SHIPPING</v>
      </c>
      <c r="K556" s="1" t="s">
        <v>651</v>
      </c>
      <c r="L556" s="1" t="s">
        <v>136</v>
      </c>
      <c r="M556" s="1" t="str">
        <f t="shared" si="217"/>
        <v>Priya Menon</v>
      </c>
      <c r="N556" s="1" t="s">
        <v>104</v>
      </c>
      <c r="O556" s="1" t="str">
        <f t="shared" si="218"/>
        <v>Corporate</v>
      </c>
      <c r="P556" s="1" t="s">
        <v>71</v>
      </c>
      <c r="Q556" s="1" t="str">
        <f t="shared" si="219"/>
        <v>West</v>
      </c>
      <c r="R556" s="1" t="str">
        <f t="shared" si="220"/>
        <v>OK</v>
      </c>
      <c r="S556" s="1" t="s">
        <v>81</v>
      </c>
      <c r="T556" s="1" t="str">
        <f t="shared" si="221"/>
        <v>Madhya Pradesh</v>
      </c>
      <c r="U556" s="1" t="s">
        <v>82</v>
      </c>
      <c r="V556" s="1" t="str">
        <f t="shared" si="222"/>
        <v>Indore</v>
      </c>
      <c r="W556" s="1" t="s">
        <v>29</v>
      </c>
      <c r="X556" s="1" t="str">
        <f t="shared" si="223"/>
        <v>Office Supplies</v>
      </c>
      <c r="Y556" s="1" t="s">
        <v>148</v>
      </c>
      <c r="Z556" s="1" t="str">
        <f t="shared" si="224"/>
        <v>Storage</v>
      </c>
      <c r="AA556" s="1" t="s">
        <v>652</v>
      </c>
      <c r="AB556" s="1" t="s">
        <v>32</v>
      </c>
      <c r="AC556" s="1" t="str">
        <f t="shared" si="225"/>
        <v>Second Class</v>
      </c>
      <c r="AD556" s="1" t="str">
        <f t="shared" si="226"/>
        <v>OK</v>
      </c>
      <c r="AE556" s="1">
        <v>2</v>
      </c>
      <c r="AF556" s="1">
        <v>3039.3</v>
      </c>
      <c r="AG556" s="9">
        <v>0.05</v>
      </c>
      <c r="AH556" s="9">
        <f t="shared" si="227"/>
        <v>0.05</v>
      </c>
      <c r="AI556" s="1" t="str">
        <f t="shared" si="228"/>
        <v>OK</v>
      </c>
      <c r="AJ556" s="1">
        <v>5774.67</v>
      </c>
      <c r="AK556" s="1">
        <v>3518.36</v>
      </c>
      <c r="AL556" s="1">
        <v>2256.31</v>
      </c>
      <c r="AM556" s="13">
        <f t="shared" si="229"/>
        <v>5774.67</v>
      </c>
      <c r="AN556" s="9">
        <f t="shared" si="230"/>
        <v>2256.31</v>
      </c>
      <c r="AO556" s="9">
        <f t="shared" si="239"/>
        <v>0.39072535746631409</v>
      </c>
      <c r="AP556" s="1" t="s">
        <v>33</v>
      </c>
      <c r="AQ556" s="1" t="str">
        <f t="shared" si="231"/>
        <v>Paid</v>
      </c>
      <c r="AR556" s="1" t="str">
        <f t="shared" si="232"/>
        <v>OK</v>
      </c>
      <c r="AS556" s="1" t="s">
        <v>34</v>
      </c>
      <c r="AT556" s="4" t="str">
        <f t="shared" si="233"/>
        <v>Completed</v>
      </c>
      <c r="AU556" s="3" t="str">
        <f t="shared" si="234"/>
        <v>OK</v>
      </c>
      <c r="AV556" s="3" t="str">
        <f t="shared" si="240"/>
        <v>INVALID</v>
      </c>
      <c r="AW556" t="str">
        <f t="shared" si="241"/>
        <v>MATCH</v>
      </c>
      <c r="AX556" t="str">
        <f t="shared" si="242"/>
        <v>MATCH</v>
      </c>
    </row>
    <row r="557" spans="1:50" ht="15.6">
      <c r="A557" s="1" t="s">
        <v>666</v>
      </c>
      <c r="B557" s="1">
        <f t="shared" si="216"/>
        <v>1</v>
      </c>
      <c r="C557" s="16">
        <v>45929</v>
      </c>
      <c r="D557" s="16">
        <v>45929</v>
      </c>
      <c r="E557" s="16" t="str">
        <f t="shared" si="235"/>
        <v>Sep</v>
      </c>
      <c r="F557" s="1">
        <f t="shared" si="236"/>
        <v>2025</v>
      </c>
      <c r="G557" t="s">
        <v>2344</v>
      </c>
      <c r="H557" s="17">
        <v>45698</v>
      </c>
      <c r="I557" s="21">
        <f t="shared" si="237"/>
        <v>-231</v>
      </c>
      <c r="J557" s="6" t="str">
        <f t="shared" si="238"/>
        <v>INVALID_SHIPPING</v>
      </c>
      <c r="K557" s="1" t="s">
        <v>669</v>
      </c>
      <c r="L557" s="1" t="s">
        <v>70</v>
      </c>
      <c r="M557" s="1" t="str">
        <f t="shared" si="217"/>
        <v>Ananya Rao</v>
      </c>
      <c r="N557" s="1" t="s">
        <v>110</v>
      </c>
      <c r="O557" s="1" t="str">
        <f t="shared" si="218"/>
        <v>Home Office</v>
      </c>
      <c r="P557" s="1" t="s">
        <v>41</v>
      </c>
      <c r="Q557" s="1" t="str">
        <f t="shared" si="219"/>
        <v>East</v>
      </c>
      <c r="R557" s="1" t="str">
        <f t="shared" si="220"/>
        <v>OK</v>
      </c>
      <c r="S557" s="1" t="s">
        <v>284</v>
      </c>
      <c r="T557" s="1" t="str">
        <f t="shared" si="221"/>
        <v>Jharkhand</v>
      </c>
      <c r="U557" s="1" t="s">
        <v>285</v>
      </c>
      <c r="V557" s="1" t="str">
        <f t="shared" si="222"/>
        <v>Ranchi</v>
      </c>
      <c r="W557" s="1" t="s">
        <v>29</v>
      </c>
      <c r="X557" s="1" t="str">
        <f t="shared" si="223"/>
        <v>Office Supplies</v>
      </c>
      <c r="Y557" s="1" t="s">
        <v>30</v>
      </c>
      <c r="Z557" s="1" t="str">
        <f t="shared" si="224"/>
        <v>Paper</v>
      </c>
      <c r="AA557" s="1" t="s">
        <v>670</v>
      </c>
      <c r="AB557" s="1" t="s">
        <v>47</v>
      </c>
      <c r="AC557" s="1" t="str">
        <f t="shared" si="225"/>
        <v>Same Day</v>
      </c>
      <c r="AD557" s="1" t="str">
        <f t="shared" si="226"/>
        <v>OK</v>
      </c>
      <c r="AE557" s="1">
        <v>9</v>
      </c>
      <c r="AF557" s="1">
        <v>373.91</v>
      </c>
      <c r="AG557" s="9">
        <v>0.2</v>
      </c>
      <c r="AH557" s="9">
        <f t="shared" si="227"/>
        <v>0.2</v>
      </c>
      <c r="AI557" s="1" t="str">
        <f t="shared" si="228"/>
        <v>OK</v>
      </c>
      <c r="AJ557" s="1">
        <v>2692.15</v>
      </c>
      <c r="AK557" s="1">
        <v>2044.49</v>
      </c>
      <c r="AL557" s="1">
        <v>647.66</v>
      </c>
      <c r="AM557" s="13">
        <f t="shared" si="229"/>
        <v>2692.152</v>
      </c>
      <c r="AN557" s="9">
        <f t="shared" si="230"/>
        <v>647.66200000000003</v>
      </c>
      <c r="AO557" s="9">
        <f t="shared" si="239"/>
        <v>0.24057408348414205</v>
      </c>
      <c r="AP557" s="1" t="s">
        <v>33</v>
      </c>
      <c r="AQ557" s="1" t="str">
        <f t="shared" si="231"/>
        <v>Paid</v>
      </c>
      <c r="AR557" s="1" t="str">
        <f t="shared" si="232"/>
        <v>OK</v>
      </c>
      <c r="AS557" s="1" t="s">
        <v>34</v>
      </c>
      <c r="AT557" s="4" t="str">
        <f t="shared" si="233"/>
        <v>Completed</v>
      </c>
      <c r="AU557" s="3" t="str">
        <f t="shared" si="234"/>
        <v>OK</v>
      </c>
      <c r="AV557" s="3" t="str">
        <f t="shared" si="240"/>
        <v>INVALID</v>
      </c>
      <c r="AW557" t="str">
        <f t="shared" si="241"/>
        <v>MATCH</v>
      </c>
      <c r="AX557" t="str">
        <f t="shared" si="242"/>
        <v>MATCH</v>
      </c>
    </row>
    <row r="558" spans="1:50" ht="15.6">
      <c r="A558" s="1" t="s">
        <v>679</v>
      </c>
      <c r="B558" s="1">
        <f t="shared" si="216"/>
        <v>1</v>
      </c>
      <c r="C558" s="16">
        <v>45852</v>
      </c>
      <c r="D558" s="16">
        <v>45852</v>
      </c>
      <c r="E558" s="16" t="str">
        <f t="shared" si="235"/>
        <v>Jul</v>
      </c>
      <c r="F558" s="1">
        <f t="shared" si="236"/>
        <v>2025</v>
      </c>
      <c r="G558" t="s">
        <v>1844</v>
      </c>
      <c r="H558" s="17">
        <v>45472</v>
      </c>
      <c r="I558" s="21">
        <f t="shared" si="237"/>
        <v>-380</v>
      </c>
      <c r="J558" s="6" t="str">
        <f t="shared" si="238"/>
        <v>INVALID_SHIPPING</v>
      </c>
      <c r="K558" s="1" t="s">
        <v>681</v>
      </c>
      <c r="L558" s="1" t="s">
        <v>80</v>
      </c>
      <c r="M558" s="1" t="str">
        <f t="shared" si="217"/>
        <v>Vikram Iyer</v>
      </c>
      <c r="N558" s="1" t="s">
        <v>110</v>
      </c>
      <c r="O558" s="1" t="str">
        <f t="shared" si="218"/>
        <v>Home Office</v>
      </c>
      <c r="P558" s="1" t="s">
        <v>41</v>
      </c>
      <c r="Q558" s="1" t="str">
        <f t="shared" si="219"/>
        <v>East</v>
      </c>
      <c r="R558" s="1" t="str">
        <f t="shared" si="220"/>
        <v>OK</v>
      </c>
      <c r="S558" s="1" t="s">
        <v>116</v>
      </c>
      <c r="T558" s="1" t="str">
        <f t="shared" si="221"/>
        <v>West Bengal</v>
      </c>
      <c r="U558" s="1" t="s">
        <v>117</v>
      </c>
      <c r="V558" s="1" t="str">
        <f t="shared" si="222"/>
        <v>Kolkata</v>
      </c>
      <c r="W558" s="1" t="s">
        <v>44</v>
      </c>
      <c r="X558" s="1" t="str">
        <f t="shared" si="223"/>
        <v>Furniture</v>
      </c>
      <c r="Y558" s="1" t="s">
        <v>190</v>
      </c>
      <c r="Z558" s="1" t="str">
        <f t="shared" si="224"/>
        <v>Bookcases</v>
      </c>
      <c r="AA558" s="1" t="s">
        <v>682</v>
      </c>
      <c r="AB558" s="1"/>
      <c r="AC558" s="1" t="str">
        <f t="shared" si="225"/>
        <v>Unknown</v>
      </c>
      <c r="AD558" s="1" t="str">
        <f t="shared" si="226"/>
        <v>MISSING_SHIP_MODE</v>
      </c>
      <c r="AE558" s="1">
        <v>5</v>
      </c>
      <c r="AF558" s="1">
        <v>383.1</v>
      </c>
      <c r="AG558" s="9">
        <v>0.25</v>
      </c>
      <c r="AH558" s="9">
        <f t="shared" si="227"/>
        <v>0.25</v>
      </c>
      <c r="AI558" s="1" t="str">
        <f t="shared" si="228"/>
        <v>OK</v>
      </c>
      <c r="AJ558" s="1">
        <v>1436.62</v>
      </c>
      <c r="AK558" s="1">
        <v>912.52</v>
      </c>
      <c r="AL558" s="1">
        <v>524.1</v>
      </c>
      <c r="AM558" s="13">
        <f t="shared" si="229"/>
        <v>1436.625</v>
      </c>
      <c r="AN558" s="9">
        <f t="shared" si="230"/>
        <v>524.10500000000002</v>
      </c>
      <c r="AO558" s="9">
        <f t="shared" si="239"/>
        <v>0.36481684503610895</v>
      </c>
      <c r="AP558" s="1" t="s">
        <v>131</v>
      </c>
      <c r="AQ558" s="1" t="str">
        <f t="shared" si="231"/>
        <v>Pending</v>
      </c>
      <c r="AR558" s="1" t="str">
        <f t="shared" si="232"/>
        <v>OK</v>
      </c>
      <c r="AS558" s="1" t="s">
        <v>76</v>
      </c>
      <c r="AT558" s="4" t="str">
        <f t="shared" si="233"/>
        <v>Cancelled</v>
      </c>
      <c r="AU558" s="3" t="str">
        <f t="shared" si="234"/>
        <v>EXCLUDE_FROM_SALES</v>
      </c>
      <c r="AV558" s="3" t="str">
        <f t="shared" si="240"/>
        <v>INVALID</v>
      </c>
      <c r="AW558" t="str">
        <f t="shared" si="241"/>
        <v>MISMATCH</v>
      </c>
      <c r="AX558" t="str">
        <f t="shared" si="242"/>
        <v>MISMATCH</v>
      </c>
    </row>
    <row r="559" spans="1:50" ht="15.6">
      <c r="A559" s="1" t="s">
        <v>683</v>
      </c>
      <c r="B559" s="1">
        <f t="shared" si="216"/>
        <v>1</v>
      </c>
      <c r="C559" s="16">
        <v>45893</v>
      </c>
      <c r="D559" s="16">
        <v>45893</v>
      </c>
      <c r="E559" s="16" t="str">
        <f t="shared" si="235"/>
        <v>Aug</v>
      </c>
      <c r="F559" s="1">
        <f t="shared" si="236"/>
        <v>2025</v>
      </c>
      <c r="G559" t="s">
        <v>2352</v>
      </c>
      <c r="H559" s="17">
        <v>45426</v>
      </c>
      <c r="I559" s="21">
        <f t="shared" si="237"/>
        <v>-467</v>
      </c>
      <c r="J559" s="6" t="str">
        <f t="shared" si="238"/>
        <v>INVALID_SHIPPING</v>
      </c>
      <c r="K559" s="1" t="s">
        <v>685</v>
      </c>
      <c r="L559" s="1" t="s">
        <v>196</v>
      </c>
      <c r="M559" s="1" t="str">
        <f t="shared" si="217"/>
        <v>Diya Patel</v>
      </c>
      <c r="N559" s="1" t="s">
        <v>40</v>
      </c>
      <c r="O559" s="1" t="str">
        <f t="shared" si="218"/>
        <v>Small Business</v>
      </c>
      <c r="P559" s="1" t="s">
        <v>60</v>
      </c>
      <c r="Q559" s="1" t="str">
        <f t="shared" si="219"/>
        <v>South</v>
      </c>
      <c r="R559" s="1" t="str">
        <f t="shared" si="220"/>
        <v>OK</v>
      </c>
      <c r="S559" s="1" t="s">
        <v>224</v>
      </c>
      <c r="T559" s="1" t="str">
        <f t="shared" si="221"/>
        <v>Kerala</v>
      </c>
      <c r="U559" s="1" t="s">
        <v>225</v>
      </c>
      <c r="V559" s="1" t="str">
        <f t="shared" si="222"/>
        <v>Kochi</v>
      </c>
      <c r="W559" s="1" t="s">
        <v>44</v>
      </c>
      <c r="X559" s="1" t="str">
        <f t="shared" si="223"/>
        <v>Furniture</v>
      </c>
      <c r="Y559" s="1" t="s">
        <v>190</v>
      </c>
      <c r="Z559" s="1" t="str">
        <f t="shared" si="224"/>
        <v>Bookcases</v>
      </c>
      <c r="AA559" s="1" t="s">
        <v>686</v>
      </c>
      <c r="AB559" s="1" t="s">
        <v>65</v>
      </c>
      <c r="AC559" s="1" t="str">
        <f t="shared" si="225"/>
        <v>Standard Class</v>
      </c>
      <c r="AD559" s="1" t="str">
        <f t="shared" si="226"/>
        <v>OK</v>
      </c>
      <c r="AE559" s="1">
        <v>1</v>
      </c>
      <c r="AF559" s="1">
        <v>3424.78</v>
      </c>
      <c r="AG559" s="9">
        <v>0</v>
      </c>
      <c r="AH559" s="9">
        <f t="shared" si="227"/>
        <v>0</v>
      </c>
      <c r="AI559" s="1" t="str">
        <f t="shared" si="228"/>
        <v>OK</v>
      </c>
      <c r="AJ559" s="1">
        <v>3424.78</v>
      </c>
      <c r="AK559" s="1">
        <v>1951.45</v>
      </c>
      <c r="AL559" s="1">
        <v>1473.33</v>
      </c>
      <c r="AM559" s="13">
        <f t="shared" si="229"/>
        <v>3424.78</v>
      </c>
      <c r="AN559" s="9">
        <f t="shared" si="230"/>
        <v>1473.3300000000002</v>
      </c>
      <c r="AO559" s="9">
        <f t="shared" si="239"/>
        <v>0.43019697615613267</v>
      </c>
      <c r="AP559" s="1" t="s">
        <v>33</v>
      </c>
      <c r="AQ559" s="1" t="str">
        <f t="shared" si="231"/>
        <v>Paid</v>
      </c>
      <c r="AR559" s="1" t="str">
        <f t="shared" si="232"/>
        <v>OK</v>
      </c>
      <c r="AS559" s="1" t="s">
        <v>34</v>
      </c>
      <c r="AT559" s="4" t="str">
        <f t="shared" si="233"/>
        <v>Completed</v>
      </c>
      <c r="AU559" s="3" t="str">
        <f t="shared" si="234"/>
        <v>OK</v>
      </c>
      <c r="AV559" s="3" t="str">
        <f t="shared" si="240"/>
        <v>INVALID</v>
      </c>
      <c r="AW559" t="str">
        <f t="shared" si="241"/>
        <v>MATCH</v>
      </c>
      <c r="AX559" t="str">
        <f t="shared" si="242"/>
        <v>MATCH</v>
      </c>
    </row>
    <row r="560" spans="1:50" ht="15.6" hidden="1">
      <c r="A560" s="1" t="s">
        <v>687</v>
      </c>
      <c r="B560" s="1">
        <f t="shared" si="216"/>
        <v>1</v>
      </c>
      <c r="C560" s="16">
        <v>45697</v>
      </c>
      <c r="D560" s="16">
        <v>45697</v>
      </c>
      <c r="E560" s="16" t="str">
        <f t="shared" si="235"/>
        <v>Feb</v>
      </c>
      <c r="F560" s="1">
        <f t="shared" si="236"/>
        <v>2025</v>
      </c>
      <c r="G560" t="s">
        <v>2356</v>
      </c>
      <c r="H560" s="17">
        <v>45904</v>
      </c>
      <c r="I560" s="21">
        <f t="shared" si="237"/>
        <v>207</v>
      </c>
      <c r="J560" s="6" t="str">
        <f t="shared" si="238"/>
        <v>OK</v>
      </c>
      <c r="K560" s="1" t="s">
        <v>689</v>
      </c>
      <c r="L560" s="1" t="s">
        <v>39</v>
      </c>
      <c r="M560" s="1" t="str">
        <f t="shared" si="217"/>
        <v>Mira Das</v>
      </c>
      <c r="N560" s="1" t="s">
        <v>110</v>
      </c>
      <c r="O560" s="1" t="str">
        <f t="shared" si="218"/>
        <v>Home Office</v>
      </c>
      <c r="P560" s="1" t="s">
        <v>41</v>
      </c>
      <c r="Q560" s="1" t="str">
        <f t="shared" si="219"/>
        <v>East</v>
      </c>
      <c r="R560" s="1" t="str">
        <f t="shared" si="220"/>
        <v>OK</v>
      </c>
      <c r="S560" s="1" t="s">
        <v>284</v>
      </c>
      <c r="T560" s="1" t="str">
        <f t="shared" si="221"/>
        <v>Jharkhand</v>
      </c>
      <c r="U560" s="1" t="s">
        <v>285</v>
      </c>
      <c r="V560" s="1" t="str">
        <f t="shared" si="222"/>
        <v>Ranchi</v>
      </c>
      <c r="W560" s="1" t="s">
        <v>29</v>
      </c>
      <c r="X560" s="1" t="str">
        <f t="shared" si="223"/>
        <v>Office Supplies</v>
      </c>
      <c r="Y560" s="1" t="s">
        <v>184</v>
      </c>
      <c r="Z560" s="1" t="str">
        <f t="shared" si="224"/>
        <v>Binders</v>
      </c>
      <c r="AA560" s="1" t="s">
        <v>690</v>
      </c>
      <c r="AB560" s="1" t="s">
        <v>691</v>
      </c>
      <c r="AC560" s="1" t="str">
        <f t="shared" si="225"/>
        <v>Standard Class</v>
      </c>
      <c r="AD560" s="1" t="str">
        <f t="shared" si="226"/>
        <v>OK</v>
      </c>
      <c r="AE560" s="1">
        <v>9</v>
      </c>
      <c r="AF560" s="1">
        <v>4330.33</v>
      </c>
      <c r="AG560" s="9">
        <v>0.2</v>
      </c>
      <c r="AH560" s="9">
        <f t="shared" si="227"/>
        <v>0.2</v>
      </c>
      <c r="AI560" s="1" t="str">
        <f t="shared" si="228"/>
        <v>OK</v>
      </c>
      <c r="AJ560" s="1">
        <v>31178.38</v>
      </c>
      <c r="AK560" s="1">
        <v>21421.09</v>
      </c>
      <c r="AL560" s="1">
        <v>9757.2900000000009</v>
      </c>
      <c r="AM560" s="13">
        <f t="shared" si="229"/>
        <v>31178.376000000004</v>
      </c>
      <c r="AN560" s="9">
        <f t="shared" si="230"/>
        <v>9757.2860000000037</v>
      </c>
      <c r="AO560" s="9">
        <f t="shared" si="239"/>
        <v>0.31295042435821552</v>
      </c>
      <c r="AP560" s="1" t="s">
        <v>33</v>
      </c>
      <c r="AQ560" s="1" t="str">
        <f t="shared" si="231"/>
        <v>Paid</v>
      </c>
      <c r="AR560" s="1" t="str">
        <f t="shared" si="232"/>
        <v>OK</v>
      </c>
      <c r="AS560" s="1" t="s">
        <v>34</v>
      </c>
      <c r="AT560" s="4" t="str">
        <f t="shared" si="233"/>
        <v>Completed</v>
      </c>
      <c r="AU560" s="3" t="str">
        <f t="shared" si="234"/>
        <v>OK</v>
      </c>
      <c r="AV560" s="3" t="str">
        <f t="shared" si="240"/>
        <v>CLEAN</v>
      </c>
      <c r="AW560" t="str">
        <f t="shared" si="241"/>
        <v>MATCH</v>
      </c>
      <c r="AX560" t="str">
        <f t="shared" si="242"/>
        <v>MATCH</v>
      </c>
    </row>
    <row r="561" spans="1:50" ht="15.6" hidden="1">
      <c r="A561" s="1" t="s">
        <v>692</v>
      </c>
      <c r="B561" s="1">
        <f t="shared" si="216"/>
        <v>1</v>
      </c>
      <c r="C561" s="16">
        <v>45901</v>
      </c>
      <c r="D561" s="16">
        <v>45901</v>
      </c>
      <c r="E561" s="16" t="str">
        <f t="shared" si="235"/>
        <v>Sep</v>
      </c>
      <c r="F561" s="1">
        <f t="shared" si="236"/>
        <v>2025</v>
      </c>
      <c r="G561" t="s">
        <v>2360</v>
      </c>
      <c r="H561" s="17">
        <v>45937</v>
      </c>
      <c r="I561" s="21">
        <f t="shared" si="237"/>
        <v>36</v>
      </c>
      <c r="J561" s="6" t="str">
        <f t="shared" si="238"/>
        <v>OK</v>
      </c>
      <c r="K561" s="1" t="s">
        <v>694</v>
      </c>
      <c r="L561" s="1" t="s">
        <v>158</v>
      </c>
      <c r="M561" s="1" t="str">
        <f t="shared" si="217"/>
        <v>Sneha Kapoor</v>
      </c>
      <c r="N561" s="1" t="s">
        <v>40</v>
      </c>
      <c r="O561" s="1" t="str">
        <f t="shared" si="218"/>
        <v>Small Business</v>
      </c>
      <c r="P561" s="1" t="s">
        <v>26</v>
      </c>
      <c r="Q561" s="1" t="str">
        <f t="shared" si="219"/>
        <v>North</v>
      </c>
      <c r="R561" s="1" t="str">
        <f t="shared" si="220"/>
        <v>OK</v>
      </c>
      <c r="S561" s="1" t="s">
        <v>27</v>
      </c>
      <c r="T561" s="1" t="str">
        <f t="shared" si="221"/>
        <v>Rajasthan</v>
      </c>
      <c r="U561" s="1" t="s">
        <v>28</v>
      </c>
      <c r="V561" s="1" t="str">
        <f t="shared" si="222"/>
        <v>Jaipur</v>
      </c>
      <c r="W561" s="1" t="s">
        <v>44</v>
      </c>
      <c r="X561" s="1" t="str">
        <f t="shared" si="223"/>
        <v>Furniture</v>
      </c>
      <c r="Y561" s="1" t="s">
        <v>74</v>
      </c>
      <c r="Z561" s="1" t="str">
        <f t="shared" si="224"/>
        <v>Chairs</v>
      </c>
      <c r="AA561" s="1" t="s">
        <v>695</v>
      </c>
      <c r="AB561" s="1" t="s">
        <v>47</v>
      </c>
      <c r="AC561" s="1" t="str">
        <f t="shared" si="225"/>
        <v>Same Day</v>
      </c>
      <c r="AD561" s="1" t="str">
        <f t="shared" si="226"/>
        <v>OK</v>
      </c>
      <c r="AE561" s="1">
        <v>8</v>
      </c>
      <c r="AF561" s="1">
        <v>2667.07</v>
      </c>
      <c r="AG561" s="9">
        <v>0.1</v>
      </c>
      <c r="AH561" s="9">
        <f t="shared" si="227"/>
        <v>0.1</v>
      </c>
      <c r="AI561" s="1" t="str">
        <f t="shared" si="228"/>
        <v>OK</v>
      </c>
      <c r="AJ561" s="1">
        <v>19202.900000000001</v>
      </c>
      <c r="AK561" s="1">
        <v>15526.62</v>
      </c>
      <c r="AL561" s="1">
        <v>3676.28</v>
      </c>
      <c r="AM561" s="13">
        <f t="shared" si="229"/>
        <v>19202.904000000002</v>
      </c>
      <c r="AN561" s="9">
        <f t="shared" si="230"/>
        <v>3676.2840000000015</v>
      </c>
      <c r="AO561" s="9">
        <f t="shared" si="239"/>
        <v>0.19144416906942829</v>
      </c>
      <c r="AP561" s="1" t="s">
        <v>33</v>
      </c>
      <c r="AQ561" s="1" t="str">
        <f t="shared" si="231"/>
        <v>Paid</v>
      </c>
      <c r="AR561" s="1" t="str">
        <f t="shared" si="232"/>
        <v>OK</v>
      </c>
      <c r="AS561" s="1" t="s">
        <v>34</v>
      </c>
      <c r="AT561" s="4" t="str">
        <f t="shared" si="233"/>
        <v>Completed</v>
      </c>
      <c r="AU561" s="3" t="str">
        <f t="shared" si="234"/>
        <v>OK</v>
      </c>
      <c r="AV561" s="3" t="str">
        <f t="shared" si="240"/>
        <v>CLEAN</v>
      </c>
      <c r="AW561" t="str">
        <f t="shared" si="241"/>
        <v>MATCH</v>
      </c>
      <c r="AX561" t="str">
        <f t="shared" si="242"/>
        <v>MATCH</v>
      </c>
    </row>
    <row r="562" spans="1:50" ht="15.6">
      <c r="A562" s="1" t="s">
        <v>700</v>
      </c>
      <c r="B562" s="1">
        <f t="shared" si="216"/>
        <v>1</v>
      </c>
      <c r="C562" s="16">
        <v>45691</v>
      </c>
      <c r="D562" s="16">
        <v>45691</v>
      </c>
      <c r="E562" s="16" t="str">
        <f t="shared" si="235"/>
        <v>Feb</v>
      </c>
      <c r="F562" s="1">
        <f t="shared" si="236"/>
        <v>2025</v>
      </c>
      <c r="G562" t="s">
        <v>935</v>
      </c>
      <c r="H562" s="17">
        <v>45313</v>
      </c>
      <c r="I562" s="21">
        <f t="shared" si="237"/>
        <v>-378</v>
      </c>
      <c r="J562" s="6" t="str">
        <f t="shared" si="238"/>
        <v>INVALID_SHIPPING</v>
      </c>
      <c r="K562" s="1" t="s">
        <v>702</v>
      </c>
      <c r="L562" s="1" t="s">
        <v>90</v>
      </c>
      <c r="M562" s="1" t="str">
        <f t="shared" si="217"/>
        <v>Neha Gupta</v>
      </c>
      <c r="N562" s="1" t="s">
        <v>110</v>
      </c>
      <c r="O562" s="1" t="str">
        <f t="shared" si="218"/>
        <v>Home Office</v>
      </c>
      <c r="P562" s="1" t="s">
        <v>60</v>
      </c>
      <c r="Q562" s="1" t="str">
        <f t="shared" si="219"/>
        <v>South</v>
      </c>
      <c r="R562" s="1" t="str">
        <f t="shared" si="220"/>
        <v>OK</v>
      </c>
      <c r="S562" s="1" t="s">
        <v>212</v>
      </c>
      <c r="T562" s="1" t="str">
        <f t="shared" si="221"/>
        <v>Karnataka</v>
      </c>
      <c r="U562" s="1" t="s">
        <v>213</v>
      </c>
      <c r="V562" s="1" t="str">
        <f t="shared" si="222"/>
        <v>Bengaluru</v>
      </c>
      <c r="W562" s="1" t="s">
        <v>29</v>
      </c>
      <c r="X562" s="1" t="str">
        <f t="shared" si="223"/>
        <v>Office Supplies</v>
      </c>
      <c r="Y562" s="1" t="s">
        <v>105</v>
      </c>
      <c r="Z562" s="1" t="str">
        <f t="shared" si="224"/>
        <v>Labels</v>
      </c>
      <c r="AA562" s="1" t="s">
        <v>703</v>
      </c>
      <c r="AB562" s="1" t="s">
        <v>65</v>
      </c>
      <c r="AC562" s="1" t="str">
        <f t="shared" si="225"/>
        <v>Standard Class</v>
      </c>
      <c r="AD562" s="1" t="str">
        <f t="shared" si="226"/>
        <v>OK</v>
      </c>
      <c r="AE562" s="1">
        <v>8</v>
      </c>
      <c r="AF562" s="1">
        <v>1287.6300000000001</v>
      </c>
      <c r="AG562" s="9">
        <v>0</v>
      </c>
      <c r="AH562" s="9">
        <f t="shared" si="227"/>
        <v>0</v>
      </c>
      <c r="AI562" s="1" t="str">
        <f t="shared" si="228"/>
        <v>OK</v>
      </c>
      <c r="AJ562" s="1">
        <v>10301.040000000001</v>
      </c>
      <c r="AK562" s="1">
        <v>6564.06</v>
      </c>
      <c r="AL562" s="1">
        <v>3736.98</v>
      </c>
      <c r="AM562" s="13">
        <f t="shared" si="229"/>
        <v>10301.040000000001</v>
      </c>
      <c r="AN562" s="9">
        <f t="shared" si="230"/>
        <v>3736.9800000000005</v>
      </c>
      <c r="AO562" s="9">
        <f t="shared" si="239"/>
        <v>0.3627769623261341</v>
      </c>
      <c r="AP562" s="1" t="s">
        <v>33</v>
      </c>
      <c r="AQ562" s="1" t="str">
        <f t="shared" si="231"/>
        <v>Paid</v>
      </c>
      <c r="AR562" s="1" t="str">
        <f t="shared" si="232"/>
        <v>OK</v>
      </c>
      <c r="AS562" s="1" t="s">
        <v>34</v>
      </c>
      <c r="AT562" s="4" t="str">
        <f t="shared" si="233"/>
        <v>Completed</v>
      </c>
      <c r="AU562" s="3" t="str">
        <f t="shared" si="234"/>
        <v>OK</v>
      </c>
      <c r="AV562" s="3" t="str">
        <f t="shared" si="240"/>
        <v>INVALID</v>
      </c>
      <c r="AW562" t="str">
        <f t="shared" si="241"/>
        <v>MATCH</v>
      </c>
      <c r="AX562" t="str">
        <f t="shared" si="242"/>
        <v>MATCH</v>
      </c>
    </row>
    <row r="563" spans="1:50" ht="15.6" hidden="1">
      <c r="A563" s="1" t="s">
        <v>724</v>
      </c>
      <c r="B563" s="1">
        <f t="shared" si="216"/>
        <v>1</v>
      </c>
      <c r="C563" s="16">
        <v>45758</v>
      </c>
      <c r="D563" s="16">
        <v>45758</v>
      </c>
      <c r="E563" s="16" t="str">
        <f t="shared" si="235"/>
        <v>Apr</v>
      </c>
      <c r="F563" s="1">
        <f t="shared" si="236"/>
        <v>2025</v>
      </c>
      <c r="G563" t="s">
        <v>2367</v>
      </c>
      <c r="H563" s="17">
        <v>45856</v>
      </c>
      <c r="I563" s="21">
        <f t="shared" si="237"/>
        <v>98</v>
      </c>
      <c r="J563" s="6" t="str">
        <f t="shared" si="238"/>
        <v>OK</v>
      </c>
      <c r="K563" s="1" t="s">
        <v>726</v>
      </c>
      <c r="L563" s="1" t="s">
        <v>39</v>
      </c>
      <c r="M563" s="1" t="str">
        <f t="shared" si="217"/>
        <v>Mira Das</v>
      </c>
      <c r="N563" s="1" t="s">
        <v>40</v>
      </c>
      <c r="O563" s="1" t="str">
        <f t="shared" si="218"/>
        <v>Small Business</v>
      </c>
      <c r="P563" s="1" t="s">
        <v>71</v>
      </c>
      <c r="Q563" s="1" t="str">
        <f t="shared" si="219"/>
        <v>West</v>
      </c>
      <c r="R563" s="1" t="str">
        <f t="shared" si="220"/>
        <v>OK</v>
      </c>
      <c r="S563" s="1" t="s">
        <v>230</v>
      </c>
      <c r="T563" s="1" t="str">
        <f t="shared" si="221"/>
        <v>Goa</v>
      </c>
      <c r="U563" s="1" t="s">
        <v>231</v>
      </c>
      <c r="V563" s="1" t="str">
        <f t="shared" si="222"/>
        <v>Panaji</v>
      </c>
      <c r="W563" s="1" t="s">
        <v>29</v>
      </c>
      <c r="X563" s="1" t="str">
        <f t="shared" si="223"/>
        <v>Office Supplies</v>
      </c>
      <c r="Y563" s="1" t="s">
        <v>30</v>
      </c>
      <c r="Z563" s="1" t="str">
        <f t="shared" si="224"/>
        <v>Paper</v>
      </c>
      <c r="AA563" s="1" t="s">
        <v>727</v>
      </c>
      <c r="AB563" s="1" t="s">
        <v>65</v>
      </c>
      <c r="AC563" s="1" t="str">
        <f t="shared" si="225"/>
        <v>Standard Class</v>
      </c>
      <c r="AD563" s="1" t="str">
        <f t="shared" si="226"/>
        <v>OK</v>
      </c>
      <c r="AE563" s="1">
        <v>4</v>
      </c>
      <c r="AF563" s="1">
        <v>4182.1499999999996</v>
      </c>
      <c r="AG563" s="9">
        <v>0.1</v>
      </c>
      <c r="AH563" s="9">
        <f t="shared" si="227"/>
        <v>0.1</v>
      </c>
      <c r="AI563" s="1" t="str">
        <f t="shared" si="228"/>
        <v>OK</v>
      </c>
      <c r="AJ563" s="1">
        <v>15055.74</v>
      </c>
      <c r="AK563" s="1">
        <v>9808.83</v>
      </c>
      <c r="AL563" s="1">
        <v>5246.91</v>
      </c>
      <c r="AM563" s="13">
        <f t="shared" si="229"/>
        <v>15055.74</v>
      </c>
      <c r="AN563" s="9">
        <f t="shared" si="230"/>
        <v>5246.91</v>
      </c>
      <c r="AO563" s="9">
        <f t="shared" si="239"/>
        <v>0.34849897779850075</v>
      </c>
      <c r="AP563" s="1" t="s">
        <v>33</v>
      </c>
      <c r="AQ563" s="1" t="str">
        <f t="shared" si="231"/>
        <v>Paid</v>
      </c>
      <c r="AR563" s="1" t="str">
        <f t="shared" si="232"/>
        <v>OK</v>
      </c>
      <c r="AS563" s="1" t="s">
        <v>34</v>
      </c>
      <c r="AT563" s="4" t="str">
        <f t="shared" si="233"/>
        <v>Completed</v>
      </c>
      <c r="AU563" s="3" t="str">
        <f t="shared" si="234"/>
        <v>OK</v>
      </c>
      <c r="AV563" s="3" t="str">
        <f t="shared" si="240"/>
        <v>CLEAN</v>
      </c>
      <c r="AW563" t="str">
        <f t="shared" si="241"/>
        <v>MATCH</v>
      </c>
      <c r="AX563" t="str">
        <f t="shared" si="242"/>
        <v>MATCH</v>
      </c>
    </row>
    <row r="564" spans="1:50" ht="15.6">
      <c r="A564" s="1" t="s">
        <v>728</v>
      </c>
      <c r="B564" s="1">
        <f t="shared" si="216"/>
        <v>1</v>
      </c>
      <c r="C564" s="16">
        <v>45868</v>
      </c>
      <c r="D564" s="16">
        <v>45868</v>
      </c>
      <c r="E564" s="16" t="str">
        <f t="shared" si="235"/>
        <v>Jul</v>
      </c>
      <c r="F564" s="1">
        <f t="shared" si="236"/>
        <v>2025</v>
      </c>
      <c r="G564" t="s">
        <v>2313</v>
      </c>
      <c r="H564" s="17">
        <v>45428</v>
      </c>
      <c r="I564" s="21">
        <f t="shared" si="237"/>
        <v>-440</v>
      </c>
      <c r="J564" s="6" t="str">
        <f t="shared" si="238"/>
        <v>INVALID_SHIPPING</v>
      </c>
      <c r="K564" s="1" t="s">
        <v>730</v>
      </c>
      <c r="L564" s="1" t="s">
        <v>158</v>
      </c>
      <c r="M564" s="1" t="str">
        <f t="shared" si="217"/>
        <v>Sneha Kapoor</v>
      </c>
      <c r="N564" s="1" t="s">
        <v>40</v>
      </c>
      <c r="O564" s="1" t="str">
        <f t="shared" si="218"/>
        <v>Small Business</v>
      </c>
      <c r="P564" s="1" t="s">
        <v>60</v>
      </c>
      <c r="Q564" s="1" t="str">
        <f t="shared" si="219"/>
        <v>South</v>
      </c>
      <c r="R564" s="1" t="str">
        <f t="shared" si="220"/>
        <v>OK</v>
      </c>
      <c r="S564" s="1" t="s">
        <v>309</v>
      </c>
      <c r="T564" s="1" t="str">
        <f t="shared" si="221"/>
        <v>Tamil Nadu</v>
      </c>
      <c r="U564" s="1" t="s">
        <v>310</v>
      </c>
      <c r="V564" s="1" t="str">
        <f t="shared" si="222"/>
        <v>Chennai</v>
      </c>
      <c r="W564" s="1" t="s">
        <v>29</v>
      </c>
      <c r="X564" s="1" t="str">
        <f t="shared" si="223"/>
        <v>Office Supplies</v>
      </c>
      <c r="Y564" s="1" t="s">
        <v>148</v>
      </c>
      <c r="Z564" s="1" t="str">
        <f t="shared" si="224"/>
        <v>Storage</v>
      </c>
      <c r="AA564" s="1" t="s">
        <v>731</v>
      </c>
      <c r="AB564" s="1" t="s">
        <v>47</v>
      </c>
      <c r="AC564" s="1" t="str">
        <f t="shared" si="225"/>
        <v>Same Day</v>
      </c>
      <c r="AD564" s="1" t="str">
        <f t="shared" si="226"/>
        <v>OK</v>
      </c>
      <c r="AE564" s="1">
        <v>9</v>
      </c>
      <c r="AF564" s="1">
        <v>3165.43</v>
      </c>
      <c r="AG564" s="9">
        <v>0.1</v>
      </c>
      <c r="AH564" s="9">
        <f t="shared" si="227"/>
        <v>0.1</v>
      </c>
      <c r="AI564" s="1" t="str">
        <f t="shared" si="228"/>
        <v>OK</v>
      </c>
      <c r="AJ564" s="1">
        <v>25639.98</v>
      </c>
      <c r="AK564" s="1">
        <v>21635.08</v>
      </c>
      <c r="AL564" s="1">
        <v>4004.9</v>
      </c>
      <c r="AM564" s="13">
        <f t="shared" si="229"/>
        <v>25639.983</v>
      </c>
      <c r="AN564" s="9">
        <f t="shared" si="230"/>
        <v>4004.9029999999984</v>
      </c>
      <c r="AO564" s="9">
        <f t="shared" si="239"/>
        <v>0.1561975684617263</v>
      </c>
      <c r="AP564" s="1" t="s">
        <v>33</v>
      </c>
      <c r="AQ564" s="1" t="str">
        <f t="shared" si="231"/>
        <v>Paid</v>
      </c>
      <c r="AR564" s="1" t="str">
        <f t="shared" si="232"/>
        <v>OK</v>
      </c>
      <c r="AS564" s="1" t="s">
        <v>34</v>
      </c>
      <c r="AT564" s="4" t="str">
        <f t="shared" si="233"/>
        <v>Completed</v>
      </c>
      <c r="AU564" s="3" t="str">
        <f t="shared" si="234"/>
        <v>OK</v>
      </c>
      <c r="AV564" s="3" t="str">
        <f t="shared" si="240"/>
        <v>INVALID</v>
      </c>
      <c r="AW564" t="str">
        <f t="shared" si="241"/>
        <v>MATCH</v>
      </c>
      <c r="AX564" t="str">
        <f t="shared" si="242"/>
        <v>MATCH</v>
      </c>
    </row>
    <row r="565" spans="1:50" ht="15.6">
      <c r="A565" s="1" t="s">
        <v>737</v>
      </c>
      <c r="B565" s="1">
        <f t="shared" si="216"/>
        <v>1</v>
      </c>
      <c r="C565" s="16">
        <v>45902</v>
      </c>
      <c r="D565" s="16">
        <v>45902</v>
      </c>
      <c r="E565" s="16" t="str">
        <f t="shared" si="235"/>
        <v>Sep</v>
      </c>
      <c r="F565" s="1">
        <f t="shared" si="236"/>
        <v>2025</v>
      </c>
      <c r="G565" t="s">
        <v>1570</v>
      </c>
      <c r="H565" s="17">
        <v>45631</v>
      </c>
      <c r="I565" s="21">
        <f t="shared" si="237"/>
        <v>-271</v>
      </c>
      <c r="J565" s="6" t="str">
        <f t="shared" si="238"/>
        <v>INVALID_SHIPPING</v>
      </c>
      <c r="K565" s="1" t="s">
        <v>739</v>
      </c>
      <c r="L565" s="1" t="s">
        <v>39</v>
      </c>
      <c r="M565" s="1" t="str">
        <f t="shared" si="217"/>
        <v>Mira Das</v>
      </c>
      <c r="N565" s="1" t="s">
        <v>110</v>
      </c>
      <c r="O565" s="1" t="str">
        <f t="shared" si="218"/>
        <v>Home Office</v>
      </c>
      <c r="P565" s="1" t="s">
        <v>71</v>
      </c>
      <c r="Q565" s="1" t="str">
        <f t="shared" si="219"/>
        <v>West</v>
      </c>
      <c r="R565" s="1" t="str">
        <f t="shared" si="220"/>
        <v>OK</v>
      </c>
      <c r="S565" s="1" t="s">
        <v>81</v>
      </c>
      <c r="T565" s="1" t="str">
        <f t="shared" si="221"/>
        <v>Madhya Pradesh</v>
      </c>
      <c r="U565" s="1" t="s">
        <v>82</v>
      </c>
      <c r="V565" s="1" t="str">
        <f t="shared" si="222"/>
        <v>Indore</v>
      </c>
      <c r="W565" s="1" t="s">
        <v>83</v>
      </c>
      <c r="X565" s="1" t="str">
        <f t="shared" si="223"/>
        <v>Technology</v>
      </c>
      <c r="Y565" s="1" t="s">
        <v>207</v>
      </c>
      <c r="Z565" s="1" t="str">
        <f t="shared" si="224"/>
        <v>Phones</v>
      </c>
      <c r="AA565" s="1" t="s">
        <v>740</v>
      </c>
      <c r="AB565" s="1"/>
      <c r="AC565" s="1" t="str">
        <f t="shared" si="225"/>
        <v>Unknown</v>
      </c>
      <c r="AD565" s="1" t="str">
        <f t="shared" si="226"/>
        <v>MISSING_SHIP_MODE</v>
      </c>
      <c r="AE565" s="1">
        <v>8</v>
      </c>
      <c r="AF565" s="1">
        <v>1696.07</v>
      </c>
      <c r="AG565" s="9">
        <v>0.25</v>
      </c>
      <c r="AH565" s="9">
        <f t="shared" si="227"/>
        <v>0.25</v>
      </c>
      <c r="AI565" s="1" t="str">
        <f t="shared" si="228"/>
        <v>OK</v>
      </c>
      <c r="AJ565" s="1">
        <v>10176.42</v>
      </c>
      <c r="AK565" s="1">
        <v>7604.47</v>
      </c>
      <c r="AL565" s="1">
        <v>2571.9499999999998</v>
      </c>
      <c r="AM565" s="13">
        <f t="shared" si="229"/>
        <v>10176.42</v>
      </c>
      <c r="AN565" s="9">
        <f t="shared" si="230"/>
        <v>2571.9499999999998</v>
      </c>
      <c r="AO565" s="9">
        <f t="shared" si="239"/>
        <v>0.252736227474888</v>
      </c>
      <c r="AP565" s="1" t="s">
        <v>33</v>
      </c>
      <c r="AQ565" s="1" t="str">
        <f t="shared" si="231"/>
        <v>Paid</v>
      </c>
      <c r="AR565" s="1" t="str">
        <f t="shared" si="232"/>
        <v>OK</v>
      </c>
      <c r="AS565" s="1" t="s">
        <v>34</v>
      </c>
      <c r="AT565" s="4" t="str">
        <f t="shared" si="233"/>
        <v>Completed</v>
      </c>
      <c r="AU565" s="3" t="str">
        <f t="shared" si="234"/>
        <v>OK</v>
      </c>
      <c r="AV565" s="3" t="str">
        <f t="shared" si="240"/>
        <v>INVALID</v>
      </c>
      <c r="AW565" t="str">
        <f t="shared" si="241"/>
        <v>MATCH</v>
      </c>
      <c r="AX565" t="str">
        <f t="shared" si="242"/>
        <v>MATCH</v>
      </c>
    </row>
    <row r="566" spans="1:50" ht="15.6">
      <c r="A566" s="1" t="s">
        <v>758</v>
      </c>
      <c r="B566" s="1">
        <f t="shared" si="216"/>
        <v>1</v>
      </c>
      <c r="C566" s="16">
        <v>45923</v>
      </c>
      <c r="D566" s="16">
        <v>45923</v>
      </c>
      <c r="E566" s="16" t="str">
        <f t="shared" si="235"/>
        <v>Sep</v>
      </c>
      <c r="F566" s="1">
        <f t="shared" si="236"/>
        <v>2025</v>
      </c>
      <c r="G566" t="s">
        <v>2379</v>
      </c>
      <c r="H566" s="17">
        <v>45610</v>
      </c>
      <c r="I566" s="21">
        <f t="shared" si="237"/>
        <v>-313</v>
      </c>
      <c r="J566" s="6" t="str">
        <f t="shared" si="238"/>
        <v>INVALID_SHIPPING</v>
      </c>
      <c r="K566" s="1" t="s">
        <v>760</v>
      </c>
      <c r="L566" s="1" t="s">
        <v>103</v>
      </c>
      <c r="M566" s="1" t="str">
        <f t="shared" si="217"/>
        <v>Aditi Sen</v>
      </c>
      <c r="N566" s="1" t="s">
        <v>25</v>
      </c>
      <c r="O566" s="1" t="str">
        <f t="shared" si="218"/>
        <v>Consumer</v>
      </c>
      <c r="P566" s="1" t="s">
        <v>41</v>
      </c>
      <c r="Q566" s="1" t="str">
        <f t="shared" si="219"/>
        <v>East</v>
      </c>
      <c r="R566" s="1" t="str">
        <f t="shared" si="220"/>
        <v>OK</v>
      </c>
      <c r="S566" s="1" t="s">
        <v>42</v>
      </c>
      <c r="T566" s="1" t="str">
        <f t="shared" si="221"/>
        <v>Odisha</v>
      </c>
      <c r="U566" s="1" t="s">
        <v>43</v>
      </c>
      <c r="V566" s="1" t="str">
        <f t="shared" si="222"/>
        <v>Bhubaneswar</v>
      </c>
      <c r="W566" s="1" t="s">
        <v>29</v>
      </c>
      <c r="X566" s="1" t="str">
        <f t="shared" si="223"/>
        <v>Office Supplies</v>
      </c>
      <c r="Y566" s="1" t="s">
        <v>105</v>
      </c>
      <c r="Z566" s="1" t="str">
        <f t="shared" si="224"/>
        <v>Labels</v>
      </c>
      <c r="AA566" s="1" t="s">
        <v>761</v>
      </c>
      <c r="AB566" s="1" t="s">
        <v>65</v>
      </c>
      <c r="AC566" s="1" t="str">
        <f t="shared" si="225"/>
        <v>Standard Class</v>
      </c>
      <c r="AD566" s="1" t="str">
        <f t="shared" si="226"/>
        <v>OK</v>
      </c>
      <c r="AE566" s="1">
        <v>7</v>
      </c>
      <c r="AF566" s="1">
        <v>3280.31</v>
      </c>
      <c r="AG566" s="9">
        <v>0</v>
      </c>
      <c r="AH566" s="9">
        <f t="shared" si="227"/>
        <v>0</v>
      </c>
      <c r="AI566" s="1" t="str">
        <f t="shared" si="228"/>
        <v>OK</v>
      </c>
      <c r="AJ566" s="1">
        <v>22962.17</v>
      </c>
      <c r="AK566" s="1">
        <v>15716.5</v>
      </c>
      <c r="AL566" s="1">
        <v>7245.67</v>
      </c>
      <c r="AM566" s="13">
        <f t="shared" si="229"/>
        <v>22962.17</v>
      </c>
      <c r="AN566" s="9">
        <f t="shared" si="230"/>
        <v>7245.6699999999983</v>
      </c>
      <c r="AO566" s="9">
        <f t="shared" si="239"/>
        <v>0.31554813852523517</v>
      </c>
      <c r="AP566" s="1" t="s">
        <v>119</v>
      </c>
      <c r="AQ566" s="1" t="str">
        <f t="shared" si="231"/>
        <v>Refunded</v>
      </c>
      <c r="AR566" s="1" t="str">
        <f t="shared" si="232"/>
        <v>REFUNDED_PAYMENT</v>
      </c>
      <c r="AS566" s="1" t="s">
        <v>120</v>
      </c>
      <c r="AT566" s="4" t="str">
        <f t="shared" si="233"/>
        <v>Returned</v>
      </c>
      <c r="AU566" s="3" t="str">
        <f t="shared" si="234"/>
        <v>RETURNED_ORDER</v>
      </c>
      <c r="AV566" s="3" t="str">
        <f t="shared" si="240"/>
        <v>INVALID</v>
      </c>
      <c r="AW566" t="str">
        <f t="shared" si="241"/>
        <v>MATCH</v>
      </c>
      <c r="AX566" t="str">
        <f t="shared" si="242"/>
        <v>MATCH</v>
      </c>
    </row>
    <row r="567" spans="1:50" ht="15.6" hidden="1">
      <c r="A567" s="1" t="s">
        <v>765</v>
      </c>
      <c r="B567" s="1">
        <f t="shared" si="216"/>
        <v>1</v>
      </c>
      <c r="C567" s="16">
        <v>45683</v>
      </c>
      <c r="D567" s="16">
        <v>45683</v>
      </c>
      <c r="E567" s="16" t="str">
        <f t="shared" si="235"/>
        <v>Jan</v>
      </c>
      <c r="F567" s="1">
        <f t="shared" si="236"/>
        <v>2025</v>
      </c>
      <c r="G567" t="s">
        <v>222</v>
      </c>
      <c r="H567" s="17">
        <v>45882</v>
      </c>
      <c r="I567" s="21">
        <f t="shared" si="237"/>
        <v>199</v>
      </c>
      <c r="J567" s="6" t="str">
        <f t="shared" si="238"/>
        <v>OK</v>
      </c>
      <c r="K567" s="1" t="s">
        <v>766</v>
      </c>
      <c r="L567" s="1" t="s">
        <v>24</v>
      </c>
      <c r="M567" s="1" t="str">
        <f t="shared" si="217"/>
        <v>Karan Malhotra</v>
      </c>
      <c r="N567" s="1" t="s">
        <v>104</v>
      </c>
      <c r="O567" s="1" t="str">
        <f t="shared" si="218"/>
        <v>Corporate</v>
      </c>
      <c r="P567" s="1" t="s">
        <v>71</v>
      </c>
      <c r="Q567" s="1" t="str">
        <f t="shared" si="219"/>
        <v>West</v>
      </c>
      <c r="R567" s="1" t="str">
        <f t="shared" si="220"/>
        <v>OK</v>
      </c>
      <c r="S567" s="1" t="s">
        <v>27</v>
      </c>
      <c r="T567" s="1" t="str">
        <f t="shared" si="221"/>
        <v>Rajasthan</v>
      </c>
      <c r="U567" s="1" t="s">
        <v>129</v>
      </c>
      <c r="V567" s="1" t="str">
        <f t="shared" si="222"/>
        <v>Udaipur</v>
      </c>
      <c r="W567" s="1" t="s">
        <v>44</v>
      </c>
      <c r="X567" s="1" t="str">
        <f t="shared" si="223"/>
        <v>Furniture</v>
      </c>
      <c r="Y567" s="1" t="s">
        <v>63</v>
      </c>
      <c r="Z567" s="1" t="str">
        <f t="shared" si="224"/>
        <v>Furnishings</v>
      </c>
      <c r="AA567" s="1" t="s">
        <v>767</v>
      </c>
      <c r="AB567" s="1" t="s">
        <v>47</v>
      </c>
      <c r="AC567" s="1" t="str">
        <f t="shared" si="225"/>
        <v>Same Day</v>
      </c>
      <c r="AD567" s="1" t="str">
        <f t="shared" si="226"/>
        <v>OK</v>
      </c>
      <c r="AE567" s="1">
        <v>3</v>
      </c>
      <c r="AF567" s="1">
        <v>2859.32</v>
      </c>
      <c r="AG567" s="9">
        <v>0.1</v>
      </c>
      <c r="AH567" s="9">
        <f t="shared" si="227"/>
        <v>0.1</v>
      </c>
      <c r="AI567" s="1" t="str">
        <f t="shared" si="228"/>
        <v>OK</v>
      </c>
      <c r="AJ567" s="1">
        <v>7720.16</v>
      </c>
      <c r="AK567" s="1">
        <v>5881</v>
      </c>
      <c r="AL567" s="1">
        <v>1839.16</v>
      </c>
      <c r="AM567" s="13">
        <f t="shared" si="229"/>
        <v>7720.1640000000007</v>
      </c>
      <c r="AN567" s="9">
        <f t="shared" si="230"/>
        <v>1839.1640000000007</v>
      </c>
      <c r="AO567" s="9">
        <f t="shared" si="239"/>
        <v>0.23822861794127695</v>
      </c>
      <c r="AP567" s="1" t="s">
        <v>119</v>
      </c>
      <c r="AQ567" s="1" t="str">
        <f t="shared" si="231"/>
        <v>Refunded</v>
      </c>
      <c r="AR567" s="1" t="str">
        <f t="shared" si="232"/>
        <v>REFUNDED_PAYMENT</v>
      </c>
      <c r="AS567" s="1" t="s">
        <v>120</v>
      </c>
      <c r="AT567" s="4" t="str">
        <f t="shared" si="233"/>
        <v>Returned</v>
      </c>
      <c r="AU567" s="3" t="str">
        <f t="shared" si="234"/>
        <v>RETURNED_ORDER</v>
      </c>
      <c r="AV567" s="3" t="str">
        <f t="shared" si="240"/>
        <v>CLEAN</v>
      </c>
      <c r="AW567" t="str">
        <f t="shared" si="241"/>
        <v>MATCH</v>
      </c>
      <c r="AX567" t="str">
        <f t="shared" si="242"/>
        <v>MATCH</v>
      </c>
    </row>
    <row r="568" spans="1:50" ht="15.6">
      <c r="A568" s="1" t="s">
        <v>768</v>
      </c>
      <c r="B568" s="1">
        <f t="shared" si="216"/>
        <v>1</v>
      </c>
      <c r="C568" s="16">
        <v>45743</v>
      </c>
      <c r="D568" s="16">
        <v>45743</v>
      </c>
      <c r="E568" s="16" t="str">
        <f t="shared" si="235"/>
        <v>Mar</v>
      </c>
      <c r="F568" s="1">
        <f t="shared" si="236"/>
        <v>2025</v>
      </c>
      <c r="G568" t="s">
        <v>2386</v>
      </c>
      <c r="H568" s="17">
        <v>45523</v>
      </c>
      <c r="I568" s="21">
        <f t="shared" si="237"/>
        <v>-220</v>
      </c>
      <c r="J568" s="6" t="str">
        <f t="shared" si="238"/>
        <v>INVALID_SHIPPING</v>
      </c>
      <c r="K568" s="1" t="s">
        <v>770</v>
      </c>
      <c r="L568" s="1" t="s">
        <v>80</v>
      </c>
      <c r="M568" s="1" t="str">
        <f t="shared" si="217"/>
        <v>Vikram Iyer</v>
      </c>
      <c r="N568" s="1" t="s">
        <v>40</v>
      </c>
      <c r="O568" s="1" t="str">
        <f t="shared" si="218"/>
        <v>Small Business</v>
      </c>
      <c r="P568" s="1" t="s">
        <v>41</v>
      </c>
      <c r="Q568" s="1" t="str">
        <f t="shared" si="219"/>
        <v>East</v>
      </c>
      <c r="R568" s="1" t="str">
        <f t="shared" si="220"/>
        <v>OK</v>
      </c>
      <c r="S568" s="1" t="s">
        <v>174</v>
      </c>
      <c r="T568" s="1" t="str">
        <f t="shared" si="221"/>
        <v>Bihar</v>
      </c>
      <c r="U568" s="1" t="s">
        <v>175</v>
      </c>
      <c r="V568" s="1" t="str">
        <f t="shared" si="222"/>
        <v>Patna</v>
      </c>
      <c r="W568" s="1" t="s">
        <v>83</v>
      </c>
      <c r="X568" s="1" t="str">
        <f t="shared" si="223"/>
        <v>Technology</v>
      </c>
      <c r="Y568" s="1" t="s">
        <v>347</v>
      </c>
      <c r="Z568" s="1" t="str">
        <f t="shared" si="224"/>
        <v>Machines</v>
      </c>
      <c r="AA568" s="1" t="s">
        <v>771</v>
      </c>
      <c r="AB568" s="1" t="s">
        <v>32</v>
      </c>
      <c r="AC568" s="1" t="str">
        <f t="shared" si="225"/>
        <v>Second Class</v>
      </c>
      <c r="AD568" s="1" t="str">
        <f t="shared" si="226"/>
        <v>OK</v>
      </c>
      <c r="AE568" s="1">
        <v>7</v>
      </c>
      <c r="AF568" s="1">
        <v>2305.37</v>
      </c>
      <c r="AG568" s="9">
        <v>0.25</v>
      </c>
      <c r="AH568" s="9">
        <f t="shared" si="227"/>
        <v>0.25</v>
      </c>
      <c r="AI568" s="1" t="str">
        <f t="shared" si="228"/>
        <v>OK</v>
      </c>
      <c r="AJ568" s="1">
        <v>12103.19</v>
      </c>
      <c r="AK568" s="1">
        <v>6717.87</v>
      </c>
      <c r="AL568" s="1">
        <v>5385.32</v>
      </c>
      <c r="AM568" s="13">
        <f t="shared" si="229"/>
        <v>12103.192500000001</v>
      </c>
      <c r="AN568" s="9">
        <f t="shared" si="230"/>
        <v>5385.3225000000011</v>
      </c>
      <c r="AO568" s="9">
        <f t="shared" si="239"/>
        <v>0.44495057812225997</v>
      </c>
      <c r="AP568" s="1" t="s">
        <v>33</v>
      </c>
      <c r="AQ568" s="1" t="str">
        <f t="shared" si="231"/>
        <v>Paid</v>
      </c>
      <c r="AR568" s="1" t="str">
        <f t="shared" si="232"/>
        <v>OK</v>
      </c>
      <c r="AS568" s="1" t="s">
        <v>34</v>
      </c>
      <c r="AT568" s="4" t="str">
        <f t="shared" si="233"/>
        <v>Completed</v>
      </c>
      <c r="AU568" s="3" t="str">
        <f t="shared" si="234"/>
        <v>OK</v>
      </c>
      <c r="AV568" s="3" t="str">
        <f t="shared" si="240"/>
        <v>INVALID</v>
      </c>
      <c r="AW568" t="str">
        <f t="shared" si="241"/>
        <v>MATCH</v>
      </c>
      <c r="AX568" t="str">
        <f t="shared" si="242"/>
        <v>MATCH</v>
      </c>
    </row>
    <row r="569" spans="1:50" ht="15.6">
      <c r="A569" s="1" t="s">
        <v>781</v>
      </c>
      <c r="B569" s="1">
        <f t="shared" si="216"/>
        <v>1</v>
      </c>
      <c r="C569" s="16">
        <v>45687</v>
      </c>
      <c r="D569" s="16">
        <v>45687</v>
      </c>
      <c r="E569" s="16" t="str">
        <f t="shared" si="235"/>
        <v>Jan</v>
      </c>
      <c r="F569" s="1">
        <f t="shared" si="236"/>
        <v>2025</v>
      </c>
      <c r="G569" t="s">
        <v>2390</v>
      </c>
      <c r="H569" s="17">
        <v>45567</v>
      </c>
      <c r="I569" s="21">
        <f t="shared" si="237"/>
        <v>-120</v>
      </c>
      <c r="J569" s="6" t="str">
        <f t="shared" si="238"/>
        <v>INVALID_SHIPPING</v>
      </c>
      <c r="K569" s="1" t="s">
        <v>783</v>
      </c>
      <c r="L569" s="1" t="s">
        <v>136</v>
      </c>
      <c r="M569" s="1" t="str">
        <f t="shared" si="217"/>
        <v>Priya Menon</v>
      </c>
      <c r="N569" s="1" t="s">
        <v>104</v>
      </c>
      <c r="O569" s="1" t="str">
        <f t="shared" si="218"/>
        <v>Corporate</v>
      </c>
      <c r="P569" s="1" t="s">
        <v>26</v>
      </c>
      <c r="Q569" s="1" t="str">
        <f t="shared" si="219"/>
        <v>North</v>
      </c>
      <c r="R569" s="1" t="str">
        <f t="shared" si="220"/>
        <v>OK</v>
      </c>
      <c r="S569" s="1" t="s">
        <v>294</v>
      </c>
      <c r="T569" s="1" t="str">
        <f t="shared" si="221"/>
        <v>Haryana</v>
      </c>
      <c r="U569" s="1" t="s">
        <v>295</v>
      </c>
      <c r="V569" s="1" t="str">
        <f t="shared" si="222"/>
        <v>Gurugram</v>
      </c>
      <c r="W569" s="1" t="s">
        <v>44</v>
      </c>
      <c r="X569" s="1" t="str">
        <f t="shared" si="223"/>
        <v>Furniture</v>
      </c>
      <c r="Y569" s="1" t="s">
        <v>74</v>
      </c>
      <c r="Z569" s="1" t="str">
        <f t="shared" si="224"/>
        <v>Chairs</v>
      </c>
      <c r="AA569" s="1" t="s">
        <v>784</v>
      </c>
      <c r="AB569" s="1" t="s">
        <v>47</v>
      </c>
      <c r="AC569" s="1" t="str">
        <f t="shared" si="225"/>
        <v>Same Day</v>
      </c>
      <c r="AD569" s="1" t="str">
        <f t="shared" si="226"/>
        <v>OK</v>
      </c>
      <c r="AE569" s="1">
        <v>9</v>
      </c>
      <c r="AF569" s="1">
        <v>4430.5</v>
      </c>
      <c r="AG569" s="9">
        <v>0.15</v>
      </c>
      <c r="AH569" s="9">
        <f t="shared" si="227"/>
        <v>0.15</v>
      </c>
      <c r="AI569" s="1" t="str">
        <f t="shared" si="228"/>
        <v>OK</v>
      </c>
      <c r="AJ569" s="1">
        <v>33893.32</v>
      </c>
      <c r="AK569" s="1">
        <v>25750.35</v>
      </c>
      <c r="AL569" s="1">
        <v>8142.97</v>
      </c>
      <c r="AM569" s="13">
        <f t="shared" si="229"/>
        <v>33893.324999999997</v>
      </c>
      <c r="AN569" s="9">
        <f t="shared" si="230"/>
        <v>8142.9749999999985</v>
      </c>
      <c r="AO569" s="9">
        <f t="shared" si="239"/>
        <v>0.24025305867748292</v>
      </c>
      <c r="AP569" s="1" t="s">
        <v>131</v>
      </c>
      <c r="AQ569" s="1" t="str">
        <f t="shared" si="231"/>
        <v>Pending</v>
      </c>
      <c r="AR569" s="1" t="str">
        <f t="shared" si="232"/>
        <v>OK</v>
      </c>
      <c r="AS569" s="1" t="s">
        <v>76</v>
      </c>
      <c r="AT569" s="4" t="str">
        <f t="shared" si="233"/>
        <v>Cancelled</v>
      </c>
      <c r="AU569" s="3" t="str">
        <f t="shared" si="234"/>
        <v>EXCLUDE_FROM_SALES</v>
      </c>
      <c r="AV569" s="3" t="str">
        <f t="shared" si="240"/>
        <v>INVALID</v>
      </c>
      <c r="AW569" t="str">
        <f t="shared" si="241"/>
        <v>MISMATCH</v>
      </c>
      <c r="AX569" t="str">
        <f t="shared" si="242"/>
        <v>MISMATCH</v>
      </c>
    </row>
    <row r="570" spans="1:50" ht="15.6">
      <c r="A570" s="1" t="s">
        <v>785</v>
      </c>
      <c r="B570" s="1">
        <f t="shared" si="216"/>
        <v>1</v>
      </c>
      <c r="C570" s="16">
        <v>45938</v>
      </c>
      <c r="D570" s="16">
        <v>45938</v>
      </c>
      <c r="E570" s="16" t="str">
        <f t="shared" si="235"/>
        <v>Oct</v>
      </c>
      <c r="F570" s="1">
        <f t="shared" si="236"/>
        <v>2025</v>
      </c>
      <c r="G570" t="s">
        <v>2393</v>
      </c>
      <c r="H570" s="17">
        <v>45315</v>
      </c>
      <c r="I570" s="21">
        <f t="shared" si="237"/>
        <v>-623</v>
      </c>
      <c r="J570" s="6" t="str">
        <f t="shared" si="238"/>
        <v>INVALID_SHIPPING</v>
      </c>
      <c r="K570" s="1" t="s">
        <v>787</v>
      </c>
      <c r="L570" s="1" t="s">
        <v>80</v>
      </c>
      <c r="M570" s="1" t="str">
        <f t="shared" si="217"/>
        <v>Vikram Iyer</v>
      </c>
      <c r="N570" s="1" t="s">
        <v>40</v>
      </c>
      <c r="O570" s="1" t="str">
        <f t="shared" si="218"/>
        <v>Small Business</v>
      </c>
      <c r="P570" s="1" t="s">
        <v>71</v>
      </c>
      <c r="Q570" s="1" t="str">
        <f t="shared" si="219"/>
        <v>West</v>
      </c>
      <c r="R570" s="1" t="str">
        <f t="shared" si="220"/>
        <v>OK</v>
      </c>
      <c r="S570" s="1" t="s">
        <v>72</v>
      </c>
      <c r="T570" s="1" t="str">
        <f t="shared" si="221"/>
        <v>Maharashtra</v>
      </c>
      <c r="U570" s="1" t="s">
        <v>73</v>
      </c>
      <c r="V570" s="1" t="str">
        <f t="shared" si="222"/>
        <v>Mumbai</v>
      </c>
      <c r="W570" s="1" t="s">
        <v>29</v>
      </c>
      <c r="X570" s="1" t="str">
        <f t="shared" si="223"/>
        <v>Office Supplies</v>
      </c>
      <c r="Y570" s="1" t="s">
        <v>30</v>
      </c>
      <c r="Z570" s="1" t="str">
        <f t="shared" si="224"/>
        <v>Paper</v>
      </c>
      <c r="AA570" s="1" t="s">
        <v>788</v>
      </c>
      <c r="AB570" s="1" t="s">
        <v>32</v>
      </c>
      <c r="AC570" s="1" t="str">
        <f t="shared" si="225"/>
        <v>Second Class</v>
      </c>
      <c r="AD570" s="1" t="str">
        <f t="shared" si="226"/>
        <v>OK</v>
      </c>
      <c r="AE570" s="1">
        <v>4</v>
      </c>
      <c r="AF570" s="1">
        <v>1260.42</v>
      </c>
      <c r="AG570" s="9">
        <v>0.05</v>
      </c>
      <c r="AH570" s="9">
        <f t="shared" si="227"/>
        <v>0.05</v>
      </c>
      <c r="AI570" s="1" t="str">
        <f t="shared" si="228"/>
        <v>OK</v>
      </c>
      <c r="AJ570" s="1">
        <v>4789.6000000000004</v>
      </c>
      <c r="AK570" s="1">
        <v>4037.64</v>
      </c>
      <c r="AL570" s="1">
        <v>751.96</v>
      </c>
      <c r="AM570" s="13">
        <f t="shared" si="229"/>
        <v>4789.5960000000005</v>
      </c>
      <c r="AN570" s="9">
        <f t="shared" si="230"/>
        <v>751.95600000000059</v>
      </c>
      <c r="AO570" s="9">
        <f t="shared" si="239"/>
        <v>0.1569977927157114</v>
      </c>
      <c r="AP570" s="1" t="s">
        <v>131</v>
      </c>
      <c r="AQ570" s="1" t="str">
        <f t="shared" si="231"/>
        <v>Pending</v>
      </c>
      <c r="AR570" s="1" t="str">
        <f t="shared" si="232"/>
        <v>OK</v>
      </c>
      <c r="AS570" s="1" t="s">
        <v>76</v>
      </c>
      <c r="AT570" s="4" t="str">
        <f t="shared" si="233"/>
        <v>Cancelled</v>
      </c>
      <c r="AU570" s="3" t="str">
        <f t="shared" si="234"/>
        <v>EXCLUDE_FROM_SALES</v>
      </c>
      <c r="AV570" s="3" t="str">
        <f t="shared" si="240"/>
        <v>INVALID</v>
      </c>
      <c r="AW570" t="str">
        <f t="shared" si="241"/>
        <v>MATCH</v>
      </c>
      <c r="AX570" t="str">
        <f t="shared" si="242"/>
        <v>MATCH</v>
      </c>
    </row>
    <row r="571" spans="1:50" ht="15.6" hidden="1">
      <c r="A571" s="1" t="s">
        <v>789</v>
      </c>
      <c r="B571" s="1">
        <f t="shared" si="216"/>
        <v>1</v>
      </c>
      <c r="C571" s="16">
        <v>45862</v>
      </c>
      <c r="D571" s="16">
        <v>45862</v>
      </c>
      <c r="E571" s="16" t="str">
        <f t="shared" si="235"/>
        <v>Jul</v>
      </c>
      <c r="F571" s="1">
        <f t="shared" si="236"/>
        <v>2025</v>
      </c>
      <c r="G571" t="s">
        <v>2398</v>
      </c>
      <c r="H571" s="17">
        <v>45910</v>
      </c>
      <c r="I571" s="21">
        <f t="shared" si="237"/>
        <v>48</v>
      </c>
      <c r="J571" s="6" t="str">
        <f t="shared" si="238"/>
        <v>OK</v>
      </c>
      <c r="K571" s="1" t="s">
        <v>791</v>
      </c>
      <c r="L571" s="1" t="s">
        <v>59</v>
      </c>
      <c r="M571" s="1" t="str">
        <f t="shared" si="217"/>
        <v>Arjun Bose</v>
      </c>
      <c r="N571" s="1" t="s">
        <v>792</v>
      </c>
      <c r="O571" s="1" t="str">
        <f t="shared" si="218"/>
        <v>Consumer</v>
      </c>
      <c r="P571" s="1" t="s">
        <v>71</v>
      </c>
      <c r="Q571" s="1" t="str">
        <f t="shared" si="219"/>
        <v>West</v>
      </c>
      <c r="R571" s="1" t="str">
        <f t="shared" si="220"/>
        <v>OK</v>
      </c>
      <c r="S571" s="1" t="s">
        <v>27</v>
      </c>
      <c r="T571" s="1" t="str">
        <f t="shared" si="221"/>
        <v>Rajasthan</v>
      </c>
      <c r="U571" s="1" t="s">
        <v>129</v>
      </c>
      <c r="V571" s="1" t="str">
        <f t="shared" si="222"/>
        <v>Udaipur</v>
      </c>
      <c r="W571" s="1" t="s">
        <v>29</v>
      </c>
      <c r="X571" s="1" t="str">
        <f t="shared" si="223"/>
        <v>Office Supplies</v>
      </c>
      <c r="Y571" s="1" t="s">
        <v>184</v>
      </c>
      <c r="Z571" s="1" t="str">
        <f t="shared" si="224"/>
        <v>Binders</v>
      </c>
      <c r="AA571" s="1" t="s">
        <v>793</v>
      </c>
      <c r="AB571" s="1" t="s">
        <v>65</v>
      </c>
      <c r="AC571" s="1" t="str">
        <f t="shared" si="225"/>
        <v>Standard Class</v>
      </c>
      <c r="AD571" s="1" t="str">
        <f t="shared" si="226"/>
        <v>OK</v>
      </c>
      <c r="AE571" s="1">
        <v>1</v>
      </c>
      <c r="AF571" s="1">
        <v>1643.41</v>
      </c>
      <c r="AG571" s="9">
        <v>0</v>
      </c>
      <c r="AH571" s="9">
        <f t="shared" si="227"/>
        <v>0</v>
      </c>
      <c r="AI571" s="1" t="str">
        <f t="shared" si="228"/>
        <v>OK</v>
      </c>
      <c r="AJ571" s="1">
        <v>1643.41</v>
      </c>
      <c r="AK571" s="1">
        <v>907.4</v>
      </c>
      <c r="AL571" s="1">
        <v>736.01</v>
      </c>
      <c r="AM571" s="13">
        <f t="shared" si="229"/>
        <v>1643.41</v>
      </c>
      <c r="AN571" s="9">
        <f t="shared" si="230"/>
        <v>736.0100000000001</v>
      </c>
      <c r="AO571" s="9">
        <f t="shared" si="239"/>
        <v>0.44785537388722235</v>
      </c>
      <c r="AP571" s="1" t="s">
        <v>131</v>
      </c>
      <c r="AQ571" s="1" t="str">
        <f t="shared" si="231"/>
        <v>Pending</v>
      </c>
      <c r="AR571" s="1" t="str">
        <f t="shared" si="232"/>
        <v>OK</v>
      </c>
      <c r="AS571" s="1" t="s">
        <v>76</v>
      </c>
      <c r="AT571" s="4" t="str">
        <f t="shared" si="233"/>
        <v>Cancelled</v>
      </c>
      <c r="AU571" s="3" t="str">
        <f t="shared" si="234"/>
        <v>EXCLUDE_FROM_SALES</v>
      </c>
      <c r="AV571" s="3" t="str">
        <f t="shared" si="240"/>
        <v>CLEAN</v>
      </c>
      <c r="AW571" t="str">
        <f t="shared" si="241"/>
        <v>MATCH</v>
      </c>
      <c r="AX571" t="str">
        <f t="shared" si="242"/>
        <v>MATCH</v>
      </c>
    </row>
    <row r="572" spans="1:50" ht="15.6">
      <c r="A572" s="1" t="s">
        <v>799</v>
      </c>
      <c r="B572" s="1">
        <f t="shared" si="216"/>
        <v>1</v>
      </c>
      <c r="C572" s="16">
        <v>45921</v>
      </c>
      <c r="D572" s="16">
        <v>45921</v>
      </c>
      <c r="E572" s="16" t="str">
        <f t="shared" si="235"/>
        <v>Sep</v>
      </c>
      <c r="F572" s="1">
        <f t="shared" si="236"/>
        <v>2025</v>
      </c>
      <c r="G572" t="s">
        <v>622</v>
      </c>
      <c r="H572" s="17">
        <v>45891</v>
      </c>
      <c r="I572" s="21">
        <f t="shared" si="237"/>
        <v>-30</v>
      </c>
      <c r="J572" s="6" t="str">
        <f t="shared" si="238"/>
        <v>INVALID_SHIPPING</v>
      </c>
      <c r="K572" s="1" t="s">
        <v>800</v>
      </c>
      <c r="L572" s="1" t="s">
        <v>169</v>
      </c>
      <c r="M572" s="1" t="str">
        <f t="shared" si="217"/>
        <v>Rohan Mehta</v>
      </c>
      <c r="N572" s="1" t="s">
        <v>110</v>
      </c>
      <c r="O572" s="1" t="str">
        <f t="shared" si="218"/>
        <v>Home Office</v>
      </c>
      <c r="P572" s="1" t="s">
        <v>71</v>
      </c>
      <c r="Q572" s="1" t="str">
        <f t="shared" si="219"/>
        <v>West</v>
      </c>
      <c r="R572" s="1" t="str">
        <f t="shared" si="220"/>
        <v>OK</v>
      </c>
      <c r="S572" s="1" t="s">
        <v>218</v>
      </c>
      <c r="T572" s="1" t="str">
        <f t="shared" si="221"/>
        <v>Gujarat</v>
      </c>
      <c r="U572" s="1" t="s">
        <v>219</v>
      </c>
      <c r="V572" s="1" t="str">
        <f t="shared" si="222"/>
        <v>Ahmedabad</v>
      </c>
      <c r="W572" s="1" t="s">
        <v>44</v>
      </c>
      <c r="X572" s="1" t="str">
        <f t="shared" si="223"/>
        <v>Furniture</v>
      </c>
      <c r="Y572" s="1" t="s">
        <v>45</v>
      </c>
      <c r="Z572" s="1" t="str">
        <f t="shared" si="224"/>
        <v>Tables</v>
      </c>
      <c r="AA572" s="1" t="s">
        <v>801</v>
      </c>
      <c r="AB572" s="1"/>
      <c r="AC572" s="1" t="str">
        <f t="shared" si="225"/>
        <v>Unknown</v>
      </c>
      <c r="AD572" s="1" t="str">
        <f t="shared" si="226"/>
        <v>MISSING_SHIP_MODE</v>
      </c>
      <c r="AE572" s="1">
        <v>6</v>
      </c>
      <c r="AF572" s="1">
        <v>2903.58</v>
      </c>
      <c r="AG572" s="9">
        <v>0.1</v>
      </c>
      <c r="AH572" s="9">
        <f t="shared" si="227"/>
        <v>0.1</v>
      </c>
      <c r="AI572" s="1" t="str">
        <f t="shared" si="228"/>
        <v>OK</v>
      </c>
      <c r="AJ572" s="1">
        <v>15679.33</v>
      </c>
      <c r="AK572" s="1">
        <v>12477.82</v>
      </c>
      <c r="AL572" s="1">
        <v>3201.51</v>
      </c>
      <c r="AM572" s="13">
        <f t="shared" si="229"/>
        <v>15679.332</v>
      </c>
      <c r="AN572" s="9">
        <f t="shared" si="230"/>
        <v>3201.5120000000006</v>
      </c>
      <c r="AO572" s="9">
        <f t="shared" si="239"/>
        <v>0.20418675999717339</v>
      </c>
      <c r="AP572" s="1" t="s">
        <v>131</v>
      </c>
      <c r="AQ572" s="1" t="str">
        <f t="shared" si="231"/>
        <v>Pending</v>
      </c>
      <c r="AR572" s="1" t="str">
        <f t="shared" si="232"/>
        <v>OK</v>
      </c>
      <c r="AS572" s="1" t="s">
        <v>120</v>
      </c>
      <c r="AT572" s="4" t="str">
        <f t="shared" si="233"/>
        <v>Returned</v>
      </c>
      <c r="AU572" s="3" t="str">
        <f t="shared" si="234"/>
        <v>RETURNED_ORDER</v>
      </c>
      <c r="AV572" s="3" t="str">
        <f t="shared" si="240"/>
        <v>INVALID</v>
      </c>
      <c r="AW572" t="str">
        <f t="shared" si="241"/>
        <v>MATCH</v>
      </c>
      <c r="AX572" t="str">
        <f t="shared" si="242"/>
        <v>MATCH</v>
      </c>
    </row>
    <row r="573" spans="1:50" ht="15.6">
      <c r="A573" s="1" t="s">
        <v>802</v>
      </c>
      <c r="B573" s="1">
        <f t="shared" si="216"/>
        <v>1</v>
      </c>
      <c r="C573" s="16">
        <v>45909</v>
      </c>
      <c r="D573" s="16">
        <v>45909</v>
      </c>
      <c r="E573" s="16" t="str">
        <f t="shared" si="235"/>
        <v>Sep</v>
      </c>
      <c r="F573" s="1">
        <f t="shared" si="236"/>
        <v>2025</v>
      </c>
      <c r="G573" t="s">
        <v>2405</v>
      </c>
      <c r="H573" s="17">
        <v>45702</v>
      </c>
      <c r="I573" s="21">
        <f t="shared" si="237"/>
        <v>-207</v>
      </c>
      <c r="J573" s="6" t="str">
        <f t="shared" si="238"/>
        <v>INVALID_SHIPPING</v>
      </c>
      <c r="K573" s="1" t="s">
        <v>804</v>
      </c>
      <c r="L573" s="1" t="s">
        <v>141</v>
      </c>
      <c r="M573" s="1" t="str">
        <f t="shared" si="217"/>
        <v>Rahul Verma</v>
      </c>
      <c r="N573" s="1" t="s">
        <v>40</v>
      </c>
      <c r="O573" s="1" t="str">
        <f t="shared" si="218"/>
        <v>Small Business</v>
      </c>
      <c r="P573" s="1" t="s">
        <v>41</v>
      </c>
      <c r="Q573" s="1" t="str">
        <f t="shared" si="219"/>
        <v>East</v>
      </c>
      <c r="R573" s="1" t="str">
        <f t="shared" si="220"/>
        <v>OK</v>
      </c>
      <c r="S573" s="1" t="s">
        <v>116</v>
      </c>
      <c r="T573" s="1" t="str">
        <f t="shared" si="221"/>
        <v>West Bengal</v>
      </c>
      <c r="U573" s="1" t="s">
        <v>117</v>
      </c>
      <c r="V573" s="1" t="str">
        <f t="shared" si="222"/>
        <v>Kolkata</v>
      </c>
      <c r="W573" s="1" t="s">
        <v>44</v>
      </c>
      <c r="X573" s="1" t="str">
        <f t="shared" si="223"/>
        <v>Furniture</v>
      </c>
      <c r="Y573" s="1" t="s">
        <v>190</v>
      </c>
      <c r="Z573" s="1" t="str">
        <f t="shared" si="224"/>
        <v>Bookcases</v>
      </c>
      <c r="AA573" s="1" t="s">
        <v>805</v>
      </c>
      <c r="AB573" s="1" t="s">
        <v>32</v>
      </c>
      <c r="AC573" s="1" t="str">
        <f t="shared" si="225"/>
        <v>Second Class</v>
      </c>
      <c r="AD573" s="1" t="str">
        <f t="shared" si="226"/>
        <v>OK</v>
      </c>
      <c r="AE573" s="1">
        <v>1</v>
      </c>
      <c r="AF573" s="1">
        <v>3154.42</v>
      </c>
      <c r="AG573" s="9">
        <v>0.25</v>
      </c>
      <c r="AH573" s="9">
        <f t="shared" si="227"/>
        <v>0.25</v>
      </c>
      <c r="AI573" s="1" t="str">
        <f t="shared" si="228"/>
        <v>OK</v>
      </c>
      <c r="AJ573" s="1">
        <v>2365.8200000000002</v>
      </c>
      <c r="AK573" s="1">
        <v>1547.99</v>
      </c>
      <c r="AL573" s="1">
        <v>817.83</v>
      </c>
      <c r="AM573" s="13">
        <f t="shared" si="229"/>
        <v>2365.8150000000001</v>
      </c>
      <c r="AN573" s="9">
        <f t="shared" si="230"/>
        <v>817.82500000000005</v>
      </c>
      <c r="AO573" s="9">
        <f t="shared" si="239"/>
        <v>0.34568425679945392</v>
      </c>
      <c r="AP573" s="1" t="s">
        <v>33</v>
      </c>
      <c r="AQ573" s="1" t="str">
        <f t="shared" si="231"/>
        <v>Paid</v>
      </c>
      <c r="AR573" s="1" t="str">
        <f t="shared" si="232"/>
        <v>OK</v>
      </c>
      <c r="AS573" s="1" t="s">
        <v>34</v>
      </c>
      <c r="AT573" s="4" t="str">
        <f t="shared" si="233"/>
        <v>Completed</v>
      </c>
      <c r="AU573" s="3" t="str">
        <f t="shared" si="234"/>
        <v>OK</v>
      </c>
      <c r="AV573" s="3" t="str">
        <f t="shared" si="240"/>
        <v>INVALID</v>
      </c>
      <c r="AW573" t="str">
        <f t="shared" si="241"/>
        <v>MATCH</v>
      </c>
      <c r="AX573" t="str">
        <f t="shared" si="242"/>
        <v>MATCH</v>
      </c>
    </row>
    <row r="574" spans="1:50" ht="15.6">
      <c r="A574" s="1" t="s">
        <v>811</v>
      </c>
      <c r="B574" s="1">
        <f t="shared" si="216"/>
        <v>1</v>
      </c>
      <c r="C574" s="16">
        <v>45708</v>
      </c>
      <c r="D574" s="16">
        <v>45708</v>
      </c>
      <c r="E574" s="16" t="str">
        <f t="shared" si="235"/>
        <v>Feb</v>
      </c>
      <c r="F574" s="1">
        <f t="shared" si="236"/>
        <v>2025</v>
      </c>
      <c r="G574" t="s">
        <v>2409</v>
      </c>
      <c r="H574" s="17">
        <v>45536</v>
      </c>
      <c r="I574" s="21">
        <f t="shared" si="237"/>
        <v>-172</v>
      </c>
      <c r="J574" s="6" t="str">
        <f t="shared" si="238"/>
        <v>INVALID_SHIPPING</v>
      </c>
      <c r="K574" s="1" t="s">
        <v>812</v>
      </c>
      <c r="L574" s="1" t="s">
        <v>24</v>
      </c>
      <c r="M574" s="1" t="str">
        <f t="shared" si="217"/>
        <v>Karan Malhotra</v>
      </c>
      <c r="N574" s="1" t="s">
        <v>40</v>
      </c>
      <c r="O574" s="1" t="str">
        <f t="shared" si="218"/>
        <v>Small Business</v>
      </c>
      <c r="P574" s="1" t="s">
        <v>71</v>
      </c>
      <c r="Q574" s="1" t="str">
        <f t="shared" si="219"/>
        <v>West</v>
      </c>
      <c r="R574" s="1" t="str">
        <f t="shared" si="220"/>
        <v>OK</v>
      </c>
      <c r="S574" s="1" t="s">
        <v>218</v>
      </c>
      <c r="T574" s="1" t="str">
        <f t="shared" si="221"/>
        <v>Gujarat</v>
      </c>
      <c r="U574" s="1" t="s">
        <v>219</v>
      </c>
      <c r="V574" s="1" t="str">
        <f t="shared" si="222"/>
        <v>Ahmedabad</v>
      </c>
      <c r="W574" s="1" t="s">
        <v>813</v>
      </c>
      <c r="X574" s="1" t="str">
        <f t="shared" si="223"/>
        <v>Office Supplies</v>
      </c>
      <c r="Y574" s="1" t="s">
        <v>105</v>
      </c>
      <c r="Z574" s="1" t="str">
        <f t="shared" si="224"/>
        <v>Labels</v>
      </c>
      <c r="AA574" s="1" t="s">
        <v>814</v>
      </c>
      <c r="AB574" s="1" t="s">
        <v>55</v>
      </c>
      <c r="AC574" s="1" t="str">
        <f t="shared" si="225"/>
        <v>First Class</v>
      </c>
      <c r="AD574" s="1" t="str">
        <f t="shared" si="226"/>
        <v>OK</v>
      </c>
      <c r="AE574" s="1">
        <v>1</v>
      </c>
      <c r="AF574" s="1">
        <v>2557.85</v>
      </c>
      <c r="AG574" s="9">
        <v>0.2</v>
      </c>
      <c r="AH574" s="9">
        <f t="shared" si="227"/>
        <v>0.2</v>
      </c>
      <c r="AI574" s="1" t="str">
        <f t="shared" si="228"/>
        <v>OK</v>
      </c>
      <c r="AJ574" s="1">
        <v>2046.28</v>
      </c>
      <c r="AK574" s="1">
        <v>1449.54</v>
      </c>
      <c r="AL574" s="1">
        <v>596.74</v>
      </c>
      <c r="AM574" s="13">
        <f t="shared" si="229"/>
        <v>2046.28</v>
      </c>
      <c r="AN574" s="9">
        <f t="shared" si="230"/>
        <v>596.74</v>
      </c>
      <c r="AO574" s="9">
        <f t="shared" si="239"/>
        <v>0.29162186992982386</v>
      </c>
      <c r="AP574" s="1" t="s">
        <v>33</v>
      </c>
      <c r="AQ574" s="1" t="str">
        <f t="shared" si="231"/>
        <v>Paid</v>
      </c>
      <c r="AR574" s="1" t="str">
        <f t="shared" si="232"/>
        <v>OK</v>
      </c>
      <c r="AS574" s="1" t="s">
        <v>34</v>
      </c>
      <c r="AT574" s="4" t="str">
        <f t="shared" si="233"/>
        <v>Completed</v>
      </c>
      <c r="AU574" s="3" t="str">
        <f t="shared" si="234"/>
        <v>OK</v>
      </c>
      <c r="AV574" s="3" t="str">
        <f t="shared" si="240"/>
        <v>INVALID</v>
      </c>
      <c r="AW574" t="str">
        <f t="shared" si="241"/>
        <v>MATCH</v>
      </c>
      <c r="AX574" t="str">
        <f t="shared" si="242"/>
        <v>MATCH</v>
      </c>
    </row>
    <row r="575" spans="1:50" ht="15.6" hidden="1">
      <c r="A575" s="1" t="s">
        <v>815</v>
      </c>
      <c r="B575" s="1">
        <f t="shared" si="216"/>
        <v>1</v>
      </c>
      <c r="C575" s="16">
        <v>45887</v>
      </c>
      <c r="D575" s="16">
        <v>45887</v>
      </c>
      <c r="E575" s="16" t="str">
        <f t="shared" si="235"/>
        <v>Aug</v>
      </c>
      <c r="F575" s="1">
        <f t="shared" si="236"/>
        <v>2025</v>
      </c>
      <c r="G575" t="s">
        <v>2413</v>
      </c>
      <c r="H575" s="17">
        <v>45926</v>
      </c>
      <c r="I575" s="21">
        <f t="shared" si="237"/>
        <v>39</v>
      </c>
      <c r="J575" s="6" t="str">
        <f t="shared" si="238"/>
        <v>OK</v>
      </c>
      <c r="K575" s="1" t="s">
        <v>818</v>
      </c>
      <c r="L575" s="1" t="s">
        <v>59</v>
      </c>
      <c r="M575" s="1" t="str">
        <f t="shared" si="217"/>
        <v>Arjun Bose</v>
      </c>
      <c r="N575" s="1" t="s">
        <v>110</v>
      </c>
      <c r="O575" s="1" t="str">
        <f t="shared" si="218"/>
        <v>Home Office</v>
      </c>
      <c r="P575" s="1" t="s">
        <v>60</v>
      </c>
      <c r="Q575" s="1" t="str">
        <f t="shared" si="219"/>
        <v>South</v>
      </c>
      <c r="R575" s="1" t="str">
        <f t="shared" si="220"/>
        <v>OK</v>
      </c>
      <c r="S575" s="1" t="s">
        <v>212</v>
      </c>
      <c r="T575" s="1" t="str">
        <f t="shared" si="221"/>
        <v>Karnataka</v>
      </c>
      <c r="U575" s="1" t="s">
        <v>213</v>
      </c>
      <c r="V575" s="1" t="str">
        <f t="shared" si="222"/>
        <v>Bengaluru</v>
      </c>
      <c r="W575" s="1" t="s">
        <v>29</v>
      </c>
      <c r="X575" s="1" t="str">
        <f t="shared" si="223"/>
        <v>Office Supplies</v>
      </c>
      <c r="Y575" s="1" t="s">
        <v>148</v>
      </c>
      <c r="Z575" s="1" t="str">
        <f t="shared" si="224"/>
        <v>Storage</v>
      </c>
      <c r="AA575" s="1" t="s">
        <v>819</v>
      </c>
      <c r="AB575" s="1" t="s">
        <v>55</v>
      </c>
      <c r="AC575" s="1" t="str">
        <f t="shared" si="225"/>
        <v>First Class</v>
      </c>
      <c r="AD575" s="1" t="str">
        <f t="shared" si="226"/>
        <v>OK</v>
      </c>
      <c r="AE575" s="1">
        <v>9</v>
      </c>
      <c r="AF575" s="1">
        <v>3030.93</v>
      </c>
      <c r="AG575" s="9">
        <v>0.15</v>
      </c>
      <c r="AH575" s="9">
        <f t="shared" si="227"/>
        <v>0.15</v>
      </c>
      <c r="AI575" s="1" t="str">
        <f t="shared" si="228"/>
        <v>OK</v>
      </c>
      <c r="AJ575" s="1">
        <v>23186.61</v>
      </c>
      <c r="AK575" s="1">
        <v>17906.54</v>
      </c>
      <c r="AL575" s="1">
        <v>5280.07</v>
      </c>
      <c r="AM575" s="13">
        <f t="shared" si="229"/>
        <v>23186.6145</v>
      </c>
      <c r="AN575" s="9">
        <f t="shared" si="230"/>
        <v>5280.0744999999988</v>
      </c>
      <c r="AO575" s="9">
        <f t="shared" si="239"/>
        <v>0.22772080417345961</v>
      </c>
      <c r="AP575" s="1" t="s">
        <v>33</v>
      </c>
      <c r="AQ575" s="1" t="str">
        <f t="shared" si="231"/>
        <v>Paid</v>
      </c>
      <c r="AR575" s="1" t="str">
        <f t="shared" si="232"/>
        <v>OK</v>
      </c>
      <c r="AS575" s="1" t="s">
        <v>120</v>
      </c>
      <c r="AT575" s="4" t="str">
        <f t="shared" si="233"/>
        <v>Returned</v>
      </c>
      <c r="AU575" s="3" t="str">
        <f t="shared" si="234"/>
        <v>RETURNED_ORDER</v>
      </c>
      <c r="AV575" s="3" t="str">
        <f t="shared" si="240"/>
        <v>CLEAN</v>
      </c>
      <c r="AW575" t="str">
        <f t="shared" si="241"/>
        <v>MATCH</v>
      </c>
      <c r="AX575" t="str">
        <f t="shared" si="242"/>
        <v>MATCH</v>
      </c>
    </row>
    <row r="576" spans="1:50" ht="15.6">
      <c r="A576" s="1" t="s">
        <v>820</v>
      </c>
      <c r="B576" s="1">
        <f t="shared" si="216"/>
        <v>1</v>
      </c>
      <c r="C576" s="16">
        <v>45677</v>
      </c>
      <c r="D576" s="16">
        <v>45677</v>
      </c>
      <c r="E576" s="16" t="str">
        <f t="shared" si="235"/>
        <v>Jan</v>
      </c>
      <c r="F576" s="1">
        <f t="shared" si="236"/>
        <v>2025</v>
      </c>
      <c r="G576" t="s">
        <v>1448</v>
      </c>
      <c r="H576" s="17">
        <v>45347</v>
      </c>
      <c r="I576" s="21">
        <f t="shared" si="237"/>
        <v>-330</v>
      </c>
      <c r="J576" s="6" t="str">
        <f t="shared" si="238"/>
        <v>INVALID_SHIPPING</v>
      </c>
      <c r="K576" s="1" t="s">
        <v>821</v>
      </c>
      <c r="L576" s="1" t="s">
        <v>334</v>
      </c>
      <c r="M576" s="1" t="str">
        <f t="shared" si="217"/>
        <v>Kabir Singh</v>
      </c>
      <c r="N576" s="1" t="s">
        <v>25</v>
      </c>
      <c r="O576" s="1" t="str">
        <f t="shared" si="218"/>
        <v>Consumer</v>
      </c>
      <c r="P576" s="1" t="s">
        <v>71</v>
      </c>
      <c r="Q576" s="1" t="str">
        <f t="shared" si="219"/>
        <v>West</v>
      </c>
      <c r="R576" s="1" t="str">
        <f t="shared" si="220"/>
        <v>OK</v>
      </c>
      <c r="S576" s="1" t="s">
        <v>72</v>
      </c>
      <c r="T576" s="1" t="str">
        <f t="shared" si="221"/>
        <v>Maharashtra</v>
      </c>
      <c r="U576" s="1" t="s">
        <v>73</v>
      </c>
      <c r="V576" s="1" t="str">
        <f t="shared" si="222"/>
        <v>Mumbai</v>
      </c>
      <c r="W576" s="1" t="s">
        <v>83</v>
      </c>
      <c r="X576" s="1" t="str">
        <f t="shared" si="223"/>
        <v>Technology</v>
      </c>
      <c r="Y576" s="1" t="s">
        <v>84</v>
      </c>
      <c r="Z576" s="1" t="str">
        <f t="shared" si="224"/>
        <v>Accessories</v>
      </c>
      <c r="AA576" s="1" t="s">
        <v>822</v>
      </c>
      <c r="AB576" s="1" t="s">
        <v>47</v>
      </c>
      <c r="AC576" s="1" t="str">
        <f t="shared" si="225"/>
        <v>Same Day</v>
      </c>
      <c r="AD576" s="1" t="str">
        <f t="shared" si="226"/>
        <v>OK</v>
      </c>
      <c r="AE576" s="1">
        <v>5</v>
      </c>
      <c r="AF576" s="1">
        <v>639.27</v>
      </c>
      <c r="AG576" s="9">
        <v>0.2</v>
      </c>
      <c r="AH576" s="9">
        <f t="shared" si="227"/>
        <v>0.2</v>
      </c>
      <c r="AI576" s="1" t="str">
        <f t="shared" si="228"/>
        <v>OK</v>
      </c>
      <c r="AJ576" s="1">
        <v>2557.08</v>
      </c>
      <c r="AK576" s="1">
        <v>2025.69</v>
      </c>
      <c r="AL576" s="1">
        <v>531.39</v>
      </c>
      <c r="AM576" s="13">
        <f t="shared" si="229"/>
        <v>2557.08</v>
      </c>
      <c r="AN576" s="9">
        <f t="shared" si="230"/>
        <v>531.38999999999987</v>
      </c>
      <c r="AO576" s="9">
        <f t="shared" si="239"/>
        <v>0.2078112534609789</v>
      </c>
      <c r="AP576" s="1" t="s">
        <v>33</v>
      </c>
      <c r="AQ576" s="1" t="str">
        <f t="shared" si="231"/>
        <v>Paid</v>
      </c>
      <c r="AR576" s="1" t="str">
        <f t="shared" si="232"/>
        <v>OK</v>
      </c>
      <c r="AS576" s="1" t="s">
        <v>76</v>
      </c>
      <c r="AT576" s="4" t="str">
        <f t="shared" si="233"/>
        <v>Cancelled</v>
      </c>
      <c r="AU576" s="3" t="str">
        <f t="shared" si="234"/>
        <v>EXCLUDE_FROM_SALES</v>
      </c>
      <c r="AV576" s="3" t="str">
        <f t="shared" si="240"/>
        <v>INVALID</v>
      </c>
      <c r="AW576" t="str">
        <f t="shared" si="241"/>
        <v>MATCH</v>
      </c>
      <c r="AX576" t="str">
        <f t="shared" si="242"/>
        <v>MATCH</v>
      </c>
    </row>
    <row r="577" spans="1:50" ht="15.6">
      <c r="A577" s="1" t="s">
        <v>823</v>
      </c>
      <c r="B577" s="1">
        <f t="shared" si="216"/>
        <v>1</v>
      </c>
      <c r="C577" s="16">
        <v>45913</v>
      </c>
      <c r="D577" s="16">
        <v>45913</v>
      </c>
      <c r="E577" s="16" t="str">
        <f t="shared" si="235"/>
        <v>Sep</v>
      </c>
      <c r="F577" s="1">
        <f t="shared" si="236"/>
        <v>2025</v>
      </c>
      <c r="G577" t="s">
        <v>2419</v>
      </c>
      <c r="H577" s="17">
        <v>45730</v>
      </c>
      <c r="I577" s="21">
        <f t="shared" si="237"/>
        <v>-183</v>
      </c>
      <c r="J577" s="6" t="str">
        <f t="shared" si="238"/>
        <v>INVALID_SHIPPING</v>
      </c>
      <c r="K577" s="1" t="s">
        <v>825</v>
      </c>
      <c r="L577" s="1" t="s">
        <v>196</v>
      </c>
      <c r="M577" s="1" t="str">
        <f t="shared" si="217"/>
        <v>Diya Patel</v>
      </c>
      <c r="N577" s="1" t="s">
        <v>25</v>
      </c>
      <c r="O577" s="1" t="str">
        <f t="shared" si="218"/>
        <v>Consumer</v>
      </c>
      <c r="P577" s="1" t="s">
        <v>41</v>
      </c>
      <c r="Q577" s="1" t="str">
        <f t="shared" si="219"/>
        <v>East</v>
      </c>
      <c r="R577" s="1" t="str">
        <f t="shared" si="220"/>
        <v>OK</v>
      </c>
      <c r="S577" s="1" t="s">
        <v>201</v>
      </c>
      <c r="T577" s="1" t="str">
        <f t="shared" si="221"/>
        <v>Assam</v>
      </c>
      <c r="U577" s="1" t="s">
        <v>202</v>
      </c>
      <c r="V577" s="1" t="str">
        <f t="shared" si="222"/>
        <v>Guwahati</v>
      </c>
      <c r="W577" s="1" t="s">
        <v>29</v>
      </c>
      <c r="X577" s="1" t="str">
        <f t="shared" si="223"/>
        <v>Office Supplies</v>
      </c>
      <c r="Y577" s="1" t="s">
        <v>53</v>
      </c>
      <c r="Z577" s="1" t="str">
        <f t="shared" si="224"/>
        <v>Art</v>
      </c>
      <c r="AA577" s="1" t="s">
        <v>826</v>
      </c>
      <c r="AB577" s="1" t="s">
        <v>65</v>
      </c>
      <c r="AC577" s="1" t="str">
        <f t="shared" si="225"/>
        <v>Standard Class</v>
      </c>
      <c r="AD577" s="1" t="str">
        <f t="shared" si="226"/>
        <v>OK</v>
      </c>
      <c r="AE577" s="1">
        <v>8</v>
      </c>
      <c r="AF577" s="1">
        <v>733.9</v>
      </c>
      <c r="AG577" s="9">
        <v>0.05</v>
      </c>
      <c r="AH577" s="9">
        <f t="shared" si="227"/>
        <v>0.05</v>
      </c>
      <c r="AI577" s="1" t="str">
        <f t="shared" si="228"/>
        <v>OK</v>
      </c>
      <c r="AJ577" s="1">
        <v>5577.64</v>
      </c>
      <c r="AK577" s="1">
        <v>3541.29</v>
      </c>
      <c r="AL577" s="1">
        <v>2036.35</v>
      </c>
      <c r="AM577" s="13">
        <f t="shared" si="229"/>
        <v>5577.6399999999994</v>
      </c>
      <c r="AN577" s="9">
        <f t="shared" si="230"/>
        <v>2036.3499999999995</v>
      </c>
      <c r="AO577" s="9">
        <f t="shared" si="239"/>
        <v>0.36509168752375548</v>
      </c>
      <c r="AP577" s="1" t="s">
        <v>131</v>
      </c>
      <c r="AQ577" s="1" t="str">
        <f t="shared" si="231"/>
        <v>Pending</v>
      </c>
      <c r="AR577" s="1" t="str">
        <f t="shared" si="232"/>
        <v>OK</v>
      </c>
      <c r="AS577" s="1" t="s">
        <v>120</v>
      </c>
      <c r="AT577" s="4" t="str">
        <f t="shared" si="233"/>
        <v>Returned</v>
      </c>
      <c r="AU577" s="3" t="str">
        <f t="shared" si="234"/>
        <v>RETURNED_ORDER</v>
      </c>
      <c r="AV577" s="3" t="str">
        <f t="shared" si="240"/>
        <v>INVALID</v>
      </c>
      <c r="AW577" t="str">
        <f t="shared" si="241"/>
        <v>MATCH</v>
      </c>
      <c r="AX577" t="str">
        <f t="shared" si="242"/>
        <v>MATCH</v>
      </c>
    </row>
    <row r="578" spans="1:50" ht="15.6">
      <c r="A578" s="1" t="s">
        <v>827</v>
      </c>
      <c r="B578" s="1">
        <f t="shared" ref="B578:B641" si="243">COUNTIF($A:$A,A578)</f>
        <v>2</v>
      </c>
      <c r="C578" s="16">
        <v>45907</v>
      </c>
      <c r="D578" s="16">
        <v>45907</v>
      </c>
      <c r="E578" s="16" t="str">
        <f t="shared" si="235"/>
        <v>Sep</v>
      </c>
      <c r="F578" s="1">
        <f t="shared" si="236"/>
        <v>2025</v>
      </c>
      <c r="G578" t="s">
        <v>2424</v>
      </c>
      <c r="H578" s="17">
        <v>45345</v>
      </c>
      <c r="I578" s="21">
        <f t="shared" si="237"/>
        <v>-562</v>
      </c>
      <c r="J578" s="6" t="str">
        <f t="shared" si="238"/>
        <v>INVALID_SHIPPING</v>
      </c>
      <c r="K578" s="1" t="s">
        <v>829</v>
      </c>
      <c r="L578" s="1" t="s">
        <v>169</v>
      </c>
      <c r="M578" s="1" t="str">
        <f t="shared" ref="M578:M641" si="244">PROPER(TRIM(SUBSTITUTE(L578,CHAR(160)," ")))</f>
        <v>Rohan Mehta</v>
      </c>
      <c r="N578" s="1" t="s">
        <v>104</v>
      </c>
      <c r="O578" s="1" t="str">
        <f t="shared" ref="O578:O641" si="245">PROPER(TRIM(SUBSTITUTE(N578,CHAR(160)," ")))</f>
        <v>Corporate</v>
      </c>
      <c r="P578" s="1" t="s">
        <v>41</v>
      </c>
      <c r="Q578" s="1" t="str">
        <f t="shared" ref="Q578:Q641" si="246">IF(TRIM(P578)="","Unknown",PROPER(TRIM(P578)))</f>
        <v>East</v>
      </c>
      <c r="R578" s="1" t="str">
        <f t="shared" ref="R578:R641" si="247">IF(Q578="Unknown","MISSING_REGION","OK")</f>
        <v>OK</v>
      </c>
      <c r="S578" s="1" t="s">
        <v>174</v>
      </c>
      <c r="T578" s="1" t="str">
        <f t="shared" ref="T578:T641" si="248">PROPER(TRIM(SUBSTITUTE(S578,CHAR(160)," ")))</f>
        <v>Bihar</v>
      </c>
      <c r="U578" s="1" t="s">
        <v>175</v>
      </c>
      <c r="V578" s="1" t="str">
        <f t="shared" ref="V578:V641" si="249">PROPER(TRIM(SUBSTITUTE(U578,CHAR(160)," ")))</f>
        <v>Patna</v>
      </c>
      <c r="W578" s="1" t="s">
        <v>83</v>
      </c>
      <c r="X578" s="1" t="str">
        <f t="shared" ref="X578:X641" si="250">PROPER(TRIM(SUBSTITUTE(W578,CHAR(160)," ")))</f>
        <v>Technology</v>
      </c>
      <c r="Y578" s="1" t="s">
        <v>91</v>
      </c>
      <c r="Z578" s="1" t="str">
        <f t="shared" ref="Z578:Z641" si="251">PROPER(TRIM(SUBSTITUTE(Y578,CHAR(160)," ")))</f>
        <v>Copiers</v>
      </c>
      <c r="AA578" s="1" t="s">
        <v>830</v>
      </c>
      <c r="AB578" s="1" t="s">
        <v>65</v>
      </c>
      <c r="AC578" s="1" t="str">
        <f t="shared" ref="AC578:AC641" si="252">IF(TRIM(AB578)="","Unknown",PROPER(TRIM(AB578)))</f>
        <v>Standard Class</v>
      </c>
      <c r="AD578" s="1" t="str">
        <f t="shared" ref="AD578:AD641" si="253">IF(AC578="Unknown","MISSING_SHIP_MODE","OK")</f>
        <v>OK</v>
      </c>
      <c r="AE578" s="1">
        <v>3</v>
      </c>
      <c r="AF578" s="1">
        <v>1711.32</v>
      </c>
      <c r="AG578" s="9">
        <v>0</v>
      </c>
      <c r="AH578" s="9">
        <f t="shared" ref="AH578:AH641" si="254">IF(RIGHT(AG578,1)="%",VALUE(SUBSTITUTE(AG578,"%",""))/100,AG578)</f>
        <v>0</v>
      </c>
      <c r="AI578" s="1" t="str">
        <f t="shared" ref="AI578:AI641" si="255">IF(AG578="","Missing Discount",
IF(AG578&lt;0,"Invalid Negative Discount",
"OK"))</f>
        <v>OK</v>
      </c>
      <c r="AJ578" s="1">
        <v>5133.96</v>
      </c>
      <c r="AK578" s="1">
        <v>3930</v>
      </c>
      <c r="AL578" s="1">
        <v>1203.96</v>
      </c>
      <c r="AM578" s="13">
        <f t="shared" ref="AM578:AM641" si="256">IF(AH578&lt;0,"INVALID",AE578*AF578*(1-AH578))</f>
        <v>5133.96</v>
      </c>
      <c r="AN578" s="9">
        <f t="shared" ref="AN578:AN641" si="257">IF(AM578="INVALID","INVALID",
AM578-AK578)</f>
        <v>1203.96</v>
      </c>
      <c r="AO578" s="9">
        <f t="shared" si="239"/>
        <v>0.23450903396208775</v>
      </c>
      <c r="AP578" s="1" t="s">
        <v>33</v>
      </c>
      <c r="AQ578" s="1" t="str">
        <f t="shared" ref="AQ578:AQ641" si="258">PROPER(TRIM(SUBSTITUTE(AP578,CHAR(160)," ")))</f>
        <v>Paid</v>
      </c>
      <c r="AR578" s="1" t="str">
        <f t="shared" ref="AR578:AR641" si="259">IF(AQ578="Failed","EXCLUDE_FROM_SALES",
IF(AQ578="Refunded","REFUNDED_PAYMENT",
"OK"))</f>
        <v>OK</v>
      </c>
      <c r="AS578" s="1" t="s">
        <v>34</v>
      </c>
      <c r="AT578" s="4" t="str">
        <f t="shared" ref="AT578:AT641" si="260">PROPER(TRIM(SUBSTITUTE(AS578,CHAR(160)," ")))</f>
        <v>Completed</v>
      </c>
      <c r="AU578" s="3" t="str">
        <f t="shared" ref="AU578:AU641" si="261">IF(AT578="Cancelled","EXCLUDE_FROM_SALES",
IF(AT578="Returned","RETURNED_ORDER",
"OK"))</f>
        <v>OK</v>
      </c>
      <c r="AV578" s="3" t="str">
        <f t="shared" si="240"/>
        <v>INVALID</v>
      </c>
      <c r="AW578" t="str">
        <f t="shared" si="241"/>
        <v>MATCH</v>
      </c>
      <c r="AX578" t="str">
        <f t="shared" si="242"/>
        <v>MATCH</v>
      </c>
    </row>
    <row r="579" spans="1:50" ht="15.6">
      <c r="A579" s="1" t="s">
        <v>827</v>
      </c>
      <c r="B579" s="1">
        <f t="shared" si="243"/>
        <v>2</v>
      </c>
      <c r="C579" s="16">
        <v>45907</v>
      </c>
      <c r="D579" s="16">
        <v>45907</v>
      </c>
      <c r="E579" s="16" t="str">
        <f t="shared" ref="E579:E642" si="262">TEXT(D579,"mmm")</f>
        <v>Sep</v>
      </c>
      <c r="F579" s="1">
        <f t="shared" ref="F579:F642" si="263">YEAR(D579)</f>
        <v>2025</v>
      </c>
      <c r="G579" t="s">
        <v>2428</v>
      </c>
      <c r="H579" s="17">
        <v>45903</v>
      </c>
      <c r="I579" s="21">
        <f t="shared" ref="I579:I642" si="264">H579-D579</f>
        <v>-4</v>
      </c>
      <c r="J579" s="6" t="str">
        <f t="shared" ref="J579:J642" si="265">IF(I579&lt;0,"INVALID_SHIPPING","OK")</f>
        <v>INVALID_SHIPPING</v>
      </c>
      <c r="K579" s="1" t="s">
        <v>829</v>
      </c>
      <c r="L579" s="1" t="s">
        <v>169</v>
      </c>
      <c r="M579" s="1" t="str">
        <f t="shared" si="244"/>
        <v>Rohan Mehta</v>
      </c>
      <c r="N579" s="1" t="s">
        <v>104</v>
      </c>
      <c r="O579" s="1" t="str">
        <f t="shared" si="245"/>
        <v>Corporate</v>
      </c>
      <c r="P579" s="1" t="s">
        <v>41</v>
      </c>
      <c r="Q579" s="1" t="str">
        <f t="shared" si="246"/>
        <v>East</v>
      </c>
      <c r="R579" s="1" t="str">
        <f t="shared" si="247"/>
        <v>OK</v>
      </c>
      <c r="S579" s="1" t="s">
        <v>174</v>
      </c>
      <c r="T579" s="1" t="str">
        <f t="shared" si="248"/>
        <v>Bihar</v>
      </c>
      <c r="U579" s="1" t="s">
        <v>175</v>
      </c>
      <c r="V579" s="1" t="str">
        <f t="shared" si="249"/>
        <v>Patna</v>
      </c>
      <c r="W579" s="1" t="s">
        <v>83</v>
      </c>
      <c r="X579" s="1" t="str">
        <f t="shared" si="250"/>
        <v>Technology</v>
      </c>
      <c r="Y579" s="1" t="s">
        <v>91</v>
      </c>
      <c r="Z579" s="1" t="str">
        <f t="shared" si="251"/>
        <v>Copiers</v>
      </c>
      <c r="AA579" s="1" t="s">
        <v>830</v>
      </c>
      <c r="AB579" s="1" t="s">
        <v>65</v>
      </c>
      <c r="AC579" s="1" t="str">
        <f t="shared" si="252"/>
        <v>Standard Class</v>
      </c>
      <c r="AD579" s="1" t="str">
        <f t="shared" si="253"/>
        <v>OK</v>
      </c>
      <c r="AE579" s="1">
        <v>3</v>
      </c>
      <c r="AF579" s="1">
        <v>1711.32</v>
      </c>
      <c r="AG579" s="9">
        <v>0</v>
      </c>
      <c r="AH579" s="9">
        <f t="shared" si="254"/>
        <v>0</v>
      </c>
      <c r="AI579" s="1" t="str">
        <f t="shared" si="255"/>
        <v>OK</v>
      </c>
      <c r="AJ579" s="1">
        <v>5206.53</v>
      </c>
      <c r="AK579" s="1">
        <v>3930</v>
      </c>
      <c r="AL579" s="1">
        <v>1203.96</v>
      </c>
      <c r="AM579" s="13">
        <f t="shared" si="256"/>
        <v>5133.96</v>
      </c>
      <c r="AN579" s="9">
        <f t="shared" si="257"/>
        <v>1203.96</v>
      </c>
      <c r="AO579" s="9">
        <f t="shared" ref="AO579:AO642" si="266">IF(OR(AM579="INVALID",AN579="INVALID"),"",AN579/AM579)</f>
        <v>0.23450903396208775</v>
      </c>
      <c r="AP579" s="1" t="s">
        <v>33</v>
      </c>
      <c r="AQ579" s="1" t="str">
        <f t="shared" si="258"/>
        <v>Paid</v>
      </c>
      <c r="AR579" s="1" t="str">
        <f t="shared" si="259"/>
        <v>OK</v>
      </c>
      <c r="AS579" s="1" t="s">
        <v>120</v>
      </c>
      <c r="AT579" s="4" t="str">
        <f t="shared" si="260"/>
        <v>Returned</v>
      </c>
      <c r="AU579" s="3" t="str">
        <f t="shared" si="261"/>
        <v>RETURNED_ORDER</v>
      </c>
      <c r="AV579" s="3" t="str">
        <f t="shared" ref="AV579:AV642" si="267">IF(OR(AI579&lt;&gt;"OK",J579="INVALID_SHIPPING"),
"INVALID",
IF(OR(R579&lt;&gt;"OK",AD579&lt;&gt;"OK"),
"WARNING",
"CLEAN"))</f>
        <v>INVALID</v>
      </c>
      <c r="AW579" t="str">
        <f t="shared" ref="AW579:AW642" si="268">IF(AM579="INVALID","INVALID",
IF(ROUND(AJ579,2)=ROUND(AM579,2),"MATCH","MISMATCH"))</f>
        <v>MISMATCH</v>
      </c>
      <c r="AX579" t="str">
        <f t="shared" ref="AX579:AX642" si="269">IF(AN579="INVALID","INVALID",IF(ROUND(AL579,2)=ROUND(AN579,2),"MATCH","MISMATCH"))</f>
        <v>MATCH</v>
      </c>
    </row>
    <row r="580" spans="1:50" ht="15.6">
      <c r="A580" s="1" t="s">
        <v>831</v>
      </c>
      <c r="B580" s="1">
        <f t="shared" si="243"/>
        <v>1</v>
      </c>
      <c r="C580" s="16">
        <v>45711</v>
      </c>
      <c r="D580" s="16">
        <v>45711</v>
      </c>
      <c r="E580" s="16" t="str">
        <f t="shared" si="262"/>
        <v>Feb</v>
      </c>
      <c r="F580" s="1">
        <f t="shared" si="263"/>
        <v>2025</v>
      </c>
      <c r="G580" t="s">
        <v>2432</v>
      </c>
      <c r="H580" s="17">
        <v>45345</v>
      </c>
      <c r="I580" s="21">
        <f t="shared" si="264"/>
        <v>-366</v>
      </c>
      <c r="J580" s="6" t="str">
        <f t="shared" si="265"/>
        <v>INVALID_SHIPPING</v>
      </c>
      <c r="K580" s="1" t="s">
        <v>833</v>
      </c>
      <c r="L580" s="1" t="s">
        <v>24</v>
      </c>
      <c r="M580" s="1" t="str">
        <f t="shared" si="244"/>
        <v>Karan Malhotra</v>
      </c>
      <c r="N580" s="1" t="s">
        <v>104</v>
      </c>
      <c r="O580" s="1" t="str">
        <f t="shared" si="245"/>
        <v>Corporate</v>
      </c>
      <c r="P580" s="1" t="s">
        <v>41</v>
      </c>
      <c r="Q580" s="1" t="str">
        <f t="shared" si="246"/>
        <v>East</v>
      </c>
      <c r="R580" s="1" t="str">
        <f t="shared" si="247"/>
        <v>OK</v>
      </c>
      <c r="S580" s="1" t="s">
        <v>174</v>
      </c>
      <c r="T580" s="1" t="str">
        <f t="shared" si="248"/>
        <v>Bihar</v>
      </c>
      <c r="U580" s="1" t="s">
        <v>175</v>
      </c>
      <c r="V580" s="1" t="str">
        <f t="shared" si="249"/>
        <v>Patna</v>
      </c>
      <c r="W580" s="1" t="s">
        <v>29</v>
      </c>
      <c r="X580" s="1" t="str">
        <f t="shared" si="250"/>
        <v>Office Supplies</v>
      </c>
      <c r="Y580" s="1" t="s">
        <v>105</v>
      </c>
      <c r="Z580" s="1" t="str">
        <f t="shared" si="251"/>
        <v>Labels</v>
      </c>
      <c r="AA580" s="1" t="s">
        <v>834</v>
      </c>
      <c r="AB580" s="1" t="s">
        <v>47</v>
      </c>
      <c r="AC580" s="1" t="str">
        <f t="shared" si="252"/>
        <v>Same Day</v>
      </c>
      <c r="AD580" s="1" t="str">
        <f t="shared" si="253"/>
        <v>OK</v>
      </c>
      <c r="AE580" s="1">
        <v>5</v>
      </c>
      <c r="AF580" s="1">
        <v>4246.2700000000004</v>
      </c>
      <c r="AG580" s="9">
        <v>0.25</v>
      </c>
      <c r="AH580" s="9">
        <f t="shared" si="254"/>
        <v>0.25</v>
      </c>
      <c r="AI580" s="1" t="str">
        <f t="shared" si="255"/>
        <v>OK</v>
      </c>
      <c r="AJ580" s="1">
        <v>15923.51</v>
      </c>
      <c r="AK580" s="1">
        <v>11291.8</v>
      </c>
      <c r="AL580" s="1">
        <v>4631.71</v>
      </c>
      <c r="AM580" s="13">
        <f t="shared" si="256"/>
        <v>15923.512500000001</v>
      </c>
      <c r="AN580" s="9">
        <f t="shared" si="257"/>
        <v>4631.7125000000015</v>
      </c>
      <c r="AO580" s="9">
        <f t="shared" si="266"/>
        <v>0.29087253832971849</v>
      </c>
      <c r="AP580" s="1" t="s">
        <v>33</v>
      </c>
      <c r="AQ580" s="1" t="str">
        <f t="shared" si="258"/>
        <v>Paid</v>
      </c>
      <c r="AR580" s="1" t="str">
        <f t="shared" si="259"/>
        <v>OK</v>
      </c>
      <c r="AS580" s="1" t="s">
        <v>34</v>
      </c>
      <c r="AT580" s="4" t="str">
        <f t="shared" si="260"/>
        <v>Completed</v>
      </c>
      <c r="AU580" s="3" t="str">
        <f t="shared" si="261"/>
        <v>OK</v>
      </c>
      <c r="AV580" s="3" t="str">
        <f t="shared" si="267"/>
        <v>INVALID</v>
      </c>
      <c r="AW580" t="str">
        <f t="shared" si="268"/>
        <v>MATCH</v>
      </c>
      <c r="AX580" t="str">
        <f t="shared" si="269"/>
        <v>MATCH</v>
      </c>
    </row>
    <row r="581" spans="1:50" ht="15.6">
      <c r="A581" s="1" t="s">
        <v>835</v>
      </c>
      <c r="B581" s="1">
        <f t="shared" si="243"/>
        <v>1</v>
      </c>
      <c r="C581" s="16">
        <v>45871</v>
      </c>
      <c r="D581" s="16">
        <v>45871</v>
      </c>
      <c r="E581" s="16" t="str">
        <f t="shared" si="262"/>
        <v>Aug</v>
      </c>
      <c r="F581" s="1">
        <f t="shared" si="263"/>
        <v>2025</v>
      </c>
      <c r="G581" t="s">
        <v>2435</v>
      </c>
      <c r="H581" s="17">
        <v>45467</v>
      </c>
      <c r="I581" s="21">
        <f t="shared" si="264"/>
        <v>-404</v>
      </c>
      <c r="J581" s="6" t="str">
        <f t="shared" si="265"/>
        <v>INVALID_SHIPPING</v>
      </c>
      <c r="K581" s="1" t="s">
        <v>838</v>
      </c>
      <c r="L581" s="1" t="s">
        <v>24</v>
      </c>
      <c r="M581" s="1" t="str">
        <f t="shared" si="244"/>
        <v>Karan Malhotra</v>
      </c>
      <c r="N581" s="1" t="s">
        <v>104</v>
      </c>
      <c r="O581" s="1" t="str">
        <f t="shared" si="245"/>
        <v>Corporate</v>
      </c>
      <c r="P581" s="1" t="s">
        <v>26</v>
      </c>
      <c r="Q581" s="1" t="str">
        <f t="shared" si="246"/>
        <v>North</v>
      </c>
      <c r="R581" s="1" t="str">
        <f t="shared" si="247"/>
        <v>OK</v>
      </c>
      <c r="S581" s="1" t="s">
        <v>454</v>
      </c>
      <c r="T581" s="1" t="str">
        <f t="shared" si="248"/>
        <v>Delhi</v>
      </c>
      <c r="U581" s="1" t="s">
        <v>455</v>
      </c>
      <c r="V581" s="1" t="str">
        <f t="shared" si="249"/>
        <v>New Delhi</v>
      </c>
      <c r="W581" s="1" t="s">
        <v>44</v>
      </c>
      <c r="X581" s="1" t="str">
        <f t="shared" si="250"/>
        <v>Furniture</v>
      </c>
      <c r="Y581" s="1" t="s">
        <v>63</v>
      </c>
      <c r="Z581" s="1" t="str">
        <f t="shared" si="251"/>
        <v>Furnishings</v>
      </c>
      <c r="AA581" s="1" t="s">
        <v>839</v>
      </c>
      <c r="AB581" s="1" t="s">
        <v>47</v>
      </c>
      <c r="AC581" s="1" t="str">
        <f t="shared" si="252"/>
        <v>Same Day</v>
      </c>
      <c r="AD581" s="1" t="str">
        <f t="shared" si="253"/>
        <v>OK</v>
      </c>
      <c r="AE581" s="1">
        <v>9</v>
      </c>
      <c r="AF581" s="1">
        <v>2962.62</v>
      </c>
      <c r="AG581" s="9">
        <v>0.1</v>
      </c>
      <c r="AH581" s="9">
        <f t="shared" si="254"/>
        <v>0.1</v>
      </c>
      <c r="AI581" s="1" t="str">
        <f t="shared" si="255"/>
        <v>OK</v>
      </c>
      <c r="AJ581" s="1">
        <v>23997.22</v>
      </c>
      <c r="AK581" s="1">
        <v>16134.63</v>
      </c>
      <c r="AL581" s="1">
        <v>7862.59</v>
      </c>
      <c r="AM581" s="13">
        <f t="shared" si="256"/>
        <v>23997.221999999998</v>
      </c>
      <c r="AN581" s="9">
        <f t="shared" si="257"/>
        <v>7862.5919999999987</v>
      </c>
      <c r="AO581" s="9">
        <f t="shared" si="266"/>
        <v>0.32764592501582057</v>
      </c>
      <c r="AP581" s="1" t="s">
        <v>119</v>
      </c>
      <c r="AQ581" s="1" t="str">
        <f t="shared" si="258"/>
        <v>Refunded</v>
      </c>
      <c r="AR581" s="1" t="str">
        <f t="shared" si="259"/>
        <v>REFUNDED_PAYMENT</v>
      </c>
      <c r="AS581" s="1" t="s">
        <v>120</v>
      </c>
      <c r="AT581" s="4" t="str">
        <f t="shared" si="260"/>
        <v>Returned</v>
      </c>
      <c r="AU581" s="3" t="str">
        <f t="shared" si="261"/>
        <v>RETURNED_ORDER</v>
      </c>
      <c r="AV581" s="3" t="str">
        <f t="shared" si="267"/>
        <v>INVALID</v>
      </c>
      <c r="AW581" t="str">
        <f t="shared" si="268"/>
        <v>MATCH</v>
      </c>
      <c r="AX581" t="str">
        <f t="shared" si="269"/>
        <v>MATCH</v>
      </c>
    </row>
    <row r="582" spans="1:50" ht="15.6">
      <c r="A582" s="1" t="s">
        <v>846</v>
      </c>
      <c r="B582" s="1">
        <f t="shared" si="243"/>
        <v>1</v>
      </c>
      <c r="C582" s="16">
        <v>45928</v>
      </c>
      <c r="D582" s="16">
        <v>45928</v>
      </c>
      <c r="E582" s="16" t="str">
        <f t="shared" si="262"/>
        <v>Sep</v>
      </c>
      <c r="F582" s="1">
        <f t="shared" si="263"/>
        <v>2025</v>
      </c>
      <c r="G582" t="s">
        <v>1283</v>
      </c>
      <c r="H582" s="17">
        <v>45729</v>
      </c>
      <c r="I582" s="21">
        <f t="shared" si="264"/>
        <v>-199</v>
      </c>
      <c r="J582" s="6" t="str">
        <f t="shared" si="265"/>
        <v>INVALID_SHIPPING</v>
      </c>
      <c r="K582" s="1" t="s">
        <v>848</v>
      </c>
      <c r="L582" s="1" t="s">
        <v>24</v>
      </c>
      <c r="M582" s="1" t="str">
        <f t="shared" si="244"/>
        <v>Karan Malhotra</v>
      </c>
      <c r="N582" s="1" t="s">
        <v>40</v>
      </c>
      <c r="O582" s="1" t="str">
        <f t="shared" si="245"/>
        <v>Small Business</v>
      </c>
      <c r="P582" s="1" t="s">
        <v>60</v>
      </c>
      <c r="Q582" s="1" t="str">
        <f t="shared" si="246"/>
        <v>South</v>
      </c>
      <c r="R582" s="1" t="str">
        <f t="shared" si="247"/>
        <v>OK</v>
      </c>
      <c r="S582" s="1" t="s">
        <v>212</v>
      </c>
      <c r="T582" s="1" t="str">
        <f t="shared" si="248"/>
        <v>Karnataka</v>
      </c>
      <c r="U582" s="1" t="s">
        <v>213</v>
      </c>
      <c r="V582" s="1" t="str">
        <f t="shared" si="249"/>
        <v>Bengaluru</v>
      </c>
      <c r="W582" s="1" t="s">
        <v>44</v>
      </c>
      <c r="X582" s="1" t="str">
        <f t="shared" si="250"/>
        <v>Furniture</v>
      </c>
      <c r="Y582" s="1" t="s">
        <v>190</v>
      </c>
      <c r="Z582" s="1" t="str">
        <f t="shared" si="251"/>
        <v>Bookcases</v>
      </c>
      <c r="AA582" s="1" t="s">
        <v>849</v>
      </c>
      <c r="AB582" s="1" t="s">
        <v>55</v>
      </c>
      <c r="AC582" s="1" t="str">
        <f t="shared" si="252"/>
        <v>First Class</v>
      </c>
      <c r="AD582" s="1" t="str">
        <f t="shared" si="253"/>
        <v>OK</v>
      </c>
      <c r="AE582" s="1">
        <v>6</v>
      </c>
      <c r="AF582" s="1">
        <v>1620.53</v>
      </c>
      <c r="AG582" s="9">
        <v>0.15</v>
      </c>
      <c r="AH582" s="9">
        <f t="shared" si="254"/>
        <v>0.15</v>
      </c>
      <c r="AI582" s="1" t="str">
        <f t="shared" si="255"/>
        <v>OK</v>
      </c>
      <c r="AJ582" s="1">
        <v>8264.7000000000007</v>
      </c>
      <c r="AK582" s="1">
        <v>4768.75</v>
      </c>
      <c r="AL582" s="1">
        <v>3495.95</v>
      </c>
      <c r="AM582" s="13">
        <f t="shared" si="256"/>
        <v>8264.7029999999995</v>
      </c>
      <c r="AN582" s="9">
        <f t="shared" si="257"/>
        <v>3495.9529999999995</v>
      </c>
      <c r="AO582" s="9">
        <f t="shared" si="266"/>
        <v>0.42299801940856191</v>
      </c>
      <c r="AP582" s="1" t="s">
        <v>131</v>
      </c>
      <c r="AQ582" s="1" t="str">
        <f t="shared" si="258"/>
        <v>Pending</v>
      </c>
      <c r="AR582" s="1" t="str">
        <f t="shared" si="259"/>
        <v>OK</v>
      </c>
      <c r="AS582" s="1" t="s">
        <v>120</v>
      </c>
      <c r="AT582" s="4" t="str">
        <f t="shared" si="260"/>
        <v>Returned</v>
      </c>
      <c r="AU582" s="3" t="str">
        <f t="shared" si="261"/>
        <v>RETURNED_ORDER</v>
      </c>
      <c r="AV582" s="3" t="str">
        <f t="shared" si="267"/>
        <v>INVALID</v>
      </c>
      <c r="AW582" t="str">
        <f t="shared" si="268"/>
        <v>MATCH</v>
      </c>
      <c r="AX582" t="str">
        <f t="shared" si="269"/>
        <v>MATCH</v>
      </c>
    </row>
    <row r="583" spans="1:50" ht="15.6" hidden="1">
      <c r="A583" s="1" t="s">
        <v>854</v>
      </c>
      <c r="B583" s="1">
        <f t="shared" si="243"/>
        <v>1</v>
      </c>
      <c r="C583" s="16">
        <v>45734</v>
      </c>
      <c r="D583" s="16">
        <v>45734</v>
      </c>
      <c r="E583" s="16" t="str">
        <f t="shared" si="262"/>
        <v>Mar</v>
      </c>
      <c r="F583" s="1">
        <f t="shared" si="263"/>
        <v>2025</v>
      </c>
      <c r="G583" t="s">
        <v>2442</v>
      </c>
      <c r="H583" s="17">
        <v>45879</v>
      </c>
      <c r="I583" s="21">
        <f t="shared" si="264"/>
        <v>145</v>
      </c>
      <c r="J583" s="6" t="str">
        <f t="shared" si="265"/>
        <v>OK</v>
      </c>
      <c r="K583" s="1" t="s">
        <v>856</v>
      </c>
      <c r="L583" s="1" t="s">
        <v>80</v>
      </c>
      <c r="M583" s="1" t="str">
        <f t="shared" si="244"/>
        <v>Vikram Iyer</v>
      </c>
      <c r="N583" s="1" t="s">
        <v>104</v>
      </c>
      <c r="O583" s="1" t="str">
        <f t="shared" si="245"/>
        <v>Corporate</v>
      </c>
      <c r="P583" s="1" t="s">
        <v>41</v>
      </c>
      <c r="Q583" s="1" t="str">
        <f t="shared" si="246"/>
        <v>East</v>
      </c>
      <c r="R583" s="1" t="str">
        <f t="shared" si="247"/>
        <v>OK</v>
      </c>
      <c r="S583" s="1" t="s">
        <v>284</v>
      </c>
      <c r="T583" s="1" t="str">
        <f t="shared" si="248"/>
        <v>Jharkhand</v>
      </c>
      <c r="U583" s="1" t="s">
        <v>285</v>
      </c>
      <c r="V583" s="1" t="str">
        <f t="shared" si="249"/>
        <v>Ranchi</v>
      </c>
      <c r="W583" s="1" t="s">
        <v>44</v>
      </c>
      <c r="X583" s="1" t="str">
        <f t="shared" si="250"/>
        <v>Furniture</v>
      </c>
      <c r="Y583" s="1" t="s">
        <v>190</v>
      </c>
      <c r="Z583" s="1" t="str">
        <f t="shared" si="251"/>
        <v>Bookcases</v>
      </c>
      <c r="AA583" s="1" t="s">
        <v>857</v>
      </c>
      <c r="AB583" s="1" t="s">
        <v>65</v>
      </c>
      <c r="AC583" s="1" t="str">
        <f t="shared" si="252"/>
        <v>Standard Class</v>
      </c>
      <c r="AD583" s="1" t="str">
        <f t="shared" si="253"/>
        <v>OK</v>
      </c>
      <c r="AE583" s="1">
        <v>8</v>
      </c>
      <c r="AF583" s="1">
        <v>3563.09</v>
      </c>
      <c r="AG583" s="9">
        <v>0.15</v>
      </c>
      <c r="AH583" s="9">
        <f t="shared" si="254"/>
        <v>0.15</v>
      </c>
      <c r="AI583" s="1" t="str">
        <f t="shared" si="255"/>
        <v>OK</v>
      </c>
      <c r="AJ583" s="1">
        <v>24229.01</v>
      </c>
      <c r="AK583" s="1">
        <v>13910.64</v>
      </c>
      <c r="AL583" s="1">
        <v>10318.370000000001</v>
      </c>
      <c r="AM583" s="13">
        <f t="shared" si="256"/>
        <v>24229.011999999999</v>
      </c>
      <c r="AN583" s="9">
        <f t="shared" si="257"/>
        <v>10318.371999999999</v>
      </c>
      <c r="AO583" s="9">
        <f t="shared" si="266"/>
        <v>0.42586845885420338</v>
      </c>
      <c r="AP583" s="1" t="s">
        <v>33</v>
      </c>
      <c r="AQ583" s="1" t="str">
        <f t="shared" si="258"/>
        <v>Paid</v>
      </c>
      <c r="AR583" s="1" t="str">
        <f t="shared" si="259"/>
        <v>OK</v>
      </c>
      <c r="AS583" s="1" t="s">
        <v>34</v>
      </c>
      <c r="AT583" s="4" t="str">
        <f t="shared" si="260"/>
        <v>Completed</v>
      </c>
      <c r="AU583" s="3" t="str">
        <f t="shared" si="261"/>
        <v>OK</v>
      </c>
      <c r="AV583" s="3" t="str">
        <f t="shared" si="267"/>
        <v>CLEAN</v>
      </c>
      <c r="AW583" t="str">
        <f t="shared" si="268"/>
        <v>MATCH</v>
      </c>
      <c r="AX583" t="str">
        <f t="shared" si="269"/>
        <v>MATCH</v>
      </c>
    </row>
    <row r="584" spans="1:50" ht="15.6">
      <c r="A584" s="1" t="s">
        <v>874</v>
      </c>
      <c r="B584" s="1">
        <f t="shared" si="243"/>
        <v>1</v>
      </c>
      <c r="C584" s="16">
        <v>45909</v>
      </c>
      <c r="D584" s="16">
        <v>45909</v>
      </c>
      <c r="E584" s="16" t="str">
        <f t="shared" si="262"/>
        <v>Sep</v>
      </c>
      <c r="F584" s="1">
        <f t="shared" si="263"/>
        <v>2025</v>
      </c>
      <c r="G584" t="s">
        <v>2446</v>
      </c>
      <c r="H584" s="17">
        <v>45585</v>
      </c>
      <c r="I584" s="21">
        <f t="shared" si="264"/>
        <v>-324</v>
      </c>
      <c r="J584" s="6" t="str">
        <f t="shared" si="265"/>
        <v>INVALID_SHIPPING</v>
      </c>
      <c r="K584" s="1" t="s">
        <v>876</v>
      </c>
      <c r="L584" s="1" t="s">
        <v>136</v>
      </c>
      <c r="M584" s="1" t="str">
        <f t="shared" si="244"/>
        <v>Priya Menon</v>
      </c>
      <c r="N584" s="1" t="s">
        <v>110</v>
      </c>
      <c r="O584" s="1" t="str">
        <f t="shared" si="245"/>
        <v>Home Office</v>
      </c>
      <c r="P584" s="1" t="s">
        <v>60</v>
      </c>
      <c r="Q584" s="1" t="str">
        <f t="shared" si="246"/>
        <v>South</v>
      </c>
      <c r="R584" s="1" t="str">
        <f t="shared" si="247"/>
        <v>OK</v>
      </c>
      <c r="S584" s="1" t="s">
        <v>309</v>
      </c>
      <c r="T584" s="1" t="str">
        <f t="shared" si="248"/>
        <v>Tamil Nadu</v>
      </c>
      <c r="U584" s="1" t="s">
        <v>310</v>
      </c>
      <c r="V584" s="1" t="str">
        <f t="shared" si="249"/>
        <v>Chennai</v>
      </c>
      <c r="W584" s="1" t="s">
        <v>29</v>
      </c>
      <c r="X584" s="1" t="str">
        <f t="shared" si="250"/>
        <v>Office Supplies</v>
      </c>
      <c r="Y584" s="1" t="s">
        <v>53</v>
      </c>
      <c r="Z584" s="1" t="str">
        <f t="shared" si="251"/>
        <v>Art</v>
      </c>
      <c r="AA584" s="1" t="s">
        <v>877</v>
      </c>
      <c r="AB584" s="1" t="s">
        <v>32</v>
      </c>
      <c r="AC584" s="1" t="str">
        <f t="shared" si="252"/>
        <v>Second Class</v>
      </c>
      <c r="AD584" s="1" t="str">
        <f t="shared" si="253"/>
        <v>OK</v>
      </c>
      <c r="AE584" s="1">
        <v>4</v>
      </c>
      <c r="AF584" s="1">
        <v>2551.4499999999998</v>
      </c>
      <c r="AG584" s="9">
        <v>0</v>
      </c>
      <c r="AH584" s="9">
        <f t="shared" si="254"/>
        <v>0</v>
      </c>
      <c r="AI584" s="1" t="str">
        <f t="shared" si="255"/>
        <v>OK</v>
      </c>
      <c r="AJ584" s="1">
        <v>10205.799999999999</v>
      </c>
      <c r="AK584" s="1">
        <v>5986.31</v>
      </c>
      <c r="AL584" s="1">
        <v>4219.49</v>
      </c>
      <c r="AM584" s="13">
        <f t="shared" si="256"/>
        <v>10205.799999999999</v>
      </c>
      <c r="AN584" s="9">
        <f t="shared" si="257"/>
        <v>4219.4899999999989</v>
      </c>
      <c r="AO584" s="9">
        <f t="shared" si="266"/>
        <v>0.41344039663720622</v>
      </c>
      <c r="AP584" s="1" t="s">
        <v>33</v>
      </c>
      <c r="AQ584" s="1" t="str">
        <f t="shared" si="258"/>
        <v>Paid</v>
      </c>
      <c r="AR584" s="1" t="str">
        <f t="shared" si="259"/>
        <v>OK</v>
      </c>
      <c r="AS584" s="1" t="s">
        <v>34</v>
      </c>
      <c r="AT584" s="4" t="str">
        <f t="shared" si="260"/>
        <v>Completed</v>
      </c>
      <c r="AU584" s="3" t="str">
        <f t="shared" si="261"/>
        <v>OK</v>
      </c>
      <c r="AV584" s="3" t="str">
        <f t="shared" si="267"/>
        <v>INVALID</v>
      </c>
      <c r="AW584" t="str">
        <f t="shared" si="268"/>
        <v>MATCH</v>
      </c>
      <c r="AX584" t="str">
        <f t="shared" si="269"/>
        <v>MATCH</v>
      </c>
    </row>
    <row r="585" spans="1:50" ht="15.6">
      <c r="A585" s="1" t="s">
        <v>881</v>
      </c>
      <c r="B585" s="1">
        <f t="shared" si="243"/>
        <v>1</v>
      </c>
      <c r="C585" s="16">
        <v>45832</v>
      </c>
      <c r="D585" s="16">
        <v>45832</v>
      </c>
      <c r="E585" s="16" t="str">
        <f t="shared" si="262"/>
        <v>Jun</v>
      </c>
      <c r="F585" s="1">
        <f t="shared" si="263"/>
        <v>2025</v>
      </c>
      <c r="G585" t="s">
        <v>2450</v>
      </c>
      <c r="H585" s="17">
        <v>45350</v>
      </c>
      <c r="I585" s="21">
        <f t="shared" si="264"/>
        <v>-482</v>
      </c>
      <c r="J585" s="6" t="str">
        <f t="shared" si="265"/>
        <v>INVALID_SHIPPING</v>
      </c>
      <c r="K585" s="1" t="s">
        <v>884</v>
      </c>
      <c r="L585" s="1" t="s">
        <v>80</v>
      </c>
      <c r="M585" s="1" t="str">
        <f t="shared" si="244"/>
        <v>Vikram Iyer</v>
      </c>
      <c r="N585" s="1" t="s">
        <v>110</v>
      </c>
      <c r="O585" s="1" t="str">
        <f t="shared" si="245"/>
        <v>Home Office</v>
      </c>
      <c r="P585" s="1" t="s">
        <v>60</v>
      </c>
      <c r="Q585" s="1" t="str">
        <f t="shared" si="246"/>
        <v>South</v>
      </c>
      <c r="R585" s="1" t="str">
        <f t="shared" si="247"/>
        <v>OK</v>
      </c>
      <c r="S585" s="1" t="s">
        <v>61</v>
      </c>
      <c r="T585" s="1" t="str">
        <f t="shared" si="248"/>
        <v>Telangana</v>
      </c>
      <c r="U585" s="1" t="s">
        <v>62</v>
      </c>
      <c r="V585" s="1" t="str">
        <f t="shared" si="249"/>
        <v>Hyderabad</v>
      </c>
      <c r="W585" s="1" t="s">
        <v>83</v>
      </c>
      <c r="X585" s="1" t="str">
        <f t="shared" si="250"/>
        <v>Technology</v>
      </c>
      <c r="Y585" s="1" t="s">
        <v>91</v>
      </c>
      <c r="Z585" s="1" t="str">
        <f t="shared" si="251"/>
        <v>Copiers</v>
      </c>
      <c r="AA585" s="1" t="s">
        <v>885</v>
      </c>
      <c r="AB585" s="1" t="s">
        <v>65</v>
      </c>
      <c r="AC585" s="1" t="str">
        <f t="shared" si="252"/>
        <v>Standard Class</v>
      </c>
      <c r="AD585" s="1" t="str">
        <f t="shared" si="253"/>
        <v>OK</v>
      </c>
      <c r="AE585" s="1">
        <v>7</v>
      </c>
      <c r="AF585" s="1">
        <v>2304.86</v>
      </c>
      <c r="AG585" s="9">
        <v>0.2</v>
      </c>
      <c r="AH585" s="9">
        <f t="shared" si="254"/>
        <v>0.2</v>
      </c>
      <c r="AI585" s="1" t="str">
        <f t="shared" si="255"/>
        <v>OK</v>
      </c>
      <c r="AJ585" s="1">
        <v>12907.22</v>
      </c>
      <c r="AK585" s="1">
        <v>8327.89</v>
      </c>
      <c r="AL585" s="1">
        <v>4579.33</v>
      </c>
      <c r="AM585" s="13">
        <f t="shared" si="256"/>
        <v>12907.216</v>
      </c>
      <c r="AN585" s="9">
        <f t="shared" si="257"/>
        <v>4579.3260000000009</v>
      </c>
      <c r="AO585" s="9">
        <f t="shared" si="266"/>
        <v>0.3547880503433119</v>
      </c>
      <c r="AP585" s="1" t="s">
        <v>33</v>
      </c>
      <c r="AQ585" s="1" t="str">
        <f t="shared" si="258"/>
        <v>Paid</v>
      </c>
      <c r="AR585" s="1" t="str">
        <f t="shared" si="259"/>
        <v>OK</v>
      </c>
      <c r="AS585" s="1" t="s">
        <v>120</v>
      </c>
      <c r="AT585" s="4" t="str">
        <f t="shared" si="260"/>
        <v>Returned</v>
      </c>
      <c r="AU585" s="3" t="str">
        <f t="shared" si="261"/>
        <v>RETURNED_ORDER</v>
      </c>
      <c r="AV585" s="3" t="str">
        <f t="shared" si="267"/>
        <v>INVALID</v>
      </c>
      <c r="AW585" t="str">
        <f t="shared" si="268"/>
        <v>MATCH</v>
      </c>
      <c r="AX585" t="str">
        <f t="shared" si="269"/>
        <v>MATCH</v>
      </c>
    </row>
    <row r="586" spans="1:50" ht="15.6">
      <c r="A586" s="1" t="s">
        <v>896</v>
      </c>
      <c r="B586" s="1">
        <f t="shared" si="243"/>
        <v>1</v>
      </c>
      <c r="C586" s="16">
        <v>45662</v>
      </c>
      <c r="D586" s="16">
        <v>45662</v>
      </c>
      <c r="E586" s="16" t="str">
        <f t="shared" si="262"/>
        <v>Jan</v>
      </c>
      <c r="F586" s="1">
        <f t="shared" si="263"/>
        <v>2025</v>
      </c>
      <c r="G586" t="s">
        <v>2454</v>
      </c>
      <c r="H586" s="17">
        <v>45573</v>
      </c>
      <c r="I586" s="21">
        <f t="shared" si="264"/>
        <v>-89</v>
      </c>
      <c r="J586" s="6" t="str">
        <f t="shared" si="265"/>
        <v>INVALID_SHIPPING</v>
      </c>
      <c r="K586" s="1" t="s">
        <v>898</v>
      </c>
      <c r="L586" s="1" t="s">
        <v>39</v>
      </c>
      <c r="M586" s="1" t="str">
        <f t="shared" si="244"/>
        <v>Mira Das</v>
      </c>
      <c r="N586" s="1" t="s">
        <v>25</v>
      </c>
      <c r="O586" s="1" t="str">
        <f t="shared" si="245"/>
        <v>Consumer</v>
      </c>
      <c r="P586" s="1" t="s">
        <v>71</v>
      </c>
      <c r="Q586" s="1" t="str">
        <f t="shared" si="246"/>
        <v>West</v>
      </c>
      <c r="R586" s="1" t="str">
        <f t="shared" si="247"/>
        <v>OK</v>
      </c>
      <c r="S586" s="1" t="s">
        <v>81</v>
      </c>
      <c r="T586" s="1" t="str">
        <f t="shared" si="248"/>
        <v>Madhya Pradesh</v>
      </c>
      <c r="U586" s="1" t="s">
        <v>82</v>
      </c>
      <c r="V586" s="1" t="str">
        <f t="shared" si="249"/>
        <v>Indore</v>
      </c>
      <c r="W586" s="1" t="s">
        <v>44</v>
      </c>
      <c r="X586" s="1" t="str">
        <f t="shared" si="250"/>
        <v>Furniture</v>
      </c>
      <c r="Y586" s="1" t="s">
        <v>74</v>
      </c>
      <c r="Z586" s="1" t="str">
        <f t="shared" si="251"/>
        <v>Chairs</v>
      </c>
      <c r="AA586" s="1" t="s">
        <v>899</v>
      </c>
      <c r="AB586" s="1" t="s">
        <v>47</v>
      </c>
      <c r="AC586" s="1" t="str">
        <f t="shared" si="252"/>
        <v>Same Day</v>
      </c>
      <c r="AD586" s="1" t="str">
        <f t="shared" si="253"/>
        <v>OK</v>
      </c>
      <c r="AE586" s="1">
        <v>3</v>
      </c>
      <c r="AF586" s="1">
        <v>2905.74</v>
      </c>
      <c r="AG586" s="9">
        <v>0</v>
      </c>
      <c r="AH586" s="9">
        <f t="shared" si="254"/>
        <v>0</v>
      </c>
      <c r="AI586" s="1" t="str">
        <f t="shared" si="255"/>
        <v>OK</v>
      </c>
      <c r="AJ586" s="1">
        <v>8717.2199999999993</v>
      </c>
      <c r="AK586" s="1">
        <v>6215.96</v>
      </c>
      <c r="AL586" s="1">
        <v>2501.2600000000002</v>
      </c>
      <c r="AM586" s="13">
        <f t="shared" si="256"/>
        <v>8717.2199999999993</v>
      </c>
      <c r="AN586" s="9">
        <f t="shared" si="257"/>
        <v>2501.2599999999993</v>
      </c>
      <c r="AO586" s="9">
        <f t="shared" si="266"/>
        <v>0.28693321953558582</v>
      </c>
      <c r="AP586" s="1" t="s">
        <v>33</v>
      </c>
      <c r="AQ586" s="1" t="str">
        <f t="shared" si="258"/>
        <v>Paid</v>
      </c>
      <c r="AR586" s="1" t="str">
        <f t="shared" si="259"/>
        <v>OK</v>
      </c>
      <c r="AS586" s="1" t="s">
        <v>120</v>
      </c>
      <c r="AT586" s="4" t="str">
        <f t="shared" si="260"/>
        <v>Returned</v>
      </c>
      <c r="AU586" s="3" t="str">
        <f t="shared" si="261"/>
        <v>RETURNED_ORDER</v>
      </c>
      <c r="AV586" s="3" t="str">
        <f t="shared" si="267"/>
        <v>INVALID</v>
      </c>
      <c r="AW586" t="str">
        <f t="shared" si="268"/>
        <v>MATCH</v>
      </c>
      <c r="AX586" t="str">
        <f t="shared" si="269"/>
        <v>MATCH</v>
      </c>
    </row>
    <row r="587" spans="1:50" ht="15.6" hidden="1">
      <c r="A587" s="1" t="s">
        <v>900</v>
      </c>
      <c r="B587" s="1">
        <f t="shared" si="243"/>
        <v>1</v>
      </c>
      <c r="C587" s="16">
        <v>45798</v>
      </c>
      <c r="D587" s="16">
        <v>45798</v>
      </c>
      <c r="E587" s="16" t="str">
        <f t="shared" si="262"/>
        <v>May</v>
      </c>
      <c r="F587" s="1">
        <f t="shared" si="263"/>
        <v>2025</v>
      </c>
      <c r="G587" t="s">
        <v>2458</v>
      </c>
      <c r="H587" s="17">
        <v>45833</v>
      </c>
      <c r="I587" s="21">
        <f t="shared" si="264"/>
        <v>35</v>
      </c>
      <c r="J587" s="6" t="str">
        <f t="shared" si="265"/>
        <v>OK</v>
      </c>
      <c r="K587" s="1" t="s">
        <v>902</v>
      </c>
      <c r="L587" s="1" t="s">
        <v>136</v>
      </c>
      <c r="M587" s="1" t="str">
        <f t="shared" si="244"/>
        <v>Priya Menon</v>
      </c>
      <c r="N587" s="1" t="s">
        <v>104</v>
      </c>
      <c r="O587" s="1" t="str">
        <f t="shared" si="245"/>
        <v>Corporate</v>
      </c>
      <c r="P587" s="1" t="s">
        <v>41</v>
      </c>
      <c r="Q587" s="1" t="str">
        <f t="shared" si="246"/>
        <v>East</v>
      </c>
      <c r="R587" s="1" t="str">
        <f t="shared" si="247"/>
        <v>OK</v>
      </c>
      <c r="S587" s="1" t="s">
        <v>116</v>
      </c>
      <c r="T587" s="1" t="str">
        <f t="shared" si="248"/>
        <v>West Bengal</v>
      </c>
      <c r="U587" s="1" t="s">
        <v>117</v>
      </c>
      <c r="V587" s="1" t="str">
        <f t="shared" si="249"/>
        <v>Kolkata</v>
      </c>
      <c r="W587" s="1" t="s">
        <v>44</v>
      </c>
      <c r="X587" s="1" t="str">
        <f t="shared" si="250"/>
        <v>Furniture</v>
      </c>
      <c r="Y587" s="1" t="s">
        <v>190</v>
      </c>
      <c r="Z587" s="1" t="str">
        <f t="shared" si="251"/>
        <v>Bookcases</v>
      </c>
      <c r="AA587" s="1" t="s">
        <v>903</v>
      </c>
      <c r="AB587" s="1" t="s">
        <v>47</v>
      </c>
      <c r="AC587" s="1" t="str">
        <f t="shared" si="252"/>
        <v>Same Day</v>
      </c>
      <c r="AD587" s="1" t="str">
        <f t="shared" si="253"/>
        <v>OK</v>
      </c>
      <c r="AE587" s="1">
        <v>2</v>
      </c>
      <c r="AF587" s="1">
        <v>3559.57</v>
      </c>
      <c r="AG587" s="9">
        <v>0.1</v>
      </c>
      <c r="AH587" s="9">
        <f t="shared" si="254"/>
        <v>0.1</v>
      </c>
      <c r="AI587" s="1" t="str">
        <f t="shared" si="255"/>
        <v>OK</v>
      </c>
      <c r="AJ587" s="1">
        <v>6553.95</v>
      </c>
      <c r="AK587" s="1">
        <v>4923.09</v>
      </c>
      <c r="AL587" s="1">
        <v>1484.14</v>
      </c>
      <c r="AM587" s="13">
        <f t="shared" si="256"/>
        <v>6407.2260000000006</v>
      </c>
      <c r="AN587" s="9">
        <f t="shared" si="257"/>
        <v>1484.1360000000004</v>
      </c>
      <c r="AO587" s="9">
        <f t="shared" si="266"/>
        <v>0.23163471992403581</v>
      </c>
      <c r="AP587" s="1" t="s">
        <v>33</v>
      </c>
      <c r="AQ587" s="1" t="str">
        <f t="shared" si="258"/>
        <v>Paid</v>
      </c>
      <c r="AR587" s="1" t="str">
        <f t="shared" si="259"/>
        <v>OK</v>
      </c>
      <c r="AS587" s="1" t="s">
        <v>34</v>
      </c>
      <c r="AT587" s="4" t="str">
        <f t="shared" si="260"/>
        <v>Completed</v>
      </c>
      <c r="AU587" s="3" t="str">
        <f t="shared" si="261"/>
        <v>OK</v>
      </c>
      <c r="AV587" s="3" t="str">
        <f t="shared" si="267"/>
        <v>CLEAN</v>
      </c>
      <c r="AW587" t="str">
        <f t="shared" si="268"/>
        <v>MISMATCH</v>
      </c>
      <c r="AX587" t="str">
        <f t="shared" si="269"/>
        <v>MATCH</v>
      </c>
    </row>
    <row r="588" spans="1:50" ht="15.6">
      <c r="A588" s="1" t="s">
        <v>904</v>
      </c>
      <c r="B588" s="1">
        <f t="shared" si="243"/>
        <v>1</v>
      </c>
      <c r="C588" s="16">
        <v>45813</v>
      </c>
      <c r="D588" s="16">
        <v>45813</v>
      </c>
      <c r="E588" s="16" t="str">
        <f t="shared" si="262"/>
        <v>Jun</v>
      </c>
      <c r="F588" s="1">
        <f t="shared" si="263"/>
        <v>2025</v>
      </c>
      <c r="G588" t="s">
        <v>2462</v>
      </c>
      <c r="H588" s="17">
        <v>45759</v>
      </c>
      <c r="I588" s="21">
        <f t="shared" si="264"/>
        <v>-54</v>
      </c>
      <c r="J588" s="6" t="str">
        <f t="shared" si="265"/>
        <v>INVALID_SHIPPING</v>
      </c>
      <c r="K588" s="1" t="s">
        <v>906</v>
      </c>
      <c r="L588" s="1" t="s">
        <v>59</v>
      </c>
      <c r="M588" s="1" t="str">
        <f t="shared" si="244"/>
        <v>Arjun Bose</v>
      </c>
      <c r="N588" s="1" t="s">
        <v>25</v>
      </c>
      <c r="O588" s="1" t="str">
        <f t="shared" si="245"/>
        <v>Consumer</v>
      </c>
      <c r="P588" s="1" t="s">
        <v>71</v>
      </c>
      <c r="Q588" s="1" t="str">
        <f t="shared" si="246"/>
        <v>West</v>
      </c>
      <c r="R588" s="1" t="str">
        <f t="shared" si="247"/>
        <v>OK</v>
      </c>
      <c r="S588" s="1" t="s">
        <v>27</v>
      </c>
      <c r="T588" s="1" t="str">
        <f t="shared" si="248"/>
        <v>Rajasthan</v>
      </c>
      <c r="U588" s="1" t="s">
        <v>129</v>
      </c>
      <c r="V588" s="1" t="str">
        <f t="shared" si="249"/>
        <v>Udaipur</v>
      </c>
      <c r="W588" s="1" t="s">
        <v>44</v>
      </c>
      <c r="X588" s="1" t="str">
        <f t="shared" si="250"/>
        <v>Furniture</v>
      </c>
      <c r="Y588" s="1" t="s">
        <v>190</v>
      </c>
      <c r="Z588" s="1" t="str">
        <f t="shared" si="251"/>
        <v>Bookcases</v>
      </c>
      <c r="AA588" s="1" t="s">
        <v>907</v>
      </c>
      <c r="AB588" s="1" t="s">
        <v>55</v>
      </c>
      <c r="AC588" s="1" t="str">
        <f t="shared" si="252"/>
        <v>First Class</v>
      </c>
      <c r="AD588" s="1" t="str">
        <f t="shared" si="253"/>
        <v>OK</v>
      </c>
      <c r="AE588" s="1">
        <v>9</v>
      </c>
      <c r="AF588" s="1">
        <v>3318.24</v>
      </c>
      <c r="AG588" s="9"/>
      <c r="AH588" s="9">
        <f t="shared" si="254"/>
        <v>0</v>
      </c>
      <c r="AI588" s="1" t="str">
        <f t="shared" si="255"/>
        <v>Missing Discount</v>
      </c>
      <c r="AJ588" s="1">
        <v>25384.54</v>
      </c>
      <c r="AK588" s="1">
        <v>16872.39</v>
      </c>
      <c r="AL588" s="1">
        <v>8512.15</v>
      </c>
      <c r="AM588" s="13">
        <f t="shared" si="256"/>
        <v>29864.159999999996</v>
      </c>
      <c r="AN588" s="9">
        <f t="shared" si="257"/>
        <v>12991.769999999997</v>
      </c>
      <c r="AO588" s="9">
        <f t="shared" si="266"/>
        <v>0.43502881045373448</v>
      </c>
      <c r="AP588" s="1" t="s">
        <v>33</v>
      </c>
      <c r="AQ588" s="1" t="str">
        <f t="shared" si="258"/>
        <v>Paid</v>
      </c>
      <c r="AR588" s="1" t="str">
        <f t="shared" si="259"/>
        <v>OK</v>
      </c>
      <c r="AS588" s="1" t="s">
        <v>908</v>
      </c>
      <c r="AT588" s="4" t="str">
        <f t="shared" si="260"/>
        <v>Completed</v>
      </c>
      <c r="AU588" s="3" t="str">
        <f t="shared" si="261"/>
        <v>OK</v>
      </c>
      <c r="AV588" s="3" t="str">
        <f t="shared" si="267"/>
        <v>INVALID</v>
      </c>
      <c r="AW588" t="str">
        <f t="shared" si="268"/>
        <v>MISMATCH</v>
      </c>
      <c r="AX588" t="str">
        <f t="shared" si="269"/>
        <v>MISMATCH</v>
      </c>
    </row>
    <row r="589" spans="1:50" ht="15.6" hidden="1">
      <c r="A589" s="1" t="s">
        <v>909</v>
      </c>
      <c r="B589" s="1">
        <f t="shared" si="243"/>
        <v>1</v>
      </c>
      <c r="C589" s="16">
        <v>45767</v>
      </c>
      <c r="D589" s="16">
        <v>45767</v>
      </c>
      <c r="E589" s="16" t="str">
        <f t="shared" si="262"/>
        <v>Apr</v>
      </c>
      <c r="F589" s="1">
        <f t="shared" si="263"/>
        <v>2025</v>
      </c>
      <c r="G589" t="s">
        <v>2466</v>
      </c>
      <c r="H589" s="17">
        <v>45869</v>
      </c>
      <c r="I589" s="21">
        <f t="shared" si="264"/>
        <v>102</v>
      </c>
      <c r="J589" s="6" t="str">
        <f t="shared" si="265"/>
        <v>OK</v>
      </c>
      <c r="K589" s="1" t="s">
        <v>912</v>
      </c>
      <c r="L589" s="1" t="s">
        <v>103</v>
      </c>
      <c r="M589" s="1" t="str">
        <f t="shared" si="244"/>
        <v>Aditi Sen</v>
      </c>
      <c r="N589" s="1" t="s">
        <v>25</v>
      </c>
      <c r="O589" s="1" t="str">
        <f t="shared" si="245"/>
        <v>Consumer</v>
      </c>
      <c r="P589" s="1" t="s">
        <v>60</v>
      </c>
      <c r="Q589" s="1" t="str">
        <f t="shared" si="246"/>
        <v>South</v>
      </c>
      <c r="R589" s="1" t="str">
        <f t="shared" si="247"/>
        <v>OK</v>
      </c>
      <c r="S589" s="1" t="s">
        <v>309</v>
      </c>
      <c r="T589" s="1" t="str">
        <f t="shared" si="248"/>
        <v>Tamil Nadu</v>
      </c>
      <c r="U589" s="1" t="s">
        <v>310</v>
      </c>
      <c r="V589" s="1" t="str">
        <f t="shared" si="249"/>
        <v>Chennai</v>
      </c>
      <c r="W589" s="1" t="s">
        <v>29</v>
      </c>
      <c r="X589" s="1" t="str">
        <f t="shared" si="250"/>
        <v>Office Supplies</v>
      </c>
      <c r="Y589" s="1" t="s">
        <v>148</v>
      </c>
      <c r="Z589" s="1" t="str">
        <f t="shared" si="251"/>
        <v>Storage</v>
      </c>
      <c r="AA589" s="1" t="s">
        <v>913</v>
      </c>
      <c r="AB589" s="1" t="s">
        <v>55</v>
      </c>
      <c r="AC589" s="1" t="str">
        <f t="shared" si="252"/>
        <v>First Class</v>
      </c>
      <c r="AD589" s="1" t="str">
        <f t="shared" si="253"/>
        <v>OK</v>
      </c>
      <c r="AE589" s="1">
        <v>3</v>
      </c>
      <c r="AF589" s="1">
        <v>540.09</v>
      </c>
      <c r="AG589" s="9">
        <v>0.1</v>
      </c>
      <c r="AH589" s="9">
        <f t="shared" si="254"/>
        <v>0.1</v>
      </c>
      <c r="AI589" s="1" t="str">
        <f t="shared" si="255"/>
        <v>OK</v>
      </c>
      <c r="AJ589" s="1">
        <v>1458.24</v>
      </c>
      <c r="AK589" s="1">
        <v>943.32</v>
      </c>
      <c r="AL589" s="1">
        <v>514.91999999999996</v>
      </c>
      <c r="AM589" s="13">
        <f t="shared" si="256"/>
        <v>1458.2429999999999</v>
      </c>
      <c r="AN589" s="9">
        <f t="shared" si="257"/>
        <v>514.92299999999989</v>
      </c>
      <c r="AO589" s="9">
        <f t="shared" si="266"/>
        <v>0.35311192990468659</v>
      </c>
      <c r="AP589" s="1" t="s">
        <v>33</v>
      </c>
      <c r="AQ589" s="1" t="str">
        <f t="shared" si="258"/>
        <v>Paid</v>
      </c>
      <c r="AR589" s="1" t="str">
        <f t="shared" si="259"/>
        <v>OK</v>
      </c>
      <c r="AS589" s="1" t="s">
        <v>34</v>
      </c>
      <c r="AT589" s="4" t="str">
        <f t="shared" si="260"/>
        <v>Completed</v>
      </c>
      <c r="AU589" s="3" t="str">
        <f t="shared" si="261"/>
        <v>OK</v>
      </c>
      <c r="AV589" s="3" t="str">
        <f t="shared" si="267"/>
        <v>CLEAN</v>
      </c>
      <c r="AW589" t="str">
        <f t="shared" si="268"/>
        <v>MATCH</v>
      </c>
      <c r="AX589" t="str">
        <f t="shared" si="269"/>
        <v>MATCH</v>
      </c>
    </row>
    <row r="590" spans="1:50" ht="15.6" hidden="1">
      <c r="A590" s="1" t="s">
        <v>925</v>
      </c>
      <c r="B590" s="1">
        <f t="shared" si="243"/>
        <v>1</v>
      </c>
      <c r="C590" s="16">
        <v>45685</v>
      </c>
      <c r="D590" s="16">
        <v>45685</v>
      </c>
      <c r="E590" s="16" t="str">
        <f t="shared" si="262"/>
        <v>Jan</v>
      </c>
      <c r="F590" s="1">
        <f t="shared" si="263"/>
        <v>2025</v>
      </c>
      <c r="G590" t="s">
        <v>2470</v>
      </c>
      <c r="H590" s="17">
        <v>45731</v>
      </c>
      <c r="I590" s="21">
        <f t="shared" si="264"/>
        <v>46</v>
      </c>
      <c r="J590" s="6" t="str">
        <f t="shared" si="265"/>
        <v>OK</v>
      </c>
      <c r="K590" s="1" t="s">
        <v>927</v>
      </c>
      <c r="L590" s="1" t="s">
        <v>136</v>
      </c>
      <c r="M590" s="1" t="str">
        <f t="shared" si="244"/>
        <v>Priya Menon</v>
      </c>
      <c r="N590" s="1" t="s">
        <v>25</v>
      </c>
      <c r="O590" s="1" t="str">
        <f t="shared" si="245"/>
        <v>Consumer</v>
      </c>
      <c r="P590" s="1" t="s">
        <v>928</v>
      </c>
      <c r="Q590" s="1" t="str">
        <f t="shared" si="246"/>
        <v>West</v>
      </c>
      <c r="R590" s="1" t="str">
        <f t="shared" si="247"/>
        <v>OK</v>
      </c>
      <c r="S590" s="1" t="s">
        <v>72</v>
      </c>
      <c r="T590" s="1" t="str">
        <f t="shared" si="248"/>
        <v>Maharashtra</v>
      </c>
      <c r="U590" s="1" t="s">
        <v>73</v>
      </c>
      <c r="V590" s="1" t="str">
        <f t="shared" si="249"/>
        <v>Mumbai</v>
      </c>
      <c r="W590" s="1" t="s">
        <v>44</v>
      </c>
      <c r="X590" s="1" t="str">
        <f t="shared" si="250"/>
        <v>Furniture</v>
      </c>
      <c r="Y590" s="1" t="s">
        <v>63</v>
      </c>
      <c r="Z590" s="1" t="str">
        <f t="shared" si="251"/>
        <v>Furnishings</v>
      </c>
      <c r="AA590" s="1" t="s">
        <v>929</v>
      </c>
      <c r="AB590" s="1" t="s">
        <v>55</v>
      </c>
      <c r="AC590" s="1" t="str">
        <f t="shared" si="252"/>
        <v>First Class</v>
      </c>
      <c r="AD590" s="1" t="str">
        <f t="shared" si="253"/>
        <v>OK</v>
      </c>
      <c r="AE590" s="1">
        <v>9</v>
      </c>
      <c r="AF590" s="1">
        <v>858.39</v>
      </c>
      <c r="AG590" s="9">
        <v>0.05</v>
      </c>
      <c r="AH590" s="9">
        <f t="shared" si="254"/>
        <v>0.05</v>
      </c>
      <c r="AI590" s="1" t="str">
        <f t="shared" si="255"/>
        <v>OK</v>
      </c>
      <c r="AJ590" s="1">
        <v>7339.23</v>
      </c>
      <c r="AK590" s="1">
        <v>5434.12</v>
      </c>
      <c r="AL590" s="1">
        <v>1905.11</v>
      </c>
      <c r="AM590" s="13">
        <f t="shared" si="256"/>
        <v>7339.2344999999996</v>
      </c>
      <c r="AN590" s="9">
        <f t="shared" si="257"/>
        <v>1905.1144999999997</v>
      </c>
      <c r="AO590" s="9">
        <f t="shared" si="266"/>
        <v>0.25957945614082772</v>
      </c>
      <c r="AP590" s="1" t="s">
        <v>131</v>
      </c>
      <c r="AQ590" s="1" t="str">
        <f t="shared" si="258"/>
        <v>Pending</v>
      </c>
      <c r="AR590" s="1" t="str">
        <f t="shared" si="259"/>
        <v>OK</v>
      </c>
      <c r="AS590" s="1" t="s">
        <v>120</v>
      </c>
      <c r="AT590" s="4" t="str">
        <f t="shared" si="260"/>
        <v>Returned</v>
      </c>
      <c r="AU590" s="3" t="str">
        <f t="shared" si="261"/>
        <v>RETURNED_ORDER</v>
      </c>
      <c r="AV590" s="3" t="str">
        <f t="shared" si="267"/>
        <v>CLEAN</v>
      </c>
      <c r="AW590" t="str">
        <f t="shared" si="268"/>
        <v>MATCH</v>
      </c>
      <c r="AX590" t="str">
        <f t="shared" si="269"/>
        <v>MATCH</v>
      </c>
    </row>
    <row r="591" spans="1:50" ht="15.6">
      <c r="A591" s="1" t="s">
        <v>930</v>
      </c>
      <c r="B591" s="1">
        <f t="shared" si="243"/>
        <v>1</v>
      </c>
      <c r="C591" s="16">
        <v>45860</v>
      </c>
      <c r="D591" s="16">
        <v>45860</v>
      </c>
      <c r="E591" s="16" t="str">
        <f t="shared" si="262"/>
        <v>Jul</v>
      </c>
      <c r="F591" s="1">
        <f t="shared" si="263"/>
        <v>2025</v>
      </c>
      <c r="G591" t="s">
        <v>2475</v>
      </c>
      <c r="H591" s="17">
        <v>45638</v>
      </c>
      <c r="I591" s="21">
        <f t="shared" si="264"/>
        <v>-222</v>
      </c>
      <c r="J591" s="6" t="str">
        <f t="shared" si="265"/>
        <v>INVALID_SHIPPING</v>
      </c>
      <c r="K591" s="1" t="s">
        <v>932</v>
      </c>
      <c r="L591" s="1" t="s">
        <v>90</v>
      </c>
      <c r="M591" s="1" t="str">
        <f t="shared" si="244"/>
        <v>Neha Gupta</v>
      </c>
      <c r="N591" s="1" t="s">
        <v>110</v>
      </c>
      <c r="O591" s="1" t="str">
        <f t="shared" si="245"/>
        <v>Home Office</v>
      </c>
      <c r="P591" s="1" t="s">
        <v>60</v>
      </c>
      <c r="Q591" s="1" t="str">
        <f t="shared" si="246"/>
        <v>South</v>
      </c>
      <c r="R591" s="1" t="str">
        <f t="shared" si="247"/>
        <v>OK</v>
      </c>
      <c r="S591" s="1" t="s">
        <v>97</v>
      </c>
      <c r="T591" s="1" t="str">
        <f t="shared" si="248"/>
        <v>Andhra Pradesh</v>
      </c>
      <c r="U591" s="1" t="s">
        <v>98</v>
      </c>
      <c r="V591" s="1" t="str">
        <f t="shared" si="249"/>
        <v>Vijayawada</v>
      </c>
      <c r="W591" s="1" t="s">
        <v>44</v>
      </c>
      <c r="X591" s="1" t="str">
        <f t="shared" si="250"/>
        <v>Furniture</v>
      </c>
      <c r="Y591" s="1" t="s">
        <v>63</v>
      </c>
      <c r="Z591" s="1" t="str">
        <f t="shared" si="251"/>
        <v>Furnishings</v>
      </c>
      <c r="AA591" s="1" t="s">
        <v>933</v>
      </c>
      <c r="AB591" s="1" t="s">
        <v>47</v>
      </c>
      <c r="AC591" s="1" t="str">
        <f t="shared" si="252"/>
        <v>Same Day</v>
      </c>
      <c r="AD591" s="1" t="str">
        <f t="shared" si="253"/>
        <v>OK</v>
      </c>
      <c r="AE591" s="1">
        <v>5</v>
      </c>
      <c r="AF591" s="1">
        <v>1922.83</v>
      </c>
      <c r="AG591" s="9">
        <v>0</v>
      </c>
      <c r="AH591" s="9">
        <f t="shared" si="254"/>
        <v>0</v>
      </c>
      <c r="AI591" s="1" t="str">
        <f t="shared" si="255"/>
        <v>OK</v>
      </c>
      <c r="AJ591" s="1">
        <v>9614.15</v>
      </c>
      <c r="AK591" s="1">
        <v>7576.84</v>
      </c>
      <c r="AL591" s="1">
        <v>2037.31</v>
      </c>
      <c r="AM591" s="13">
        <f t="shared" si="256"/>
        <v>9614.15</v>
      </c>
      <c r="AN591" s="9">
        <f t="shared" si="257"/>
        <v>2037.3099999999995</v>
      </c>
      <c r="AO591" s="9">
        <f t="shared" si="266"/>
        <v>0.21190744891644084</v>
      </c>
      <c r="AP591" s="1" t="s">
        <v>33</v>
      </c>
      <c r="AQ591" s="1" t="str">
        <f t="shared" si="258"/>
        <v>Paid</v>
      </c>
      <c r="AR591" s="1" t="str">
        <f t="shared" si="259"/>
        <v>OK</v>
      </c>
      <c r="AS591" s="1" t="s">
        <v>34</v>
      </c>
      <c r="AT591" s="4" t="str">
        <f t="shared" si="260"/>
        <v>Completed</v>
      </c>
      <c r="AU591" s="3" t="str">
        <f t="shared" si="261"/>
        <v>OK</v>
      </c>
      <c r="AV591" s="3" t="str">
        <f t="shared" si="267"/>
        <v>INVALID</v>
      </c>
      <c r="AW591" t="str">
        <f t="shared" si="268"/>
        <v>MATCH</v>
      </c>
      <c r="AX591" t="str">
        <f t="shared" si="269"/>
        <v>MATCH</v>
      </c>
    </row>
    <row r="592" spans="1:50" ht="15.6">
      <c r="A592" s="1" t="s">
        <v>939</v>
      </c>
      <c r="B592" s="1">
        <f t="shared" si="243"/>
        <v>1</v>
      </c>
      <c r="C592" s="16">
        <v>45747</v>
      </c>
      <c r="D592" s="16">
        <v>45747</v>
      </c>
      <c r="E592" s="16" t="str">
        <f t="shared" si="262"/>
        <v>Mar</v>
      </c>
      <c r="F592" s="1">
        <f t="shared" si="263"/>
        <v>2025</v>
      </c>
      <c r="G592" t="s">
        <v>2479</v>
      </c>
      <c r="H592" s="17">
        <v>45441</v>
      </c>
      <c r="I592" s="21">
        <f t="shared" si="264"/>
        <v>-306</v>
      </c>
      <c r="J592" s="6" t="str">
        <f t="shared" si="265"/>
        <v>INVALID_SHIPPING</v>
      </c>
      <c r="K592" s="1" t="s">
        <v>507</v>
      </c>
      <c r="L592" s="1" t="s">
        <v>141</v>
      </c>
      <c r="M592" s="1" t="str">
        <f t="shared" si="244"/>
        <v>Rahul Verma</v>
      </c>
      <c r="N592" s="1" t="s">
        <v>625</v>
      </c>
      <c r="O592" s="1" t="str">
        <f t="shared" si="245"/>
        <v>Small Business</v>
      </c>
      <c r="P592" s="1" t="s">
        <v>41</v>
      </c>
      <c r="Q592" s="1" t="str">
        <f t="shared" si="246"/>
        <v>East</v>
      </c>
      <c r="R592" s="1" t="str">
        <f t="shared" si="247"/>
        <v>OK</v>
      </c>
      <c r="S592" s="1" t="s">
        <v>174</v>
      </c>
      <c r="T592" s="1" t="str">
        <f t="shared" si="248"/>
        <v>Bihar</v>
      </c>
      <c r="U592" s="1" t="s">
        <v>175</v>
      </c>
      <c r="V592" s="1" t="str">
        <f t="shared" si="249"/>
        <v>Patna</v>
      </c>
      <c r="W592" s="1" t="s">
        <v>29</v>
      </c>
      <c r="X592" s="1" t="str">
        <f t="shared" si="250"/>
        <v>Office Supplies</v>
      </c>
      <c r="Y592" s="1" t="s">
        <v>148</v>
      </c>
      <c r="Z592" s="1" t="str">
        <f t="shared" si="251"/>
        <v>Storage</v>
      </c>
      <c r="AA592" s="1" t="s">
        <v>941</v>
      </c>
      <c r="AB592" s="1" t="s">
        <v>32</v>
      </c>
      <c r="AC592" s="1" t="str">
        <f t="shared" si="252"/>
        <v>Second Class</v>
      </c>
      <c r="AD592" s="1" t="str">
        <f t="shared" si="253"/>
        <v>OK</v>
      </c>
      <c r="AE592" s="1">
        <v>5</v>
      </c>
      <c r="AF592" s="1">
        <v>4096.4399999999996</v>
      </c>
      <c r="AG592" s="9">
        <v>0.15</v>
      </c>
      <c r="AH592" s="9">
        <f t="shared" si="254"/>
        <v>0.15</v>
      </c>
      <c r="AI592" s="1" t="str">
        <f t="shared" si="255"/>
        <v>OK</v>
      </c>
      <c r="AJ592" s="1">
        <v>17409.87</v>
      </c>
      <c r="AK592" s="1">
        <v>14076.25</v>
      </c>
      <c r="AL592" s="1">
        <v>3333.62</v>
      </c>
      <c r="AM592" s="13">
        <f t="shared" si="256"/>
        <v>17409.869999999995</v>
      </c>
      <c r="AN592" s="9">
        <f t="shared" si="257"/>
        <v>3333.6199999999953</v>
      </c>
      <c r="AO592" s="9">
        <f t="shared" si="266"/>
        <v>0.19147874165631312</v>
      </c>
      <c r="AP592" s="1" t="s">
        <v>33</v>
      </c>
      <c r="AQ592" s="1" t="str">
        <f t="shared" si="258"/>
        <v>Paid</v>
      </c>
      <c r="AR592" s="1" t="str">
        <f t="shared" si="259"/>
        <v>OK</v>
      </c>
      <c r="AS592" s="1" t="s">
        <v>34</v>
      </c>
      <c r="AT592" s="4" t="str">
        <f t="shared" si="260"/>
        <v>Completed</v>
      </c>
      <c r="AU592" s="3" t="str">
        <f t="shared" si="261"/>
        <v>OK</v>
      </c>
      <c r="AV592" s="3" t="str">
        <f t="shared" si="267"/>
        <v>INVALID</v>
      </c>
      <c r="AW592" t="str">
        <f t="shared" si="268"/>
        <v>MATCH</v>
      </c>
      <c r="AX592" t="str">
        <f t="shared" si="269"/>
        <v>MATCH</v>
      </c>
    </row>
    <row r="593" spans="1:50" ht="15.6">
      <c r="A593" s="1" t="s">
        <v>950</v>
      </c>
      <c r="B593" s="1">
        <f t="shared" si="243"/>
        <v>1</v>
      </c>
      <c r="C593" s="16">
        <v>45835</v>
      </c>
      <c r="D593" s="16">
        <v>45835</v>
      </c>
      <c r="E593" s="16" t="str">
        <f t="shared" si="262"/>
        <v>Jun</v>
      </c>
      <c r="F593" s="1">
        <f t="shared" si="263"/>
        <v>2025</v>
      </c>
      <c r="G593" t="s">
        <v>2484</v>
      </c>
      <c r="H593" s="17">
        <v>45346</v>
      </c>
      <c r="I593" s="21">
        <f t="shared" si="264"/>
        <v>-489</v>
      </c>
      <c r="J593" s="6" t="str">
        <f t="shared" si="265"/>
        <v>INVALID_SHIPPING</v>
      </c>
      <c r="K593" s="1" t="s">
        <v>952</v>
      </c>
      <c r="L593" s="1" t="s">
        <v>136</v>
      </c>
      <c r="M593" s="1" t="str">
        <f t="shared" si="244"/>
        <v>Priya Menon</v>
      </c>
      <c r="N593" s="1" t="s">
        <v>40</v>
      </c>
      <c r="O593" s="1" t="str">
        <f t="shared" si="245"/>
        <v>Small Business</v>
      </c>
      <c r="P593" s="1" t="s">
        <v>26</v>
      </c>
      <c r="Q593" s="1" t="str">
        <f t="shared" si="246"/>
        <v>North</v>
      </c>
      <c r="R593" s="1" t="str">
        <f t="shared" si="247"/>
        <v>OK</v>
      </c>
      <c r="S593" s="1" t="s">
        <v>27</v>
      </c>
      <c r="T593" s="1" t="str">
        <f t="shared" si="248"/>
        <v>Rajasthan</v>
      </c>
      <c r="U593" s="1" t="s">
        <v>28</v>
      </c>
      <c r="V593" s="1" t="str">
        <f t="shared" si="249"/>
        <v>Jaipur</v>
      </c>
      <c r="W593" s="1" t="s">
        <v>83</v>
      </c>
      <c r="X593" s="1" t="str">
        <f t="shared" si="250"/>
        <v>Technology</v>
      </c>
      <c r="Y593" s="1" t="s">
        <v>91</v>
      </c>
      <c r="Z593" s="1" t="str">
        <f t="shared" si="251"/>
        <v>Copiers</v>
      </c>
      <c r="AA593" s="1" t="s">
        <v>953</v>
      </c>
      <c r="AB593" s="1" t="s">
        <v>55</v>
      </c>
      <c r="AC593" s="1" t="str">
        <f t="shared" si="252"/>
        <v>First Class</v>
      </c>
      <c r="AD593" s="1" t="str">
        <f t="shared" si="253"/>
        <v>OK</v>
      </c>
      <c r="AE593" s="1">
        <v>5</v>
      </c>
      <c r="AF593" s="1">
        <v>2868.44</v>
      </c>
      <c r="AG593" s="9">
        <v>0.1</v>
      </c>
      <c r="AH593" s="9">
        <f t="shared" si="254"/>
        <v>0.1</v>
      </c>
      <c r="AI593" s="1" t="str">
        <f t="shared" si="255"/>
        <v>OK</v>
      </c>
      <c r="AJ593" s="1">
        <v>12907.98</v>
      </c>
      <c r="AK593" s="1">
        <v>9197.08</v>
      </c>
      <c r="AL593" s="1">
        <v>3710.9</v>
      </c>
      <c r="AM593" s="13">
        <f t="shared" si="256"/>
        <v>12907.980000000001</v>
      </c>
      <c r="AN593" s="9">
        <f t="shared" si="257"/>
        <v>3710.9000000000015</v>
      </c>
      <c r="AO593" s="9">
        <f t="shared" si="266"/>
        <v>0.28748882474252369</v>
      </c>
      <c r="AP593" s="1" t="s">
        <v>131</v>
      </c>
      <c r="AQ593" s="1" t="str">
        <f t="shared" si="258"/>
        <v>Pending</v>
      </c>
      <c r="AR593" s="1" t="str">
        <f t="shared" si="259"/>
        <v>OK</v>
      </c>
      <c r="AS593" s="1" t="s">
        <v>76</v>
      </c>
      <c r="AT593" s="4" t="str">
        <f t="shared" si="260"/>
        <v>Cancelled</v>
      </c>
      <c r="AU593" s="3" t="str">
        <f t="shared" si="261"/>
        <v>EXCLUDE_FROM_SALES</v>
      </c>
      <c r="AV593" s="3" t="str">
        <f t="shared" si="267"/>
        <v>INVALID</v>
      </c>
      <c r="AW593" t="str">
        <f t="shared" si="268"/>
        <v>MATCH</v>
      </c>
      <c r="AX593" t="str">
        <f t="shared" si="269"/>
        <v>MATCH</v>
      </c>
    </row>
    <row r="594" spans="1:50" ht="15.6">
      <c r="A594" s="1" t="s">
        <v>954</v>
      </c>
      <c r="B594" s="1">
        <f t="shared" si="243"/>
        <v>1</v>
      </c>
      <c r="C594" s="16">
        <v>45864</v>
      </c>
      <c r="D594" s="16">
        <v>45864</v>
      </c>
      <c r="E594" s="16" t="str">
        <f t="shared" si="262"/>
        <v>Jul</v>
      </c>
      <c r="F594" s="1">
        <f t="shared" si="263"/>
        <v>2025</v>
      </c>
      <c r="G594" t="s">
        <v>795</v>
      </c>
      <c r="H594" s="17">
        <v>45360</v>
      </c>
      <c r="I594" s="21">
        <f t="shared" si="264"/>
        <v>-504</v>
      </c>
      <c r="J594" s="6" t="str">
        <f t="shared" si="265"/>
        <v>INVALID_SHIPPING</v>
      </c>
      <c r="K594" s="1" t="s">
        <v>956</v>
      </c>
      <c r="L594" s="1" t="s">
        <v>80</v>
      </c>
      <c r="M594" s="1" t="str">
        <f t="shared" si="244"/>
        <v>Vikram Iyer</v>
      </c>
      <c r="N594" s="1" t="s">
        <v>25</v>
      </c>
      <c r="O594" s="1" t="str">
        <f t="shared" si="245"/>
        <v>Consumer</v>
      </c>
      <c r="P594" s="1" t="s">
        <v>71</v>
      </c>
      <c r="Q594" s="1" t="str">
        <f t="shared" si="246"/>
        <v>West</v>
      </c>
      <c r="R594" s="1" t="str">
        <f t="shared" si="247"/>
        <v>OK</v>
      </c>
      <c r="S594" s="1" t="s">
        <v>81</v>
      </c>
      <c r="T594" s="1" t="str">
        <f t="shared" si="248"/>
        <v>Madhya Pradesh</v>
      </c>
      <c r="U594" s="1" t="s">
        <v>82</v>
      </c>
      <c r="V594" s="1" t="str">
        <f t="shared" si="249"/>
        <v>Indore</v>
      </c>
      <c r="W594" s="1" t="s">
        <v>29</v>
      </c>
      <c r="X594" s="1" t="str">
        <f t="shared" si="250"/>
        <v>Office Supplies</v>
      </c>
      <c r="Y594" s="1" t="s">
        <v>105</v>
      </c>
      <c r="Z594" s="1" t="str">
        <f t="shared" si="251"/>
        <v>Labels</v>
      </c>
      <c r="AA594" s="1" t="s">
        <v>957</v>
      </c>
      <c r="AB594" s="1" t="s">
        <v>32</v>
      </c>
      <c r="AC594" s="1" t="str">
        <f t="shared" si="252"/>
        <v>Second Class</v>
      </c>
      <c r="AD594" s="1" t="str">
        <f t="shared" si="253"/>
        <v>OK</v>
      </c>
      <c r="AE594" s="1">
        <v>2</v>
      </c>
      <c r="AF594" s="1">
        <v>2503.5300000000002</v>
      </c>
      <c r="AG594" s="9">
        <v>-0.16</v>
      </c>
      <c r="AH594" s="9">
        <f t="shared" si="254"/>
        <v>-0.16</v>
      </c>
      <c r="AI594" s="1" t="str">
        <f t="shared" si="255"/>
        <v>Invalid Negative Discount</v>
      </c>
      <c r="AJ594" s="1">
        <v>4756.71</v>
      </c>
      <c r="AK594" s="1">
        <v>2954.86</v>
      </c>
      <c r="AL594" s="1">
        <v>1801.85</v>
      </c>
      <c r="AM594" s="13" t="str">
        <f t="shared" si="256"/>
        <v>INVALID</v>
      </c>
      <c r="AN594" s="9" t="str">
        <f t="shared" si="257"/>
        <v>INVALID</v>
      </c>
      <c r="AO594" s="9" t="str">
        <f t="shared" si="266"/>
        <v/>
      </c>
      <c r="AP594" s="1" t="s">
        <v>119</v>
      </c>
      <c r="AQ594" s="1" t="str">
        <f t="shared" si="258"/>
        <v>Refunded</v>
      </c>
      <c r="AR594" s="1" t="str">
        <f t="shared" si="259"/>
        <v>REFUNDED_PAYMENT</v>
      </c>
      <c r="AS594" s="1" t="s">
        <v>76</v>
      </c>
      <c r="AT594" s="4" t="str">
        <f t="shared" si="260"/>
        <v>Cancelled</v>
      </c>
      <c r="AU594" s="3" t="str">
        <f t="shared" si="261"/>
        <v>EXCLUDE_FROM_SALES</v>
      </c>
      <c r="AV594" s="3" t="str">
        <f t="shared" si="267"/>
        <v>INVALID</v>
      </c>
      <c r="AW594" t="str">
        <f t="shared" si="268"/>
        <v>INVALID</v>
      </c>
      <c r="AX594" t="str">
        <f t="shared" si="269"/>
        <v>INVALID</v>
      </c>
    </row>
    <row r="595" spans="1:50" ht="15.6" hidden="1">
      <c r="A595" s="1" t="s">
        <v>958</v>
      </c>
      <c r="B595" s="1">
        <f t="shared" si="243"/>
        <v>1</v>
      </c>
      <c r="C595" s="16">
        <v>45744</v>
      </c>
      <c r="D595" s="16">
        <v>45744</v>
      </c>
      <c r="E595" s="16" t="str">
        <f t="shared" si="262"/>
        <v>Mar</v>
      </c>
      <c r="F595" s="1">
        <f t="shared" si="263"/>
        <v>2025</v>
      </c>
      <c r="G595" t="s">
        <v>2491</v>
      </c>
      <c r="H595" s="17">
        <v>45929</v>
      </c>
      <c r="I595" s="21">
        <f t="shared" si="264"/>
        <v>185</v>
      </c>
      <c r="J595" s="6" t="str">
        <f t="shared" si="265"/>
        <v>OK</v>
      </c>
      <c r="K595" s="1" t="s">
        <v>960</v>
      </c>
      <c r="L595" s="1" t="s">
        <v>158</v>
      </c>
      <c r="M595" s="1" t="str">
        <f t="shared" si="244"/>
        <v>Sneha Kapoor</v>
      </c>
      <c r="N595" s="1" t="s">
        <v>104</v>
      </c>
      <c r="O595" s="1" t="str">
        <f t="shared" si="245"/>
        <v>Corporate</v>
      </c>
      <c r="P595" s="1" t="s">
        <v>71</v>
      </c>
      <c r="Q595" s="1" t="str">
        <f t="shared" si="246"/>
        <v>West</v>
      </c>
      <c r="R595" s="1" t="str">
        <f t="shared" si="247"/>
        <v>OK</v>
      </c>
      <c r="S595" s="1" t="s">
        <v>230</v>
      </c>
      <c r="T595" s="1" t="str">
        <f t="shared" si="248"/>
        <v>Goa</v>
      </c>
      <c r="U595" s="1" t="s">
        <v>231</v>
      </c>
      <c r="V595" s="1" t="str">
        <f t="shared" si="249"/>
        <v>Panaji</v>
      </c>
      <c r="W595" s="1" t="s">
        <v>83</v>
      </c>
      <c r="X595" s="1" t="str">
        <f t="shared" si="250"/>
        <v>Technology</v>
      </c>
      <c r="Y595" s="1" t="s">
        <v>84</v>
      </c>
      <c r="Z595" s="1" t="str">
        <f t="shared" si="251"/>
        <v>Accessories</v>
      </c>
      <c r="AA595" s="1" t="s">
        <v>961</v>
      </c>
      <c r="AB595" s="1" t="s">
        <v>65</v>
      </c>
      <c r="AC595" s="1" t="str">
        <f t="shared" si="252"/>
        <v>Standard Class</v>
      </c>
      <c r="AD595" s="1" t="str">
        <f t="shared" si="253"/>
        <v>OK</v>
      </c>
      <c r="AE595" s="1">
        <v>8</v>
      </c>
      <c r="AF595" s="1">
        <v>1740.94</v>
      </c>
      <c r="AG595" s="9">
        <v>0.05</v>
      </c>
      <c r="AH595" s="9">
        <f t="shared" si="254"/>
        <v>0.05</v>
      </c>
      <c r="AI595" s="1" t="str">
        <f t="shared" si="255"/>
        <v>OK</v>
      </c>
      <c r="AJ595" s="1">
        <v>13231.14</v>
      </c>
      <c r="AK595" s="1">
        <v>11290.06</v>
      </c>
      <c r="AL595" s="1">
        <v>1941.08</v>
      </c>
      <c r="AM595" s="13">
        <f t="shared" si="256"/>
        <v>13231.144</v>
      </c>
      <c r="AN595" s="9">
        <f t="shared" si="257"/>
        <v>1941.0840000000007</v>
      </c>
      <c r="AO595" s="9">
        <f t="shared" si="266"/>
        <v>0.14670568168557463</v>
      </c>
      <c r="AP595" s="1" t="s">
        <v>33</v>
      </c>
      <c r="AQ595" s="1" t="str">
        <f t="shared" si="258"/>
        <v>Paid</v>
      </c>
      <c r="AR595" s="1" t="str">
        <f t="shared" si="259"/>
        <v>OK</v>
      </c>
      <c r="AS595" s="1" t="s">
        <v>34</v>
      </c>
      <c r="AT595" s="4" t="str">
        <f t="shared" si="260"/>
        <v>Completed</v>
      </c>
      <c r="AU595" s="3" t="str">
        <f t="shared" si="261"/>
        <v>OK</v>
      </c>
      <c r="AV595" s="3" t="str">
        <f t="shared" si="267"/>
        <v>CLEAN</v>
      </c>
      <c r="AW595" t="str">
        <f t="shared" si="268"/>
        <v>MATCH</v>
      </c>
      <c r="AX595" t="str">
        <f t="shared" si="269"/>
        <v>MATCH</v>
      </c>
    </row>
    <row r="596" spans="1:50" ht="15.6">
      <c r="A596" s="1" t="s">
        <v>966</v>
      </c>
      <c r="B596" s="1">
        <f t="shared" si="243"/>
        <v>1</v>
      </c>
      <c r="C596" s="16">
        <v>45858</v>
      </c>
      <c r="D596" s="16">
        <v>45858</v>
      </c>
      <c r="E596" s="16" t="str">
        <f t="shared" si="262"/>
        <v>Jul</v>
      </c>
      <c r="F596" s="1">
        <f t="shared" si="263"/>
        <v>2025</v>
      </c>
      <c r="G596" t="s">
        <v>1002</v>
      </c>
      <c r="H596" s="17">
        <v>45556</v>
      </c>
      <c r="I596" s="21">
        <f t="shared" si="264"/>
        <v>-302</v>
      </c>
      <c r="J596" s="6" t="str">
        <f t="shared" si="265"/>
        <v>INVALID_SHIPPING</v>
      </c>
      <c r="K596" s="1" t="s">
        <v>968</v>
      </c>
      <c r="L596" s="1" t="s">
        <v>39</v>
      </c>
      <c r="M596" s="1" t="str">
        <f t="shared" si="244"/>
        <v>Mira Das</v>
      </c>
      <c r="N596" s="1" t="s">
        <v>110</v>
      </c>
      <c r="O596" s="1" t="str">
        <f t="shared" si="245"/>
        <v>Home Office</v>
      </c>
      <c r="P596" s="1" t="s">
        <v>41</v>
      </c>
      <c r="Q596" s="1" t="str">
        <f t="shared" si="246"/>
        <v>East</v>
      </c>
      <c r="R596" s="1" t="str">
        <f t="shared" si="247"/>
        <v>OK</v>
      </c>
      <c r="S596" s="1" t="s">
        <v>116</v>
      </c>
      <c r="T596" s="1" t="str">
        <f t="shared" si="248"/>
        <v>West Bengal</v>
      </c>
      <c r="U596" s="1" t="s">
        <v>117</v>
      </c>
      <c r="V596" s="1" t="str">
        <f t="shared" si="249"/>
        <v>Kolkata</v>
      </c>
      <c r="W596" s="1" t="s">
        <v>44</v>
      </c>
      <c r="X596" s="1" t="str">
        <f t="shared" si="250"/>
        <v>Furniture</v>
      </c>
      <c r="Y596" s="1" t="s">
        <v>45</v>
      </c>
      <c r="Z596" s="1" t="str">
        <f t="shared" si="251"/>
        <v>Tables</v>
      </c>
      <c r="AA596" s="1" t="s">
        <v>969</v>
      </c>
      <c r="AB596" s="1" t="s">
        <v>32</v>
      </c>
      <c r="AC596" s="1" t="str">
        <f t="shared" si="252"/>
        <v>Second Class</v>
      </c>
      <c r="AD596" s="1" t="str">
        <f t="shared" si="253"/>
        <v>OK</v>
      </c>
      <c r="AE596" s="1">
        <v>4</v>
      </c>
      <c r="AF596" s="1">
        <v>477.69</v>
      </c>
      <c r="AG596" s="9">
        <v>0.15</v>
      </c>
      <c r="AH596" s="9">
        <f t="shared" si="254"/>
        <v>0.15</v>
      </c>
      <c r="AI596" s="1" t="str">
        <f t="shared" si="255"/>
        <v>OK</v>
      </c>
      <c r="AJ596" s="1">
        <v>1624.15</v>
      </c>
      <c r="AK596" s="1">
        <v>1217.99</v>
      </c>
      <c r="AL596" s="1">
        <v>406.16</v>
      </c>
      <c r="AM596" s="13">
        <f t="shared" si="256"/>
        <v>1624.146</v>
      </c>
      <c r="AN596" s="9">
        <f t="shared" si="257"/>
        <v>406.15599999999995</v>
      </c>
      <c r="AO596" s="9">
        <f t="shared" si="266"/>
        <v>0.25007357712914968</v>
      </c>
      <c r="AP596" s="1" t="s">
        <v>33</v>
      </c>
      <c r="AQ596" s="1" t="str">
        <f t="shared" si="258"/>
        <v>Paid</v>
      </c>
      <c r="AR596" s="1" t="str">
        <f t="shared" si="259"/>
        <v>OK</v>
      </c>
      <c r="AS596" s="1" t="s">
        <v>34</v>
      </c>
      <c r="AT596" s="4" t="str">
        <f t="shared" si="260"/>
        <v>Completed</v>
      </c>
      <c r="AU596" s="3" t="str">
        <f t="shared" si="261"/>
        <v>OK</v>
      </c>
      <c r="AV596" s="3" t="str">
        <f t="shared" si="267"/>
        <v>INVALID</v>
      </c>
      <c r="AW596" t="str">
        <f t="shared" si="268"/>
        <v>MATCH</v>
      </c>
      <c r="AX596" t="str">
        <f t="shared" si="269"/>
        <v>MATCH</v>
      </c>
    </row>
    <row r="597" spans="1:50" ht="15.6">
      <c r="A597" s="1" t="s">
        <v>970</v>
      </c>
      <c r="B597" s="1">
        <f t="shared" si="243"/>
        <v>1</v>
      </c>
      <c r="C597" s="16">
        <v>45768</v>
      </c>
      <c r="D597" s="16">
        <v>45768</v>
      </c>
      <c r="E597" s="16" t="str">
        <f t="shared" si="262"/>
        <v>Apr</v>
      </c>
      <c r="F597" s="1">
        <f t="shared" si="263"/>
        <v>2025</v>
      </c>
      <c r="G597" t="s">
        <v>2497</v>
      </c>
      <c r="H597" s="17">
        <v>45704</v>
      </c>
      <c r="I597" s="21">
        <f t="shared" si="264"/>
        <v>-64</v>
      </c>
      <c r="J597" s="6" t="str">
        <f t="shared" si="265"/>
        <v>INVALID_SHIPPING</v>
      </c>
      <c r="K597" s="1" t="s">
        <v>972</v>
      </c>
      <c r="L597" s="1" t="s">
        <v>70</v>
      </c>
      <c r="M597" s="1" t="str">
        <f t="shared" si="244"/>
        <v>Ananya Rao</v>
      </c>
      <c r="N597" s="1" t="s">
        <v>25</v>
      </c>
      <c r="O597" s="1" t="str">
        <f t="shared" si="245"/>
        <v>Consumer</v>
      </c>
      <c r="P597" s="1" t="s">
        <v>71</v>
      </c>
      <c r="Q597" s="1" t="str">
        <f t="shared" si="246"/>
        <v>West</v>
      </c>
      <c r="R597" s="1" t="str">
        <f t="shared" si="247"/>
        <v>OK</v>
      </c>
      <c r="S597" s="1" t="s">
        <v>72</v>
      </c>
      <c r="T597" s="1" t="str">
        <f t="shared" si="248"/>
        <v>Maharashtra</v>
      </c>
      <c r="U597" s="1" t="s">
        <v>73</v>
      </c>
      <c r="V597" s="1" t="str">
        <f t="shared" si="249"/>
        <v>Mumbai</v>
      </c>
      <c r="W597" s="1" t="s">
        <v>813</v>
      </c>
      <c r="X597" s="1" t="str">
        <f t="shared" si="250"/>
        <v>Office Supplies</v>
      </c>
      <c r="Y597" s="1" t="s">
        <v>105</v>
      </c>
      <c r="Z597" s="1" t="str">
        <f t="shared" si="251"/>
        <v>Labels</v>
      </c>
      <c r="AA597" s="1" t="s">
        <v>973</v>
      </c>
      <c r="AB597" s="1" t="s">
        <v>47</v>
      </c>
      <c r="AC597" s="1" t="str">
        <f t="shared" si="252"/>
        <v>Same Day</v>
      </c>
      <c r="AD597" s="1" t="str">
        <f t="shared" si="253"/>
        <v>OK</v>
      </c>
      <c r="AE597" s="1">
        <v>6</v>
      </c>
      <c r="AF597" s="1">
        <v>873.59</v>
      </c>
      <c r="AG597" s="9">
        <v>0.2</v>
      </c>
      <c r="AH597" s="9">
        <f t="shared" si="254"/>
        <v>0.2</v>
      </c>
      <c r="AI597" s="1" t="str">
        <f t="shared" si="255"/>
        <v>OK</v>
      </c>
      <c r="AJ597" s="1">
        <v>4193.2299999999996</v>
      </c>
      <c r="AK597" s="1">
        <v>3329.99</v>
      </c>
      <c r="AL597" s="1">
        <v>863.24</v>
      </c>
      <c r="AM597" s="13">
        <f t="shared" si="256"/>
        <v>4193.232</v>
      </c>
      <c r="AN597" s="9">
        <f t="shared" si="257"/>
        <v>863.24200000000019</v>
      </c>
      <c r="AO597" s="9">
        <f t="shared" si="266"/>
        <v>0.2058655471483572</v>
      </c>
      <c r="AP597" s="1" t="s">
        <v>33</v>
      </c>
      <c r="AQ597" s="1" t="str">
        <f t="shared" si="258"/>
        <v>Paid</v>
      </c>
      <c r="AR597" s="1" t="str">
        <f t="shared" si="259"/>
        <v>OK</v>
      </c>
      <c r="AS597" s="1" t="s">
        <v>34</v>
      </c>
      <c r="AT597" s="4" t="str">
        <f t="shared" si="260"/>
        <v>Completed</v>
      </c>
      <c r="AU597" s="3" t="str">
        <f t="shared" si="261"/>
        <v>OK</v>
      </c>
      <c r="AV597" s="3" t="str">
        <f t="shared" si="267"/>
        <v>INVALID</v>
      </c>
      <c r="AW597" t="str">
        <f t="shared" si="268"/>
        <v>MATCH</v>
      </c>
      <c r="AX597" t="str">
        <f t="shared" si="269"/>
        <v>MATCH</v>
      </c>
    </row>
    <row r="598" spans="1:50" ht="15.6">
      <c r="A598" s="1" t="s">
        <v>974</v>
      </c>
      <c r="B598" s="1">
        <f t="shared" si="243"/>
        <v>1</v>
      </c>
      <c r="C598" s="16">
        <v>45795</v>
      </c>
      <c r="D598" s="16">
        <v>45795</v>
      </c>
      <c r="E598" s="16" t="str">
        <f t="shared" si="262"/>
        <v>May</v>
      </c>
      <c r="F598" s="1">
        <f t="shared" si="263"/>
        <v>2025</v>
      </c>
      <c r="G598" t="s">
        <v>372</v>
      </c>
      <c r="H598" s="17">
        <v>45398</v>
      </c>
      <c r="I598" s="21">
        <f t="shared" si="264"/>
        <v>-397</v>
      </c>
      <c r="J598" s="6" t="str">
        <f t="shared" si="265"/>
        <v>INVALID_SHIPPING</v>
      </c>
      <c r="K598" s="1" t="s">
        <v>975</v>
      </c>
      <c r="L598" s="1" t="s">
        <v>196</v>
      </c>
      <c r="M598" s="1" t="str">
        <f t="shared" si="244"/>
        <v>Diya Patel</v>
      </c>
      <c r="N598" s="1" t="s">
        <v>40</v>
      </c>
      <c r="O598" s="1" t="str">
        <f t="shared" si="245"/>
        <v>Small Business</v>
      </c>
      <c r="P598" s="1" t="s">
        <v>26</v>
      </c>
      <c r="Q598" s="1" t="str">
        <f t="shared" si="246"/>
        <v>North</v>
      </c>
      <c r="R598" s="1" t="str">
        <f t="shared" si="247"/>
        <v>OK</v>
      </c>
      <c r="S598" s="1" t="s">
        <v>163</v>
      </c>
      <c r="T598" s="1" t="str">
        <f t="shared" si="248"/>
        <v>Uttar Pradesh</v>
      </c>
      <c r="U598" s="1" t="s">
        <v>164</v>
      </c>
      <c r="V598" s="1" t="str">
        <f t="shared" si="249"/>
        <v>Noida</v>
      </c>
      <c r="W598" s="1" t="s">
        <v>44</v>
      </c>
      <c r="X598" s="1" t="str">
        <f t="shared" si="250"/>
        <v>Furniture</v>
      </c>
      <c r="Y598" s="1" t="s">
        <v>63</v>
      </c>
      <c r="Z598" s="1" t="str">
        <f t="shared" si="251"/>
        <v>Furnishings</v>
      </c>
      <c r="AA598" s="1" t="s">
        <v>976</v>
      </c>
      <c r="AB598" s="1" t="s">
        <v>55</v>
      </c>
      <c r="AC598" s="1" t="str">
        <f t="shared" si="252"/>
        <v>First Class</v>
      </c>
      <c r="AD598" s="1" t="str">
        <f t="shared" si="253"/>
        <v>OK</v>
      </c>
      <c r="AE598" s="1">
        <v>2</v>
      </c>
      <c r="AF598" s="1">
        <v>215.13</v>
      </c>
      <c r="AG598" s="9">
        <v>0</v>
      </c>
      <c r="AH598" s="9">
        <f t="shared" si="254"/>
        <v>0</v>
      </c>
      <c r="AI598" s="1" t="str">
        <f t="shared" si="255"/>
        <v>OK</v>
      </c>
      <c r="AJ598" s="1">
        <v>430.26</v>
      </c>
      <c r="AK598" s="1">
        <v>286.38</v>
      </c>
      <c r="AL598" s="1">
        <v>143.88</v>
      </c>
      <c r="AM598" s="13">
        <f t="shared" si="256"/>
        <v>430.26</v>
      </c>
      <c r="AN598" s="9">
        <f t="shared" si="257"/>
        <v>143.88</v>
      </c>
      <c r="AO598" s="9">
        <f t="shared" si="266"/>
        <v>0.33440245432994004</v>
      </c>
      <c r="AP598" s="1" t="s">
        <v>33</v>
      </c>
      <c r="AQ598" s="1" t="str">
        <f t="shared" si="258"/>
        <v>Paid</v>
      </c>
      <c r="AR598" s="1" t="str">
        <f t="shared" si="259"/>
        <v>OK</v>
      </c>
      <c r="AS598" s="1" t="s">
        <v>34</v>
      </c>
      <c r="AT598" s="4" t="str">
        <f t="shared" si="260"/>
        <v>Completed</v>
      </c>
      <c r="AU598" s="3" t="str">
        <f t="shared" si="261"/>
        <v>OK</v>
      </c>
      <c r="AV598" s="3" t="str">
        <f t="shared" si="267"/>
        <v>INVALID</v>
      </c>
      <c r="AW598" t="str">
        <f t="shared" si="268"/>
        <v>MATCH</v>
      </c>
      <c r="AX598" t="str">
        <f t="shared" si="269"/>
        <v>MATCH</v>
      </c>
    </row>
    <row r="599" spans="1:50" ht="15.6" hidden="1">
      <c r="A599" s="1" t="s">
        <v>981</v>
      </c>
      <c r="B599" s="1">
        <f t="shared" si="243"/>
        <v>1</v>
      </c>
      <c r="C599" s="16">
        <v>45837</v>
      </c>
      <c r="D599" s="16">
        <v>45837</v>
      </c>
      <c r="E599" s="16" t="str">
        <f t="shared" si="262"/>
        <v>Jun</v>
      </c>
      <c r="F599" s="1">
        <f t="shared" si="263"/>
        <v>2025</v>
      </c>
      <c r="G599" t="s">
        <v>439</v>
      </c>
      <c r="H599" s="17">
        <v>45846</v>
      </c>
      <c r="I599" s="21">
        <f t="shared" si="264"/>
        <v>9</v>
      </c>
      <c r="J599" s="6" t="str">
        <f t="shared" si="265"/>
        <v>OK</v>
      </c>
      <c r="K599" s="1" t="s">
        <v>983</v>
      </c>
      <c r="L599" s="1" t="s">
        <v>196</v>
      </c>
      <c r="M599" s="1" t="str">
        <f t="shared" si="244"/>
        <v>Diya Patel</v>
      </c>
      <c r="N599" s="1" t="s">
        <v>25</v>
      </c>
      <c r="O599" s="1" t="str">
        <f t="shared" si="245"/>
        <v>Consumer</v>
      </c>
      <c r="P599" s="1" t="s">
        <v>26</v>
      </c>
      <c r="Q599" s="1" t="str">
        <f t="shared" si="246"/>
        <v>North</v>
      </c>
      <c r="R599" s="1" t="str">
        <f t="shared" si="247"/>
        <v>OK</v>
      </c>
      <c r="S599" s="1" t="s">
        <v>146</v>
      </c>
      <c r="T599" s="1" t="str">
        <f t="shared" si="248"/>
        <v>Punjab</v>
      </c>
      <c r="U599" s="1" t="s">
        <v>147</v>
      </c>
      <c r="V599" s="1" t="str">
        <f t="shared" si="249"/>
        <v>Ludhiana</v>
      </c>
      <c r="W599" s="1" t="s">
        <v>44</v>
      </c>
      <c r="X599" s="1" t="str">
        <f t="shared" si="250"/>
        <v>Furniture</v>
      </c>
      <c r="Y599" s="1" t="s">
        <v>74</v>
      </c>
      <c r="Z599" s="1" t="str">
        <f t="shared" si="251"/>
        <v>Chairs</v>
      </c>
      <c r="AA599" s="1" t="s">
        <v>984</v>
      </c>
      <c r="AB599" s="1" t="s">
        <v>47</v>
      </c>
      <c r="AC599" s="1" t="str">
        <f t="shared" si="252"/>
        <v>Same Day</v>
      </c>
      <c r="AD599" s="1" t="str">
        <f t="shared" si="253"/>
        <v>OK</v>
      </c>
      <c r="AE599" s="1">
        <v>1</v>
      </c>
      <c r="AF599" s="1">
        <v>999.83</v>
      </c>
      <c r="AG599" s="9">
        <v>0</v>
      </c>
      <c r="AH599" s="9">
        <f t="shared" si="254"/>
        <v>0</v>
      </c>
      <c r="AI599" s="1" t="str">
        <f t="shared" si="255"/>
        <v>OK</v>
      </c>
      <c r="AJ599" s="1">
        <v>999.83</v>
      </c>
      <c r="AK599" s="1">
        <v>634.91</v>
      </c>
      <c r="AL599" s="1">
        <v>364.92</v>
      </c>
      <c r="AM599" s="13">
        <f t="shared" si="256"/>
        <v>999.83</v>
      </c>
      <c r="AN599" s="9">
        <f t="shared" si="257"/>
        <v>364.92000000000007</v>
      </c>
      <c r="AO599" s="9">
        <f t="shared" si="266"/>
        <v>0.3649820469479812</v>
      </c>
      <c r="AP599" s="1" t="s">
        <v>33</v>
      </c>
      <c r="AQ599" s="1" t="str">
        <f t="shared" si="258"/>
        <v>Paid</v>
      </c>
      <c r="AR599" s="1" t="str">
        <f t="shared" si="259"/>
        <v>OK</v>
      </c>
      <c r="AS599" s="1" t="s">
        <v>34</v>
      </c>
      <c r="AT599" s="4" t="str">
        <f t="shared" si="260"/>
        <v>Completed</v>
      </c>
      <c r="AU599" s="3" t="str">
        <f t="shared" si="261"/>
        <v>OK</v>
      </c>
      <c r="AV599" s="3" t="str">
        <f t="shared" si="267"/>
        <v>CLEAN</v>
      </c>
      <c r="AW599" t="str">
        <f t="shared" si="268"/>
        <v>MATCH</v>
      </c>
      <c r="AX599" t="str">
        <f t="shared" si="269"/>
        <v>MATCH</v>
      </c>
    </row>
    <row r="600" spans="1:50" ht="15.6">
      <c r="A600" s="1" t="s">
        <v>985</v>
      </c>
      <c r="B600" s="1">
        <f t="shared" si="243"/>
        <v>1</v>
      </c>
      <c r="C600" s="16">
        <v>45882</v>
      </c>
      <c r="D600" s="16">
        <v>45882</v>
      </c>
      <c r="E600" s="16" t="str">
        <f t="shared" si="262"/>
        <v>Aug</v>
      </c>
      <c r="F600" s="1">
        <f t="shared" si="263"/>
        <v>2025</v>
      </c>
      <c r="G600" t="s">
        <v>2508</v>
      </c>
      <c r="H600" s="17">
        <v>45528</v>
      </c>
      <c r="I600" s="21">
        <f t="shared" si="264"/>
        <v>-354</v>
      </c>
      <c r="J600" s="6" t="str">
        <f t="shared" si="265"/>
        <v>INVALID_SHIPPING</v>
      </c>
      <c r="K600" s="1" t="s">
        <v>988</v>
      </c>
      <c r="L600" s="1" t="s">
        <v>169</v>
      </c>
      <c r="M600" s="1" t="str">
        <f t="shared" si="244"/>
        <v>Rohan Mehta</v>
      </c>
      <c r="N600" s="1" t="s">
        <v>40</v>
      </c>
      <c r="O600" s="1" t="str">
        <f t="shared" si="245"/>
        <v>Small Business</v>
      </c>
      <c r="P600" s="1" t="s">
        <v>60</v>
      </c>
      <c r="Q600" s="1" t="str">
        <f t="shared" si="246"/>
        <v>South</v>
      </c>
      <c r="R600" s="1" t="str">
        <f t="shared" si="247"/>
        <v>OK</v>
      </c>
      <c r="S600" s="1" t="s">
        <v>97</v>
      </c>
      <c r="T600" s="1" t="str">
        <f t="shared" si="248"/>
        <v>Andhra Pradesh</v>
      </c>
      <c r="U600" s="1" t="s">
        <v>98</v>
      </c>
      <c r="V600" s="1" t="str">
        <f t="shared" si="249"/>
        <v>Vijayawada</v>
      </c>
      <c r="W600" s="1" t="s">
        <v>29</v>
      </c>
      <c r="X600" s="1" t="str">
        <f t="shared" si="250"/>
        <v>Office Supplies</v>
      </c>
      <c r="Y600" s="1" t="s">
        <v>30</v>
      </c>
      <c r="Z600" s="1" t="str">
        <f t="shared" si="251"/>
        <v>Paper</v>
      </c>
      <c r="AA600" s="1" t="s">
        <v>989</v>
      </c>
      <c r="AB600" s="1" t="s">
        <v>55</v>
      </c>
      <c r="AC600" s="1" t="str">
        <f t="shared" si="252"/>
        <v>First Class</v>
      </c>
      <c r="AD600" s="1" t="str">
        <f t="shared" si="253"/>
        <v>OK</v>
      </c>
      <c r="AE600" s="1">
        <v>9</v>
      </c>
      <c r="AF600" s="1">
        <v>864.98</v>
      </c>
      <c r="AG600" s="9">
        <v>0.1</v>
      </c>
      <c r="AH600" s="9">
        <f t="shared" si="254"/>
        <v>0.1</v>
      </c>
      <c r="AI600" s="1" t="str">
        <f t="shared" si="255"/>
        <v>OK</v>
      </c>
      <c r="AJ600" s="1">
        <v>7006.34</v>
      </c>
      <c r="AK600" s="1">
        <v>4640.88</v>
      </c>
      <c r="AL600" s="1">
        <v>2365.46</v>
      </c>
      <c r="AM600" s="13">
        <f t="shared" si="256"/>
        <v>7006.3379999999997</v>
      </c>
      <c r="AN600" s="9">
        <f t="shared" si="257"/>
        <v>2365.4579999999996</v>
      </c>
      <c r="AO600" s="9">
        <f t="shared" si="266"/>
        <v>0.33761688345609359</v>
      </c>
      <c r="AP600" s="1" t="s">
        <v>33</v>
      </c>
      <c r="AQ600" s="1" t="str">
        <f t="shared" si="258"/>
        <v>Paid</v>
      </c>
      <c r="AR600" s="1" t="str">
        <f t="shared" si="259"/>
        <v>OK</v>
      </c>
      <c r="AS600" s="1" t="s">
        <v>34</v>
      </c>
      <c r="AT600" s="4" t="str">
        <f t="shared" si="260"/>
        <v>Completed</v>
      </c>
      <c r="AU600" s="3" t="str">
        <f t="shared" si="261"/>
        <v>OK</v>
      </c>
      <c r="AV600" s="3" t="str">
        <f t="shared" si="267"/>
        <v>INVALID</v>
      </c>
      <c r="AW600" t="str">
        <f t="shared" si="268"/>
        <v>MATCH</v>
      </c>
      <c r="AX600" t="str">
        <f t="shared" si="269"/>
        <v>MATCH</v>
      </c>
    </row>
    <row r="601" spans="1:50" ht="15.6">
      <c r="A601" s="1" t="s">
        <v>1016</v>
      </c>
      <c r="B601" s="1">
        <f t="shared" si="243"/>
        <v>1</v>
      </c>
      <c r="C601" s="16">
        <v>45934</v>
      </c>
      <c r="D601" s="16">
        <v>45934</v>
      </c>
      <c r="E601" s="16" t="str">
        <f t="shared" si="262"/>
        <v>Oct</v>
      </c>
      <c r="F601" s="1">
        <f t="shared" si="263"/>
        <v>2025</v>
      </c>
      <c r="G601" t="s">
        <v>1431</v>
      </c>
      <c r="H601" s="17">
        <v>45525</v>
      </c>
      <c r="I601" s="21">
        <f t="shared" si="264"/>
        <v>-409</v>
      </c>
      <c r="J601" s="6" t="str">
        <f t="shared" si="265"/>
        <v>INVALID_SHIPPING</v>
      </c>
      <c r="K601" s="1" t="s">
        <v>1018</v>
      </c>
      <c r="L601" s="1" t="s">
        <v>52</v>
      </c>
      <c r="M601" s="1" t="str">
        <f t="shared" si="244"/>
        <v>Isha Nair</v>
      </c>
      <c r="N601" s="1" t="s">
        <v>25</v>
      </c>
      <c r="O601" s="1" t="str">
        <f t="shared" si="245"/>
        <v>Consumer</v>
      </c>
      <c r="P601" s="1" t="s">
        <v>71</v>
      </c>
      <c r="Q601" s="1" t="str">
        <f t="shared" si="246"/>
        <v>West</v>
      </c>
      <c r="R601" s="1" t="str">
        <f t="shared" si="247"/>
        <v>OK</v>
      </c>
      <c r="S601" s="1" t="s">
        <v>218</v>
      </c>
      <c r="T601" s="1" t="str">
        <f t="shared" si="248"/>
        <v>Gujarat</v>
      </c>
      <c r="U601" s="1" t="s">
        <v>219</v>
      </c>
      <c r="V601" s="1" t="str">
        <f t="shared" si="249"/>
        <v>Ahmedabad</v>
      </c>
      <c r="W601" s="1" t="s">
        <v>44</v>
      </c>
      <c r="X601" s="1" t="str">
        <f t="shared" si="250"/>
        <v>Furniture</v>
      </c>
      <c r="Y601" s="1" t="s">
        <v>45</v>
      </c>
      <c r="Z601" s="1" t="str">
        <f t="shared" si="251"/>
        <v>Tables</v>
      </c>
      <c r="AA601" s="1" t="s">
        <v>1019</v>
      </c>
      <c r="AB601" s="1" t="s">
        <v>65</v>
      </c>
      <c r="AC601" s="1" t="str">
        <f t="shared" si="252"/>
        <v>Standard Class</v>
      </c>
      <c r="AD601" s="1" t="str">
        <f t="shared" si="253"/>
        <v>OK</v>
      </c>
      <c r="AE601" s="1">
        <v>8</v>
      </c>
      <c r="AF601" s="1">
        <v>1839.87</v>
      </c>
      <c r="AG601" s="9">
        <v>0.25</v>
      </c>
      <c r="AH601" s="9">
        <f t="shared" si="254"/>
        <v>0.25</v>
      </c>
      <c r="AI601" s="1" t="str">
        <f t="shared" si="255"/>
        <v>OK</v>
      </c>
      <c r="AJ601" s="1">
        <v>11039.22</v>
      </c>
      <c r="AK601" s="1">
        <v>7642.91</v>
      </c>
      <c r="AL601" s="1">
        <v>3396.31</v>
      </c>
      <c r="AM601" s="13">
        <f t="shared" si="256"/>
        <v>11039.22</v>
      </c>
      <c r="AN601" s="9">
        <f t="shared" si="257"/>
        <v>3396.3099999999995</v>
      </c>
      <c r="AO601" s="9">
        <f t="shared" si="266"/>
        <v>0.30765851210502188</v>
      </c>
      <c r="AP601" s="1" t="s">
        <v>186</v>
      </c>
      <c r="AQ601" s="1" t="str">
        <f t="shared" si="258"/>
        <v>Failed</v>
      </c>
      <c r="AR601" s="1" t="str">
        <f t="shared" si="259"/>
        <v>EXCLUDE_FROM_SALES</v>
      </c>
      <c r="AS601" s="1" t="s">
        <v>120</v>
      </c>
      <c r="AT601" s="4" t="str">
        <f t="shared" si="260"/>
        <v>Returned</v>
      </c>
      <c r="AU601" s="3" t="str">
        <f t="shared" si="261"/>
        <v>RETURNED_ORDER</v>
      </c>
      <c r="AV601" s="3" t="str">
        <f t="shared" si="267"/>
        <v>INVALID</v>
      </c>
      <c r="AW601" t="str">
        <f t="shared" si="268"/>
        <v>MATCH</v>
      </c>
      <c r="AX601" t="str">
        <f t="shared" si="269"/>
        <v>MATCH</v>
      </c>
    </row>
    <row r="602" spans="1:50" ht="15.6">
      <c r="A602" s="1" t="s">
        <v>1020</v>
      </c>
      <c r="B602" s="1">
        <f t="shared" si="243"/>
        <v>1</v>
      </c>
      <c r="C602" s="16">
        <v>45748</v>
      </c>
      <c r="D602" s="16">
        <v>45748</v>
      </c>
      <c r="E602" s="16" t="str">
        <f t="shared" si="262"/>
        <v>Apr</v>
      </c>
      <c r="F602" s="1">
        <f t="shared" si="263"/>
        <v>2025</v>
      </c>
      <c r="G602" t="s">
        <v>2516</v>
      </c>
      <c r="H602" s="17">
        <v>45728</v>
      </c>
      <c r="I602" s="21">
        <f t="shared" si="264"/>
        <v>-20</v>
      </c>
      <c r="J602" s="6" t="str">
        <f t="shared" si="265"/>
        <v>INVALID_SHIPPING</v>
      </c>
      <c r="K602" s="1" t="s">
        <v>1022</v>
      </c>
      <c r="L602" s="1" t="s">
        <v>103</v>
      </c>
      <c r="M602" s="1" t="str">
        <f t="shared" si="244"/>
        <v>Aditi Sen</v>
      </c>
      <c r="N602" s="1" t="s">
        <v>25</v>
      </c>
      <c r="O602" s="1" t="str">
        <f t="shared" si="245"/>
        <v>Consumer</v>
      </c>
      <c r="P602" s="1" t="s">
        <v>41</v>
      </c>
      <c r="Q602" s="1" t="str">
        <f t="shared" si="246"/>
        <v>East</v>
      </c>
      <c r="R602" s="1" t="str">
        <f t="shared" si="247"/>
        <v>OK</v>
      </c>
      <c r="S602" s="1" t="s">
        <v>42</v>
      </c>
      <c r="T602" s="1" t="str">
        <f t="shared" si="248"/>
        <v>Odisha</v>
      </c>
      <c r="U602" s="1" t="s">
        <v>43</v>
      </c>
      <c r="V602" s="1" t="str">
        <f t="shared" si="249"/>
        <v>Bhubaneswar</v>
      </c>
      <c r="W602" s="1" t="s">
        <v>44</v>
      </c>
      <c r="X602" s="1" t="str">
        <f t="shared" si="250"/>
        <v>Furniture</v>
      </c>
      <c r="Y602" s="1" t="s">
        <v>190</v>
      </c>
      <c r="Z602" s="1" t="str">
        <f t="shared" si="251"/>
        <v>Bookcases</v>
      </c>
      <c r="AA602" s="1" t="s">
        <v>1023</v>
      </c>
      <c r="AB602" s="1" t="s">
        <v>32</v>
      </c>
      <c r="AC602" s="1" t="str">
        <f t="shared" si="252"/>
        <v>Second Class</v>
      </c>
      <c r="AD602" s="1" t="str">
        <f t="shared" si="253"/>
        <v>OK</v>
      </c>
      <c r="AE602" s="1">
        <v>5</v>
      </c>
      <c r="AF602" s="1">
        <v>1021.28</v>
      </c>
      <c r="AG602" s="9">
        <v>0.1</v>
      </c>
      <c r="AH602" s="9">
        <f t="shared" si="254"/>
        <v>0.1</v>
      </c>
      <c r="AI602" s="1" t="str">
        <f t="shared" si="255"/>
        <v>OK</v>
      </c>
      <c r="AJ602" s="1">
        <v>4595.76</v>
      </c>
      <c r="AK602" s="1">
        <v>3396.8</v>
      </c>
      <c r="AL602" s="1">
        <v>1198.96</v>
      </c>
      <c r="AM602" s="13">
        <f t="shared" si="256"/>
        <v>4595.76</v>
      </c>
      <c r="AN602" s="9">
        <f t="shared" si="257"/>
        <v>1198.96</v>
      </c>
      <c r="AO602" s="9">
        <f t="shared" si="266"/>
        <v>0.26088394520166414</v>
      </c>
      <c r="AP602" s="1" t="s">
        <v>119</v>
      </c>
      <c r="AQ602" s="1" t="str">
        <f t="shared" si="258"/>
        <v>Refunded</v>
      </c>
      <c r="AR602" s="1" t="str">
        <f t="shared" si="259"/>
        <v>REFUNDED_PAYMENT</v>
      </c>
      <c r="AS602" s="1" t="s">
        <v>76</v>
      </c>
      <c r="AT602" s="4" t="str">
        <f t="shared" si="260"/>
        <v>Cancelled</v>
      </c>
      <c r="AU602" s="3" t="str">
        <f t="shared" si="261"/>
        <v>EXCLUDE_FROM_SALES</v>
      </c>
      <c r="AV602" s="3" t="str">
        <f t="shared" si="267"/>
        <v>INVALID</v>
      </c>
      <c r="AW602" t="str">
        <f t="shared" si="268"/>
        <v>MATCH</v>
      </c>
      <c r="AX602" t="str">
        <f t="shared" si="269"/>
        <v>MATCH</v>
      </c>
    </row>
    <row r="603" spans="1:50" ht="15.6">
      <c r="A603" s="1" t="s">
        <v>1024</v>
      </c>
      <c r="B603" s="1">
        <f t="shared" si="243"/>
        <v>1</v>
      </c>
      <c r="C603" s="16">
        <v>45714</v>
      </c>
      <c r="D603" s="16">
        <v>45714</v>
      </c>
      <c r="E603" s="16" t="str">
        <f t="shared" si="262"/>
        <v>Feb</v>
      </c>
      <c r="F603" s="1">
        <f t="shared" si="263"/>
        <v>2025</v>
      </c>
      <c r="G603" t="s">
        <v>2520</v>
      </c>
      <c r="H603" s="17">
        <v>45322</v>
      </c>
      <c r="I603" s="21">
        <f t="shared" si="264"/>
        <v>-392</v>
      </c>
      <c r="J603" s="6" t="str">
        <f t="shared" si="265"/>
        <v>INVALID_SHIPPING</v>
      </c>
      <c r="K603" s="1" t="s">
        <v>1026</v>
      </c>
      <c r="L603" s="1" t="s">
        <v>136</v>
      </c>
      <c r="M603" s="1" t="str">
        <f t="shared" si="244"/>
        <v>Priya Menon</v>
      </c>
      <c r="N603" s="1" t="s">
        <v>104</v>
      </c>
      <c r="O603" s="1" t="str">
        <f t="shared" si="245"/>
        <v>Corporate</v>
      </c>
      <c r="P603" s="1" t="s">
        <v>71</v>
      </c>
      <c r="Q603" s="1" t="str">
        <f t="shared" si="246"/>
        <v>West</v>
      </c>
      <c r="R603" s="1" t="str">
        <f t="shared" si="247"/>
        <v>OK</v>
      </c>
      <c r="S603" s="1" t="s">
        <v>218</v>
      </c>
      <c r="T603" s="1" t="str">
        <f t="shared" si="248"/>
        <v>Gujarat</v>
      </c>
      <c r="U603" s="1" t="s">
        <v>219</v>
      </c>
      <c r="V603" s="1" t="str">
        <f t="shared" si="249"/>
        <v>Ahmedabad</v>
      </c>
      <c r="W603" s="1" t="s">
        <v>44</v>
      </c>
      <c r="X603" s="1" t="str">
        <f t="shared" si="250"/>
        <v>Furniture</v>
      </c>
      <c r="Y603" s="1" t="s">
        <v>190</v>
      </c>
      <c r="Z603" s="1" t="str">
        <f t="shared" si="251"/>
        <v>Bookcases</v>
      </c>
      <c r="AA603" s="1" t="s">
        <v>1027</v>
      </c>
      <c r="AB603" s="1" t="s">
        <v>65</v>
      </c>
      <c r="AC603" s="1" t="str">
        <f t="shared" si="252"/>
        <v>Standard Class</v>
      </c>
      <c r="AD603" s="1" t="str">
        <f t="shared" si="253"/>
        <v>OK</v>
      </c>
      <c r="AE603" s="1">
        <v>5</v>
      </c>
      <c r="AF603" s="1">
        <v>258.27999999999997</v>
      </c>
      <c r="AG603" s="9">
        <v>0</v>
      </c>
      <c r="AH603" s="9">
        <f t="shared" si="254"/>
        <v>0</v>
      </c>
      <c r="AI603" s="1" t="str">
        <f t="shared" si="255"/>
        <v>OK</v>
      </c>
      <c r="AJ603" s="1">
        <v>1291.4000000000001</v>
      </c>
      <c r="AK603" s="1">
        <v>756.93</v>
      </c>
      <c r="AL603" s="1">
        <v>534.47</v>
      </c>
      <c r="AM603" s="13">
        <f t="shared" si="256"/>
        <v>1291.3999999999999</v>
      </c>
      <c r="AN603" s="9">
        <f t="shared" si="257"/>
        <v>534.46999999999991</v>
      </c>
      <c r="AO603" s="9">
        <f t="shared" si="266"/>
        <v>0.41386866966083319</v>
      </c>
      <c r="AP603" s="1" t="s">
        <v>33</v>
      </c>
      <c r="AQ603" s="1" t="str">
        <f t="shared" si="258"/>
        <v>Paid</v>
      </c>
      <c r="AR603" s="1" t="str">
        <f t="shared" si="259"/>
        <v>OK</v>
      </c>
      <c r="AS603" s="1" t="s">
        <v>34</v>
      </c>
      <c r="AT603" s="4" t="str">
        <f t="shared" si="260"/>
        <v>Completed</v>
      </c>
      <c r="AU603" s="3" t="str">
        <f t="shared" si="261"/>
        <v>OK</v>
      </c>
      <c r="AV603" s="3" t="str">
        <f t="shared" si="267"/>
        <v>INVALID</v>
      </c>
      <c r="AW603" t="str">
        <f t="shared" si="268"/>
        <v>MATCH</v>
      </c>
      <c r="AX603" t="str">
        <f t="shared" si="269"/>
        <v>MATCH</v>
      </c>
    </row>
    <row r="604" spans="1:50" ht="15.6">
      <c r="A604" s="1" t="s">
        <v>1037</v>
      </c>
      <c r="B604" s="1">
        <f t="shared" si="243"/>
        <v>1</v>
      </c>
      <c r="C604" s="16">
        <v>45669</v>
      </c>
      <c r="D604" s="16">
        <v>45669</v>
      </c>
      <c r="E604" s="16" t="str">
        <f t="shared" si="262"/>
        <v>Jan</v>
      </c>
      <c r="F604" s="1">
        <f t="shared" si="263"/>
        <v>2025</v>
      </c>
      <c r="G604" t="s">
        <v>2524</v>
      </c>
      <c r="H604" s="17">
        <v>45595</v>
      </c>
      <c r="I604" s="21">
        <f t="shared" si="264"/>
        <v>-74</v>
      </c>
      <c r="J604" s="6" t="str">
        <f t="shared" si="265"/>
        <v>INVALID_SHIPPING</v>
      </c>
      <c r="K604" s="1" t="s">
        <v>1040</v>
      </c>
      <c r="L604" s="1" t="s">
        <v>39</v>
      </c>
      <c r="M604" s="1" t="str">
        <f t="shared" si="244"/>
        <v>Mira Das</v>
      </c>
      <c r="N604" s="1" t="s">
        <v>104</v>
      </c>
      <c r="O604" s="1" t="str">
        <f t="shared" si="245"/>
        <v>Corporate</v>
      </c>
      <c r="P604" s="1" t="s">
        <v>60</v>
      </c>
      <c r="Q604" s="1" t="str">
        <f t="shared" si="246"/>
        <v>South</v>
      </c>
      <c r="R604" s="1" t="str">
        <f t="shared" si="247"/>
        <v>OK</v>
      </c>
      <c r="S604" s="1" t="s">
        <v>212</v>
      </c>
      <c r="T604" s="1" t="str">
        <f t="shared" si="248"/>
        <v>Karnataka</v>
      </c>
      <c r="U604" s="1" t="s">
        <v>213</v>
      </c>
      <c r="V604" s="1" t="str">
        <f t="shared" si="249"/>
        <v>Bengaluru</v>
      </c>
      <c r="W604" s="1" t="s">
        <v>44</v>
      </c>
      <c r="X604" s="1" t="str">
        <f t="shared" si="250"/>
        <v>Furniture</v>
      </c>
      <c r="Y604" s="1" t="s">
        <v>74</v>
      </c>
      <c r="Z604" s="1" t="str">
        <f t="shared" si="251"/>
        <v>Chairs</v>
      </c>
      <c r="AA604" s="1" t="s">
        <v>1041</v>
      </c>
      <c r="AB604" s="1" t="s">
        <v>47</v>
      </c>
      <c r="AC604" s="1" t="str">
        <f t="shared" si="252"/>
        <v>Same Day</v>
      </c>
      <c r="AD604" s="1" t="str">
        <f t="shared" si="253"/>
        <v>OK</v>
      </c>
      <c r="AE604" s="1">
        <v>4</v>
      </c>
      <c r="AF604" s="1">
        <v>1531.53</v>
      </c>
      <c r="AG604" s="9">
        <v>0.2</v>
      </c>
      <c r="AH604" s="9">
        <f t="shared" si="254"/>
        <v>0.2</v>
      </c>
      <c r="AI604" s="1" t="str">
        <f t="shared" si="255"/>
        <v>OK</v>
      </c>
      <c r="AJ604" s="1">
        <v>4900.8999999999996</v>
      </c>
      <c r="AK604" s="1">
        <v>3552.69</v>
      </c>
      <c r="AL604" s="1">
        <v>1348.21</v>
      </c>
      <c r="AM604" s="13">
        <f t="shared" si="256"/>
        <v>4900.8959999999997</v>
      </c>
      <c r="AN604" s="9">
        <f t="shared" si="257"/>
        <v>1348.2059999999997</v>
      </c>
      <c r="AO604" s="9">
        <f t="shared" si="266"/>
        <v>0.27509377877024932</v>
      </c>
      <c r="AP604" s="1" t="s">
        <v>33</v>
      </c>
      <c r="AQ604" s="1" t="str">
        <f t="shared" si="258"/>
        <v>Paid</v>
      </c>
      <c r="AR604" s="1" t="str">
        <f t="shared" si="259"/>
        <v>OK</v>
      </c>
      <c r="AS604" s="1" t="s">
        <v>34</v>
      </c>
      <c r="AT604" s="4" t="str">
        <f t="shared" si="260"/>
        <v>Completed</v>
      </c>
      <c r="AU604" s="3" t="str">
        <f t="shared" si="261"/>
        <v>OK</v>
      </c>
      <c r="AV604" s="3" t="str">
        <f t="shared" si="267"/>
        <v>INVALID</v>
      </c>
      <c r="AW604" t="str">
        <f t="shared" si="268"/>
        <v>MATCH</v>
      </c>
      <c r="AX604" t="str">
        <f t="shared" si="269"/>
        <v>MATCH</v>
      </c>
    </row>
    <row r="605" spans="1:50" ht="15.6" hidden="1">
      <c r="A605" s="1" t="s">
        <v>1042</v>
      </c>
      <c r="B605" s="1">
        <f t="shared" si="243"/>
        <v>1</v>
      </c>
      <c r="C605" s="16">
        <v>45776</v>
      </c>
      <c r="D605" s="16">
        <v>45776</v>
      </c>
      <c r="E605" s="16" t="str">
        <f t="shared" si="262"/>
        <v>Apr</v>
      </c>
      <c r="F605" s="1">
        <f t="shared" si="263"/>
        <v>2025</v>
      </c>
      <c r="G605" t="s">
        <v>532</v>
      </c>
      <c r="H605" s="17">
        <v>45962</v>
      </c>
      <c r="I605" s="21">
        <f t="shared" si="264"/>
        <v>186</v>
      </c>
      <c r="J605" s="6" t="str">
        <f t="shared" si="265"/>
        <v>OK</v>
      </c>
      <c r="K605" s="1" t="s">
        <v>1043</v>
      </c>
      <c r="L605" s="1" t="s">
        <v>80</v>
      </c>
      <c r="M605" s="1" t="str">
        <f t="shared" si="244"/>
        <v>Vikram Iyer</v>
      </c>
      <c r="N605" s="1" t="s">
        <v>40</v>
      </c>
      <c r="O605" s="1" t="str">
        <f t="shared" si="245"/>
        <v>Small Business</v>
      </c>
      <c r="P605" s="1" t="s">
        <v>71</v>
      </c>
      <c r="Q605" s="1" t="str">
        <f t="shared" si="246"/>
        <v>West</v>
      </c>
      <c r="R605" s="1" t="str">
        <f t="shared" si="247"/>
        <v>OK</v>
      </c>
      <c r="S605" s="1" t="s">
        <v>230</v>
      </c>
      <c r="T605" s="1" t="str">
        <f t="shared" si="248"/>
        <v>Goa</v>
      </c>
      <c r="U605" s="1" t="s">
        <v>231</v>
      </c>
      <c r="V605" s="1" t="str">
        <f t="shared" si="249"/>
        <v>Panaji</v>
      </c>
      <c r="W605" s="1" t="s">
        <v>29</v>
      </c>
      <c r="X605" s="1" t="str">
        <f t="shared" si="250"/>
        <v>Office Supplies</v>
      </c>
      <c r="Y605" s="1" t="s">
        <v>148</v>
      </c>
      <c r="Z605" s="1" t="str">
        <f t="shared" si="251"/>
        <v>Storage</v>
      </c>
      <c r="AA605" s="1" t="s">
        <v>1044</v>
      </c>
      <c r="AB605" s="1" t="s">
        <v>55</v>
      </c>
      <c r="AC605" s="1" t="str">
        <f t="shared" si="252"/>
        <v>First Class</v>
      </c>
      <c r="AD605" s="1" t="str">
        <f t="shared" si="253"/>
        <v>OK</v>
      </c>
      <c r="AE605" s="1">
        <v>6</v>
      </c>
      <c r="AF605" s="1">
        <v>4308.09</v>
      </c>
      <c r="AG605" s="9">
        <v>0</v>
      </c>
      <c r="AH605" s="9">
        <f t="shared" si="254"/>
        <v>0</v>
      </c>
      <c r="AI605" s="1" t="str">
        <f t="shared" si="255"/>
        <v>OK</v>
      </c>
      <c r="AJ605" s="1">
        <v>25848.54</v>
      </c>
      <c r="AK605" s="1">
        <v>17729.09</v>
      </c>
      <c r="AL605" s="1">
        <v>8119.45</v>
      </c>
      <c r="AM605" s="13">
        <f t="shared" si="256"/>
        <v>25848.54</v>
      </c>
      <c r="AN605" s="9">
        <f t="shared" si="257"/>
        <v>8119.4500000000007</v>
      </c>
      <c r="AO605" s="9">
        <f t="shared" si="266"/>
        <v>0.31411638723115504</v>
      </c>
      <c r="AP605" s="1" t="s">
        <v>33</v>
      </c>
      <c r="AQ605" s="1" t="str">
        <f t="shared" si="258"/>
        <v>Paid</v>
      </c>
      <c r="AR605" s="1" t="str">
        <f t="shared" si="259"/>
        <v>OK</v>
      </c>
      <c r="AS605" s="1" t="s">
        <v>34</v>
      </c>
      <c r="AT605" s="4" t="str">
        <f t="shared" si="260"/>
        <v>Completed</v>
      </c>
      <c r="AU605" s="3" t="str">
        <f t="shared" si="261"/>
        <v>OK</v>
      </c>
      <c r="AV605" s="3" t="str">
        <f t="shared" si="267"/>
        <v>CLEAN</v>
      </c>
      <c r="AW605" t="str">
        <f t="shared" si="268"/>
        <v>MATCH</v>
      </c>
      <c r="AX605" t="str">
        <f t="shared" si="269"/>
        <v>MATCH</v>
      </c>
    </row>
    <row r="606" spans="1:50" ht="15.6">
      <c r="A606" s="1" t="s">
        <v>1045</v>
      </c>
      <c r="B606" s="1">
        <f t="shared" si="243"/>
        <v>1</v>
      </c>
      <c r="C606" s="16">
        <v>45707</v>
      </c>
      <c r="D606" s="16">
        <v>45707</v>
      </c>
      <c r="E606" s="16" t="str">
        <f t="shared" si="262"/>
        <v>Feb</v>
      </c>
      <c r="F606" s="1">
        <f t="shared" si="263"/>
        <v>2025</v>
      </c>
      <c r="G606" t="s">
        <v>2531</v>
      </c>
      <c r="H606" s="17">
        <v>45694</v>
      </c>
      <c r="I606" s="21">
        <f t="shared" si="264"/>
        <v>-13</v>
      </c>
      <c r="J606" s="6" t="str">
        <f t="shared" si="265"/>
        <v>INVALID_SHIPPING</v>
      </c>
      <c r="K606" s="1" t="s">
        <v>1047</v>
      </c>
      <c r="L606" s="1" t="s">
        <v>39</v>
      </c>
      <c r="M606" s="1" t="str">
        <f t="shared" si="244"/>
        <v>Mira Das</v>
      </c>
      <c r="N606" s="1" t="s">
        <v>104</v>
      </c>
      <c r="O606" s="1" t="str">
        <f t="shared" si="245"/>
        <v>Corporate</v>
      </c>
      <c r="P606" s="1" t="s">
        <v>71</v>
      </c>
      <c r="Q606" s="1" t="str">
        <f t="shared" si="246"/>
        <v>West</v>
      </c>
      <c r="R606" s="1" t="str">
        <f t="shared" si="247"/>
        <v>OK</v>
      </c>
      <c r="S606" s="1" t="s">
        <v>72</v>
      </c>
      <c r="T606" s="1" t="str">
        <f t="shared" si="248"/>
        <v>Maharashtra</v>
      </c>
      <c r="U606" s="1" t="s">
        <v>73</v>
      </c>
      <c r="V606" s="1" t="str">
        <f t="shared" si="249"/>
        <v>Mumbai</v>
      </c>
      <c r="W606" s="1" t="s">
        <v>44</v>
      </c>
      <c r="X606" s="1" t="str">
        <f t="shared" si="250"/>
        <v>Furniture</v>
      </c>
      <c r="Y606" s="1" t="s">
        <v>63</v>
      </c>
      <c r="Z606" s="1" t="str">
        <f t="shared" si="251"/>
        <v>Furnishings</v>
      </c>
      <c r="AA606" s="1" t="s">
        <v>1048</v>
      </c>
      <c r="AB606" s="1" t="s">
        <v>55</v>
      </c>
      <c r="AC606" s="1" t="str">
        <f t="shared" si="252"/>
        <v>First Class</v>
      </c>
      <c r="AD606" s="1" t="str">
        <f t="shared" si="253"/>
        <v>OK</v>
      </c>
      <c r="AE606" s="1">
        <v>3</v>
      </c>
      <c r="AF606" s="1">
        <v>490.3</v>
      </c>
      <c r="AG606" s="9">
        <v>0.2</v>
      </c>
      <c r="AH606" s="9">
        <f t="shared" si="254"/>
        <v>0.2</v>
      </c>
      <c r="AI606" s="1" t="str">
        <f t="shared" si="255"/>
        <v>OK</v>
      </c>
      <c r="AJ606" s="1">
        <v>1176.72</v>
      </c>
      <c r="AK606" s="1">
        <v>654.33000000000004</v>
      </c>
      <c r="AL606" s="1">
        <v>522.39</v>
      </c>
      <c r="AM606" s="13">
        <f t="shared" si="256"/>
        <v>1176.72</v>
      </c>
      <c r="AN606" s="9">
        <f t="shared" si="257"/>
        <v>522.39</v>
      </c>
      <c r="AO606" s="9">
        <f t="shared" si="266"/>
        <v>0.44393738527432181</v>
      </c>
      <c r="AP606" s="1" t="s">
        <v>131</v>
      </c>
      <c r="AQ606" s="1" t="str">
        <f t="shared" si="258"/>
        <v>Pending</v>
      </c>
      <c r="AR606" s="1" t="str">
        <f t="shared" si="259"/>
        <v>OK</v>
      </c>
      <c r="AS606" s="1" t="s">
        <v>120</v>
      </c>
      <c r="AT606" s="4" t="str">
        <f t="shared" si="260"/>
        <v>Returned</v>
      </c>
      <c r="AU606" s="3" t="str">
        <f t="shared" si="261"/>
        <v>RETURNED_ORDER</v>
      </c>
      <c r="AV606" s="3" t="str">
        <f t="shared" si="267"/>
        <v>INVALID</v>
      </c>
      <c r="AW606" t="str">
        <f t="shared" si="268"/>
        <v>MATCH</v>
      </c>
      <c r="AX606" t="str">
        <f t="shared" si="269"/>
        <v>MATCH</v>
      </c>
    </row>
    <row r="607" spans="1:50" ht="15.6" hidden="1">
      <c r="A607" s="1" t="s">
        <v>1049</v>
      </c>
      <c r="B607" s="1">
        <f t="shared" si="243"/>
        <v>2</v>
      </c>
      <c r="C607" s="16">
        <v>45698</v>
      </c>
      <c r="D607" s="16">
        <v>45698</v>
      </c>
      <c r="E607" s="16" t="str">
        <f t="shared" si="262"/>
        <v>Feb</v>
      </c>
      <c r="F607" s="1">
        <f t="shared" si="263"/>
        <v>2025</v>
      </c>
      <c r="G607" t="s">
        <v>2535</v>
      </c>
      <c r="H607" s="17">
        <v>45851</v>
      </c>
      <c r="I607" s="21">
        <f t="shared" si="264"/>
        <v>153</v>
      </c>
      <c r="J607" s="6" t="str">
        <f t="shared" si="265"/>
        <v>OK</v>
      </c>
      <c r="K607" s="1" t="s">
        <v>1051</v>
      </c>
      <c r="L607" s="1" t="s">
        <v>52</v>
      </c>
      <c r="M607" s="1" t="str">
        <f t="shared" si="244"/>
        <v>Isha Nair</v>
      </c>
      <c r="N607" s="1" t="s">
        <v>40</v>
      </c>
      <c r="O607" s="1" t="str">
        <f t="shared" si="245"/>
        <v>Small Business</v>
      </c>
      <c r="P607" s="1" t="s">
        <v>26</v>
      </c>
      <c r="Q607" s="1" t="str">
        <f t="shared" si="246"/>
        <v>North</v>
      </c>
      <c r="R607" s="1" t="str">
        <f t="shared" si="247"/>
        <v>OK</v>
      </c>
      <c r="S607" s="1" t="s">
        <v>146</v>
      </c>
      <c r="T607" s="1" t="str">
        <f t="shared" si="248"/>
        <v>Punjab</v>
      </c>
      <c r="U607" s="1" t="s">
        <v>147</v>
      </c>
      <c r="V607" s="1" t="str">
        <f t="shared" si="249"/>
        <v>Ludhiana</v>
      </c>
      <c r="W607" s="1" t="s">
        <v>44</v>
      </c>
      <c r="X607" s="1" t="str">
        <f t="shared" si="250"/>
        <v>Furniture</v>
      </c>
      <c r="Y607" s="1" t="s">
        <v>63</v>
      </c>
      <c r="Z607" s="1" t="str">
        <f t="shared" si="251"/>
        <v>Furnishings</v>
      </c>
      <c r="AA607" s="1" t="s">
        <v>1052</v>
      </c>
      <c r="AB607" s="1" t="s">
        <v>65</v>
      </c>
      <c r="AC607" s="1" t="str">
        <f t="shared" si="252"/>
        <v>Standard Class</v>
      </c>
      <c r="AD607" s="1" t="str">
        <f t="shared" si="253"/>
        <v>OK</v>
      </c>
      <c r="AE607" s="1">
        <v>4</v>
      </c>
      <c r="AF607" s="1">
        <v>3944.64</v>
      </c>
      <c r="AG607" s="9">
        <v>0.25</v>
      </c>
      <c r="AH607" s="9">
        <f t="shared" si="254"/>
        <v>0.25</v>
      </c>
      <c r="AI607" s="1" t="str">
        <f t="shared" si="255"/>
        <v>OK</v>
      </c>
      <c r="AJ607" s="1">
        <v>11833.92</v>
      </c>
      <c r="AK607" s="1">
        <v>6682.92</v>
      </c>
      <c r="AL607" s="1">
        <v>5151</v>
      </c>
      <c r="AM607" s="13">
        <f t="shared" si="256"/>
        <v>11833.92</v>
      </c>
      <c r="AN607" s="9">
        <f t="shared" si="257"/>
        <v>5151</v>
      </c>
      <c r="AO607" s="9">
        <f t="shared" si="266"/>
        <v>0.43527419485681834</v>
      </c>
      <c r="AP607" s="1" t="s">
        <v>33</v>
      </c>
      <c r="AQ607" s="1" t="str">
        <f t="shared" si="258"/>
        <v>Paid</v>
      </c>
      <c r="AR607" s="1" t="str">
        <f t="shared" si="259"/>
        <v>OK</v>
      </c>
      <c r="AS607" s="1" t="s">
        <v>76</v>
      </c>
      <c r="AT607" s="4" t="str">
        <f t="shared" si="260"/>
        <v>Cancelled</v>
      </c>
      <c r="AU607" s="3" t="str">
        <f t="shared" si="261"/>
        <v>EXCLUDE_FROM_SALES</v>
      </c>
      <c r="AV607" s="3" t="str">
        <f t="shared" si="267"/>
        <v>CLEAN</v>
      </c>
      <c r="AW607" t="str">
        <f t="shared" si="268"/>
        <v>MATCH</v>
      </c>
      <c r="AX607" t="str">
        <f t="shared" si="269"/>
        <v>MATCH</v>
      </c>
    </row>
    <row r="608" spans="1:50" ht="15.6" hidden="1">
      <c r="A608" s="1" t="s">
        <v>1049</v>
      </c>
      <c r="B608" s="1">
        <f t="shared" si="243"/>
        <v>2</v>
      </c>
      <c r="C608" s="16">
        <v>45698</v>
      </c>
      <c r="D608" s="16">
        <v>45698</v>
      </c>
      <c r="E608" s="16" t="str">
        <f t="shared" si="262"/>
        <v>Feb</v>
      </c>
      <c r="F608" s="1">
        <f t="shared" si="263"/>
        <v>2025</v>
      </c>
      <c r="G608" t="s">
        <v>2217</v>
      </c>
      <c r="H608" s="17">
        <v>45716</v>
      </c>
      <c r="I608" s="21">
        <f t="shared" si="264"/>
        <v>18</v>
      </c>
      <c r="J608" s="6" t="str">
        <f t="shared" si="265"/>
        <v>OK</v>
      </c>
      <c r="K608" s="1" t="s">
        <v>1051</v>
      </c>
      <c r="L608" s="1" t="s">
        <v>52</v>
      </c>
      <c r="M608" s="1" t="str">
        <f t="shared" si="244"/>
        <v>Isha Nair</v>
      </c>
      <c r="N608" s="1" t="s">
        <v>40</v>
      </c>
      <c r="O608" s="1" t="str">
        <f t="shared" si="245"/>
        <v>Small Business</v>
      </c>
      <c r="P608" s="1" t="s">
        <v>26</v>
      </c>
      <c r="Q608" s="1" t="str">
        <f t="shared" si="246"/>
        <v>North</v>
      </c>
      <c r="R608" s="1" t="str">
        <f t="shared" si="247"/>
        <v>OK</v>
      </c>
      <c r="S608" s="1" t="s">
        <v>146</v>
      </c>
      <c r="T608" s="1" t="str">
        <f t="shared" si="248"/>
        <v>Punjab</v>
      </c>
      <c r="U608" s="1" t="s">
        <v>147</v>
      </c>
      <c r="V608" s="1" t="str">
        <f t="shared" si="249"/>
        <v>Ludhiana</v>
      </c>
      <c r="W608" s="1" t="s">
        <v>44</v>
      </c>
      <c r="X608" s="1" t="str">
        <f t="shared" si="250"/>
        <v>Furniture</v>
      </c>
      <c r="Y608" s="1" t="s">
        <v>63</v>
      </c>
      <c r="Z608" s="1" t="str">
        <f t="shared" si="251"/>
        <v>Furnishings</v>
      </c>
      <c r="AA608" s="1" t="s">
        <v>1052</v>
      </c>
      <c r="AB608" s="1" t="s">
        <v>65</v>
      </c>
      <c r="AC608" s="1" t="str">
        <f t="shared" si="252"/>
        <v>Standard Class</v>
      </c>
      <c r="AD608" s="1" t="str">
        <f t="shared" si="253"/>
        <v>OK</v>
      </c>
      <c r="AE608" s="1">
        <v>4</v>
      </c>
      <c r="AF608" s="1">
        <v>3944.64</v>
      </c>
      <c r="AG608" s="9">
        <v>0.25</v>
      </c>
      <c r="AH608" s="9">
        <f t="shared" si="254"/>
        <v>0.25</v>
      </c>
      <c r="AI608" s="1" t="str">
        <f t="shared" si="255"/>
        <v>OK</v>
      </c>
      <c r="AJ608" s="1">
        <v>12116.89</v>
      </c>
      <c r="AK608" s="1">
        <v>6682.92</v>
      </c>
      <c r="AL608" s="1">
        <v>5151</v>
      </c>
      <c r="AM608" s="13">
        <f t="shared" si="256"/>
        <v>11833.92</v>
      </c>
      <c r="AN608" s="9">
        <f t="shared" si="257"/>
        <v>5151</v>
      </c>
      <c r="AO608" s="9">
        <f t="shared" si="266"/>
        <v>0.43527419485681834</v>
      </c>
      <c r="AP608" s="1" t="s">
        <v>33</v>
      </c>
      <c r="AQ608" s="1" t="str">
        <f t="shared" si="258"/>
        <v>Paid</v>
      </c>
      <c r="AR608" s="1" t="str">
        <f t="shared" si="259"/>
        <v>OK</v>
      </c>
      <c r="AS608" s="1" t="s">
        <v>120</v>
      </c>
      <c r="AT608" s="4" t="str">
        <f t="shared" si="260"/>
        <v>Returned</v>
      </c>
      <c r="AU608" s="3" t="str">
        <f t="shared" si="261"/>
        <v>RETURNED_ORDER</v>
      </c>
      <c r="AV608" s="3" t="str">
        <f t="shared" si="267"/>
        <v>CLEAN</v>
      </c>
      <c r="AW608" t="str">
        <f t="shared" si="268"/>
        <v>MISMATCH</v>
      </c>
      <c r="AX608" t="str">
        <f t="shared" si="269"/>
        <v>MATCH</v>
      </c>
    </row>
    <row r="609" spans="1:50" ht="15.6">
      <c r="A609" s="1" t="s">
        <v>1058</v>
      </c>
      <c r="B609" s="1">
        <f t="shared" si="243"/>
        <v>1</v>
      </c>
      <c r="C609" s="16">
        <v>45757</v>
      </c>
      <c r="D609" s="16">
        <v>45757</v>
      </c>
      <c r="E609" s="16" t="str">
        <f t="shared" si="262"/>
        <v>Apr</v>
      </c>
      <c r="F609" s="1">
        <f t="shared" si="263"/>
        <v>2025</v>
      </c>
      <c r="G609" t="s">
        <v>2539</v>
      </c>
      <c r="H609" s="17">
        <v>45710</v>
      </c>
      <c r="I609" s="21">
        <f t="shared" si="264"/>
        <v>-47</v>
      </c>
      <c r="J609" s="6" t="str">
        <f t="shared" si="265"/>
        <v>INVALID_SHIPPING</v>
      </c>
      <c r="K609" s="1" t="s">
        <v>1059</v>
      </c>
      <c r="L609" s="1" t="s">
        <v>196</v>
      </c>
      <c r="M609" s="1" t="str">
        <f t="shared" si="244"/>
        <v>Diya Patel</v>
      </c>
      <c r="N609" s="1" t="s">
        <v>110</v>
      </c>
      <c r="O609" s="1" t="str">
        <f t="shared" si="245"/>
        <v>Home Office</v>
      </c>
      <c r="P609" s="1"/>
      <c r="Q609" s="1" t="str">
        <f t="shared" si="246"/>
        <v>Unknown</v>
      </c>
      <c r="R609" s="1" t="str">
        <f t="shared" si="247"/>
        <v>MISSING_REGION</v>
      </c>
      <c r="S609" s="1" t="s">
        <v>224</v>
      </c>
      <c r="T609" s="1" t="str">
        <f t="shared" si="248"/>
        <v>Kerala</v>
      </c>
      <c r="U609" s="1" t="s">
        <v>225</v>
      </c>
      <c r="V609" s="1" t="str">
        <f t="shared" si="249"/>
        <v>Kochi</v>
      </c>
      <c r="W609" s="1" t="s">
        <v>83</v>
      </c>
      <c r="X609" s="1" t="str">
        <f t="shared" si="250"/>
        <v>Technology</v>
      </c>
      <c r="Y609" s="1" t="s">
        <v>91</v>
      </c>
      <c r="Z609" s="1" t="str">
        <f t="shared" si="251"/>
        <v>Copiers</v>
      </c>
      <c r="AA609" s="1" t="s">
        <v>1060</v>
      </c>
      <c r="AB609" s="1" t="s">
        <v>47</v>
      </c>
      <c r="AC609" s="1" t="str">
        <f t="shared" si="252"/>
        <v>Same Day</v>
      </c>
      <c r="AD609" s="1" t="str">
        <f t="shared" si="253"/>
        <v>OK</v>
      </c>
      <c r="AE609" s="1">
        <v>1</v>
      </c>
      <c r="AF609" s="1">
        <v>2208.27</v>
      </c>
      <c r="AG609" s="9">
        <v>0.1</v>
      </c>
      <c r="AH609" s="9">
        <f t="shared" si="254"/>
        <v>0.1</v>
      </c>
      <c r="AI609" s="1" t="str">
        <f t="shared" si="255"/>
        <v>OK</v>
      </c>
      <c r="AJ609" s="1">
        <v>1987.44</v>
      </c>
      <c r="AK609" s="1">
        <v>1110.23</v>
      </c>
      <c r="AL609" s="1">
        <v>877.21</v>
      </c>
      <c r="AM609" s="13">
        <f t="shared" si="256"/>
        <v>1987.443</v>
      </c>
      <c r="AN609" s="9">
        <f t="shared" si="257"/>
        <v>877.21299999999997</v>
      </c>
      <c r="AO609" s="9">
        <f t="shared" si="266"/>
        <v>0.44137768982556985</v>
      </c>
      <c r="AP609" s="1" t="s">
        <v>33</v>
      </c>
      <c r="AQ609" s="1" t="str">
        <f t="shared" si="258"/>
        <v>Paid</v>
      </c>
      <c r="AR609" s="1" t="str">
        <f t="shared" si="259"/>
        <v>OK</v>
      </c>
      <c r="AS609" s="1" t="s">
        <v>34</v>
      </c>
      <c r="AT609" s="4" t="str">
        <f t="shared" si="260"/>
        <v>Completed</v>
      </c>
      <c r="AU609" s="3" t="str">
        <f t="shared" si="261"/>
        <v>OK</v>
      </c>
      <c r="AV609" s="3" t="str">
        <f t="shared" si="267"/>
        <v>INVALID</v>
      </c>
      <c r="AW609" t="str">
        <f t="shared" si="268"/>
        <v>MATCH</v>
      </c>
      <c r="AX609" t="str">
        <f t="shared" si="269"/>
        <v>MATCH</v>
      </c>
    </row>
    <row r="610" spans="1:50" ht="15.6">
      <c r="A610" s="1" t="s">
        <v>1070</v>
      </c>
      <c r="B610" s="1">
        <f t="shared" si="243"/>
        <v>1</v>
      </c>
      <c r="C610" s="16">
        <v>45836</v>
      </c>
      <c r="D610" s="16">
        <v>45836</v>
      </c>
      <c r="E610" s="16" t="str">
        <f t="shared" si="262"/>
        <v>Jun</v>
      </c>
      <c r="F610" s="1">
        <f t="shared" si="263"/>
        <v>2025</v>
      </c>
      <c r="G610" t="s">
        <v>1370</v>
      </c>
      <c r="H610" s="17">
        <v>45466</v>
      </c>
      <c r="I610" s="21">
        <f t="shared" si="264"/>
        <v>-370</v>
      </c>
      <c r="J610" s="6" t="str">
        <f t="shared" si="265"/>
        <v>INVALID_SHIPPING</v>
      </c>
      <c r="K610" s="1" t="s">
        <v>1073</v>
      </c>
      <c r="L610" s="1" t="s">
        <v>169</v>
      </c>
      <c r="M610" s="1" t="str">
        <f t="shared" si="244"/>
        <v>Rohan Mehta</v>
      </c>
      <c r="N610" s="1" t="s">
        <v>25</v>
      </c>
      <c r="O610" s="1" t="str">
        <f t="shared" si="245"/>
        <v>Consumer</v>
      </c>
      <c r="P610" s="1" t="s">
        <v>60</v>
      </c>
      <c r="Q610" s="1" t="str">
        <f t="shared" si="246"/>
        <v>South</v>
      </c>
      <c r="R610" s="1" t="str">
        <f t="shared" si="247"/>
        <v>OK</v>
      </c>
      <c r="S610" s="1" t="s">
        <v>61</v>
      </c>
      <c r="T610" s="1" t="str">
        <f t="shared" si="248"/>
        <v>Telangana</v>
      </c>
      <c r="U610" s="1" t="s">
        <v>62</v>
      </c>
      <c r="V610" s="1" t="str">
        <f t="shared" si="249"/>
        <v>Hyderabad</v>
      </c>
      <c r="W610" s="1" t="s">
        <v>44</v>
      </c>
      <c r="X610" s="1" t="str">
        <f t="shared" si="250"/>
        <v>Furniture</v>
      </c>
      <c r="Y610" s="1" t="s">
        <v>190</v>
      </c>
      <c r="Z610" s="1" t="str">
        <f t="shared" si="251"/>
        <v>Bookcases</v>
      </c>
      <c r="AA610" s="1" t="s">
        <v>1074</v>
      </c>
      <c r="AB610" s="1" t="s">
        <v>55</v>
      </c>
      <c r="AC610" s="1" t="str">
        <f t="shared" si="252"/>
        <v>First Class</v>
      </c>
      <c r="AD610" s="1" t="str">
        <f t="shared" si="253"/>
        <v>OK</v>
      </c>
      <c r="AE610" s="1">
        <v>3</v>
      </c>
      <c r="AF610" s="1">
        <v>2886.23</v>
      </c>
      <c r="AG610" s="9">
        <v>0</v>
      </c>
      <c r="AH610" s="9">
        <f t="shared" si="254"/>
        <v>0</v>
      </c>
      <c r="AI610" s="1" t="str">
        <f t="shared" si="255"/>
        <v>OK</v>
      </c>
      <c r="AJ610" s="1">
        <v>8658.69</v>
      </c>
      <c r="AK610" s="1">
        <v>5535.94</v>
      </c>
      <c r="AL610" s="1">
        <v>3122.75</v>
      </c>
      <c r="AM610" s="13">
        <f t="shared" si="256"/>
        <v>8658.69</v>
      </c>
      <c r="AN610" s="9">
        <f t="shared" si="257"/>
        <v>3122.7500000000009</v>
      </c>
      <c r="AO610" s="9">
        <f t="shared" si="266"/>
        <v>0.36064924370776652</v>
      </c>
      <c r="AP610" s="1" t="s">
        <v>119</v>
      </c>
      <c r="AQ610" s="1" t="str">
        <f t="shared" si="258"/>
        <v>Refunded</v>
      </c>
      <c r="AR610" s="1" t="str">
        <f t="shared" si="259"/>
        <v>REFUNDED_PAYMENT</v>
      </c>
      <c r="AS610" s="1" t="s">
        <v>120</v>
      </c>
      <c r="AT610" s="4" t="str">
        <f t="shared" si="260"/>
        <v>Returned</v>
      </c>
      <c r="AU610" s="3" t="str">
        <f t="shared" si="261"/>
        <v>RETURNED_ORDER</v>
      </c>
      <c r="AV610" s="3" t="str">
        <f t="shared" si="267"/>
        <v>INVALID</v>
      </c>
      <c r="AW610" t="str">
        <f t="shared" si="268"/>
        <v>MATCH</v>
      </c>
      <c r="AX610" t="str">
        <f t="shared" si="269"/>
        <v>MATCH</v>
      </c>
    </row>
    <row r="611" spans="1:50" ht="15.6" hidden="1">
      <c r="A611" s="1" t="s">
        <v>1084</v>
      </c>
      <c r="B611" s="1">
        <f t="shared" si="243"/>
        <v>1</v>
      </c>
      <c r="C611" s="16">
        <v>45753</v>
      </c>
      <c r="D611" s="16">
        <v>45753</v>
      </c>
      <c r="E611" s="16" t="str">
        <f t="shared" si="262"/>
        <v>Apr</v>
      </c>
      <c r="F611" s="1">
        <f t="shared" si="263"/>
        <v>2025</v>
      </c>
      <c r="G611" t="s">
        <v>1038</v>
      </c>
      <c r="H611" s="17">
        <v>45992</v>
      </c>
      <c r="I611" s="21">
        <f t="shared" si="264"/>
        <v>239</v>
      </c>
      <c r="J611" s="6" t="str">
        <f t="shared" si="265"/>
        <v>OK</v>
      </c>
      <c r="K611" s="1" t="s">
        <v>1086</v>
      </c>
      <c r="L611" s="1" t="s">
        <v>141</v>
      </c>
      <c r="M611" s="1" t="str">
        <f t="shared" si="244"/>
        <v>Rahul Verma</v>
      </c>
      <c r="N611" s="1" t="s">
        <v>25</v>
      </c>
      <c r="O611" s="1" t="str">
        <f t="shared" si="245"/>
        <v>Consumer</v>
      </c>
      <c r="P611" s="1" t="s">
        <v>60</v>
      </c>
      <c r="Q611" s="1" t="str">
        <f t="shared" si="246"/>
        <v>South</v>
      </c>
      <c r="R611" s="1" t="str">
        <f t="shared" si="247"/>
        <v>OK</v>
      </c>
      <c r="S611" s="1" t="s">
        <v>97</v>
      </c>
      <c r="T611" s="1" t="str">
        <f t="shared" si="248"/>
        <v>Andhra Pradesh</v>
      </c>
      <c r="U611" s="1" t="s">
        <v>98</v>
      </c>
      <c r="V611" s="1" t="str">
        <f t="shared" si="249"/>
        <v>Vijayawada</v>
      </c>
      <c r="W611" s="1" t="s">
        <v>83</v>
      </c>
      <c r="X611" s="1" t="str">
        <f t="shared" si="250"/>
        <v>Technology</v>
      </c>
      <c r="Y611" s="1" t="s">
        <v>207</v>
      </c>
      <c r="Z611" s="1" t="str">
        <f t="shared" si="251"/>
        <v>Phones</v>
      </c>
      <c r="AA611" s="1" t="s">
        <v>1087</v>
      </c>
      <c r="AB611" s="1" t="s">
        <v>65</v>
      </c>
      <c r="AC611" s="1" t="str">
        <f t="shared" si="252"/>
        <v>Standard Class</v>
      </c>
      <c r="AD611" s="1" t="str">
        <f t="shared" si="253"/>
        <v>OK</v>
      </c>
      <c r="AE611" s="1">
        <v>4</v>
      </c>
      <c r="AF611" s="1">
        <v>223.37</v>
      </c>
      <c r="AG611" s="9">
        <v>0.25</v>
      </c>
      <c r="AH611" s="9">
        <f t="shared" si="254"/>
        <v>0.25</v>
      </c>
      <c r="AI611" s="1" t="str">
        <f t="shared" si="255"/>
        <v>OK</v>
      </c>
      <c r="AJ611" s="1">
        <v>670.11</v>
      </c>
      <c r="AK611" s="1">
        <v>559.57000000000005</v>
      </c>
      <c r="AL611" s="1">
        <v>110.54</v>
      </c>
      <c r="AM611" s="13">
        <f t="shared" si="256"/>
        <v>670.11</v>
      </c>
      <c r="AN611" s="9">
        <f t="shared" si="257"/>
        <v>110.53999999999996</v>
      </c>
      <c r="AO611" s="9">
        <f t="shared" si="266"/>
        <v>0.16495799197146732</v>
      </c>
      <c r="AP611" s="1" t="s">
        <v>33</v>
      </c>
      <c r="AQ611" s="1" t="str">
        <f t="shared" si="258"/>
        <v>Paid</v>
      </c>
      <c r="AR611" s="1" t="str">
        <f t="shared" si="259"/>
        <v>OK</v>
      </c>
      <c r="AS611" s="1" t="s">
        <v>34</v>
      </c>
      <c r="AT611" s="4" t="str">
        <f t="shared" si="260"/>
        <v>Completed</v>
      </c>
      <c r="AU611" s="3" t="str">
        <f t="shared" si="261"/>
        <v>OK</v>
      </c>
      <c r="AV611" s="3" t="str">
        <f t="shared" si="267"/>
        <v>CLEAN</v>
      </c>
      <c r="AW611" t="str">
        <f t="shared" si="268"/>
        <v>MATCH</v>
      </c>
      <c r="AX611" t="str">
        <f t="shared" si="269"/>
        <v>MATCH</v>
      </c>
    </row>
    <row r="612" spans="1:50" ht="15.6">
      <c r="A612" s="1" t="s">
        <v>1118</v>
      </c>
      <c r="B612" s="1">
        <f t="shared" si="243"/>
        <v>1</v>
      </c>
      <c r="C612" s="16">
        <v>45815</v>
      </c>
      <c r="D612" s="16">
        <v>45815</v>
      </c>
      <c r="E612" s="16" t="str">
        <f t="shared" si="262"/>
        <v>Jun</v>
      </c>
      <c r="F612" s="1">
        <f t="shared" si="263"/>
        <v>2025</v>
      </c>
      <c r="G612" t="s">
        <v>2551</v>
      </c>
      <c r="H612" s="17">
        <v>45432</v>
      </c>
      <c r="I612" s="21">
        <f t="shared" si="264"/>
        <v>-383</v>
      </c>
      <c r="J612" s="6" t="str">
        <f t="shared" si="265"/>
        <v>INVALID_SHIPPING</v>
      </c>
      <c r="K612" s="1" t="s">
        <v>1120</v>
      </c>
      <c r="L612" s="1" t="s">
        <v>158</v>
      </c>
      <c r="M612" s="1" t="str">
        <f t="shared" si="244"/>
        <v>Sneha Kapoor</v>
      </c>
      <c r="N612" s="1" t="s">
        <v>104</v>
      </c>
      <c r="O612" s="1" t="str">
        <f t="shared" si="245"/>
        <v>Corporate</v>
      </c>
      <c r="P612" s="1" t="s">
        <v>26</v>
      </c>
      <c r="Q612" s="1" t="str">
        <f t="shared" si="246"/>
        <v>North</v>
      </c>
      <c r="R612" s="1" t="str">
        <f t="shared" si="247"/>
        <v>OK</v>
      </c>
      <c r="S612" s="1" t="s">
        <v>294</v>
      </c>
      <c r="T612" s="1" t="str">
        <f t="shared" si="248"/>
        <v>Haryana</v>
      </c>
      <c r="U612" s="1" t="s">
        <v>295</v>
      </c>
      <c r="V612" s="1" t="str">
        <f t="shared" si="249"/>
        <v>Gurugram</v>
      </c>
      <c r="W612" s="1" t="s">
        <v>29</v>
      </c>
      <c r="X612" s="1" t="str">
        <f t="shared" si="250"/>
        <v>Office Supplies</v>
      </c>
      <c r="Y612" s="1" t="s">
        <v>148</v>
      </c>
      <c r="Z612" s="1" t="str">
        <f t="shared" si="251"/>
        <v>Storage</v>
      </c>
      <c r="AA612" s="1" t="s">
        <v>1121</v>
      </c>
      <c r="AB612" s="1" t="s">
        <v>65</v>
      </c>
      <c r="AC612" s="1" t="str">
        <f t="shared" si="252"/>
        <v>Standard Class</v>
      </c>
      <c r="AD612" s="1" t="str">
        <f t="shared" si="253"/>
        <v>OK</v>
      </c>
      <c r="AE612" s="1">
        <v>1</v>
      </c>
      <c r="AF612" s="1">
        <v>1617.2</v>
      </c>
      <c r="AG612" s="9">
        <v>0.25</v>
      </c>
      <c r="AH612" s="9">
        <f t="shared" si="254"/>
        <v>0.25</v>
      </c>
      <c r="AI612" s="1" t="str">
        <f t="shared" si="255"/>
        <v>OK</v>
      </c>
      <c r="AJ612" s="1">
        <v>1212.9000000000001</v>
      </c>
      <c r="AK612" s="1">
        <v>690.52</v>
      </c>
      <c r="AL612" s="1">
        <v>522.38</v>
      </c>
      <c r="AM612" s="13">
        <f t="shared" si="256"/>
        <v>1212.9000000000001</v>
      </c>
      <c r="AN612" s="9">
        <f t="shared" si="257"/>
        <v>522.38000000000011</v>
      </c>
      <c r="AO612" s="9">
        <f t="shared" si="266"/>
        <v>0.4306867837414462</v>
      </c>
      <c r="AP612" s="1" t="s">
        <v>131</v>
      </c>
      <c r="AQ612" s="1" t="str">
        <f t="shared" si="258"/>
        <v>Pending</v>
      </c>
      <c r="AR612" s="1" t="str">
        <f t="shared" si="259"/>
        <v>OK</v>
      </c>
      <c r="AS612" s="1" t="s">
        <v>120</v>
      </c>
      <c r="AT612" s="4" t="str">
        <f t="shared" si="260"/>
        <v>Returned</v>
      </c>
      <c r="AU612" s="3" t="str">
        <f t="shared" si="261"/>
        <v>RETURNED_ORDER</v>
      </c>
      <c r="AV612" s="3" t="str">
        <f t="shared" si="267"/>
        <v>INVALID</v>
      </c>
      <c r="AW612" t="str">
        <f t="shared" si="268"/>
        <v>MATCH</v>
      </c>
      <c r="AX612" t="str">
        <f t="shared" si="269"/>
        <v>MATCH</v>
      </c>
    </row>
    <row r="613" spans="1:50" ht="15.6" hidden="1">
      <c r="A613" s="1" t="s">
        <v>1122</v>
      </c>
      <c r="B613" s="1">
        <f t="shared" si="243"/>
        <v>1</v>
      </c>
      <c r="C613" s="16">
        <v>45840</v>
      </c>
      <c r="D613" s="16">
        <v>45840</v>
      </c>
      <c r="E613" s="16" t="str">
        <f t="shared" si="262"/>
        <v>Jul</v>
      </c>
      <c r="F613" s="1">
        <f t="shared" si="263"/>
        <v>2025</v>
      </c>
      <c r="G613" t="s">
        <v>2554</v>
      </c>
      <c r="H613" s="17">
        <v>45853</v>
      </c>
      <c r="I613" s="21">
        <f t="shared" si="264"/>
        <v>13</v>
      </c>
      <c r="J613" s="6" t="str">
        <f t="shared" si="265"/>
        <v>OK</v>
      </c>
      <c r="K613" s="1" t="s">
        <v>1124</v>
      </c>
      <c r="L613" s="1" t="s">
        <v>59</v>
      </c>
      <c r="M613" s="1" t="str">
        <f t="shared" si="244"/>
        <v>Arjun Bose</v>
      </c>
      <c r="N613" s="1" t="s">
        <v>25</v>
      </c>
      <c r="O613" s="1" t="str">
        <f t="shared" si="245"/>
        <v>Consumer</v>
      </c>
      <c r="P613" s="1" t="s">
        <v>26</v>
      </c>
      <c r="Q613" s="1" t="str">
        <f t="shared" si="246"/>
        <v>North</v>
      </c>
      <c r="R613" s="1" t="str">
        <f t="shared" si="247"/>
        <v>OK</v>
      </c>
      <c r="S613" s="1" t="s">
        <v>163</v>
      </c>
      <c r="T613" s="1" t="str">
        <f t="shared" si="248"/>
        <v>Uttar Pradesh</v>
      </c>
      <c r="U613" s="1" t="s">
        <v>164</v>
      </c>
      <c r="V613" s="1" t="str">
        <f t="shared" si="249"/>
        <v>Noida</v>
      </c>
      <c r="W613" s="1" t="s">
        <v>29</v>
      </c>
      <c r="X613" s="1" t="str">
        <f t="shared" si="250"/>
        <v>Office Supplies</v>
      </c>
      <c r="Y613" s="1" t="s">
        <v>53</v>
      </c>
      <c r="Z613" s="1" t="str">
        <f t="shared" si="251"/>
        <v>Art</v>
      </c>
      <c r="AA613" s="1" t="s">
        <v>1125</v>
      </c>
      <c r="AB613" s="1" t="s">
        <v>32</v>
      </c>
      <c r="AC613" s="1" t="str">
        <f t="shared" si="252"/>
        <v>Second Class</v>
      </c>
      <c r="AD613" s="1" t="str">
        <f t="shared" si="253"/>
        <v>OK</v>
      </c>
      <c r="AE613" s="1">
        <v>3</v>
      </c>
      <c r="AF613" s="1">
        <v>1999.24</v>
      </c>
      <c r="AG613" s="9">
        <v>0.05</v>
      </c>
      <c r="AH613" s="9">
        <f t="shared" si="254"/>
        <v>0.05</v>
      </c>
      <c r="AI613" s="1" t="str">
        <f t="shared" si="255"/>
        <v>OK</v>
      </c>
      <c r="AJ613" s="1">
        <v>5697.83</v>
      </c>
      <c r="AK613" s="1">
        <v>4251.5</v>
      </c>
      <c r="AL613" s="1">
        <v>1446.33</v>
      </c>
      <c r="AM613" s="13">
        <f t="shared" si="256"/>
        <v>5697.8339999999998</v>
      </c>
      <c r="AN613" s="9">
        <f t="shared" si="257"/>
        <v>1446.3339999999998</v>
      </c>
      <c r="AO613" s="9">
        <f t="shared" si="266"/>
        <v>0.25383926593860051</v>
      </c>
      <c r="AP613" s="1" t="s">
        <v>33</v>
      </c>
      <c r="AQ613" s="1" t="str">
        <f t="shared" si="258"/>
        <v>Paid</v>
      </c>
      <c r="AR613" s="1" t="str">
        <f t="shared" si="259"/>
        <v>OK</v>
      </c>
      <c r="AS613" s="1" t="s">
        <v>34</v>
      </c>
      <c r="AT613" s="4" t="str">
        <f t="shared" si="260"/>
        <v>Completed</v>
      </c>
      <c r="AU613" s="3" t="str">
        <f t="shared" si="261"/>
        <v>OK</v>
      </c>
      <c r="AV613" s="3" t="str">
        <f t="shared" si="267"/>
        <v>CLEAN</v>
      </c>
      <c r="AW613" t="str">
        <f t="shared" si="268"/>
        <v>MATCH</v>
      </c>
      <c r="AX613" t="str">
        <f t="shared" si="269"/>
        <v>MATCH</v>
      </c>
    </row>
    <row r="614" spans="1:50" ht="15.6">
      <c r="A614" s="1" t="s">
        <v>1126</v>
      </c>
      <c r="B614" s="1">
        <f t="shared" si="243"/>
        <v>1</v>
      </c>
      <c r="C614" s="16">
        <v>45867</v>
      </c>
      <c r="D614" s="16">
        <v>45867</v>
      </c>
      <c r="E614" s="16" t="str">
        <f t="shared" si="262"/>
        <v>Jul</v>
      </c>
      <c r="F614" s="1">
        <f t="shared" si="263"/>
        <v>2025</v>
      </c>
      <c r="G614" t="s">
        <v>2558</v>
      </c>
      <c r="H614" s="17">
        <v>45760</v>
      </c>
      <c r="I614" s="21">
        <f t="shared" si="264"/>
        <v>-107</v>
      </c>
      <c r="J614" s="6" t="str">
        <f t="shared" si="265"/>
        <v>INVALID_SHIPPING</v>
      </c>
      <c r="K614" s="1" t="s">
        <v>1128</v>
      </c>
      <c r="L614" s="1" t="s">
        <v>158</v>
      </c>
      <c r="M614" s="1" t="str">
        <f t="shared" si="244"/>
        <v>Sneha Kapoor</v>
      </c>
      <c r="N614" s="1" t="s">
        <v>40</v>
      </c>
      <c r="O614" s="1" t="str">
        <f t="shared" si="245"/>
        <v>Small Business</v>
      </c>
      <c r="P614" s="1"/>
      <c r="Q614" s="1" t="str">
        <f t="shared" si="246"/>
        <v>Unknown</v>
      </c>
      <c r="R614" s="1" t="str">
        <f t="shared" si="247"/>
        <v>MISSING_REGION</v>
      </c>
      <c r="S614" s="1" t="s">
        <v>81</v>
      </c>
      <c r="T614" s="1" t="str">
        <f t="shared" si="248"/>
        <v>Madhya Pradesh</v>
      </c>
      <c r="U614" s="1" t="s">
        <v>82</v>
      </c>
      <c r="V614" s="1" t="str">
        <f t="shared" si="249"/>
        <v>Indore</v>
      </c>
      <c r="W614" s="1" t="s">
        <v>83</v>
      </c>
      <c r="X614" s="1" t="str">
        <f t="shared" si="250"/>
        <v>Technology</v>
      </c>
      <c r="Y614" s="1" t="s">
        <v>84</v>
      </c>
      <c r="Z614" s="1" t="str">
        <f t="shared" si="251"/>
        <v>Accessories</v>
      </c>
      <c r="AA614" s="1" t="s">
        <v>1129</v>
      </c>
      <c r="AB614" s="1" t="s">
        <v>55</v>
      </c>
      <c r="AC614" s="1" t="str">
        <f t="shared" si="252"/>
        <v>First Class</v>
      </c>
      <c r="AD614" s="1" t="str">
        <f t="shared" si="253"/>
        <v>OK</v>
      </c>
      <c r="AE614" s="1">
        <v>1</v>
      </c>
      <c r="AF614" s="1">
        <v>4499.46</v>
      </c>
      <c r="AG614" s="9">
        <v>0.1</v>
      </c>
      <c r="AH614" s="9">
        <f t="shared" si="254"/>
        <v>0.1</v>
      </c>
      <c r="AI614" s="1" t="str">
        <f t="shared" si="255"/>
        <v>OK</v>
      </c>
      <c r="AJ614" s="1">
        <v>4049.51</v>
      </c>
      <c r="AK614" s="1">
        <v>2509.1999999999998</v>
      </c>
      <c r="AL614" s="1">
        <v>1540.31</v>
      </c>
      <c r="AM614" s="13">
        <f t="shared" si="256"/>
        <v>4049.5140000000001</v>
      </c>
      <c r="AN614" s="9">
        <f t="shared" si="257"/>
        <v>1540.3140000000003</v>
      </c>
      <c r="AO614" s="9">
        <f t="shared" si="266"/>
        <v>0.38037008885510715</v>
      </c>
      <c r="AP614" s="1" t="s">
        <v>33</v>
      </c>
      <c r="AQ614" s="1" t="str">
        <f t="shared" si="258"/>
        <v>Paid</v>
      </c>
      <c r="AR614" s="1" t="str">
        <f t="shared" si="259"/>
        <v>OK</v>
      </c>
      <c r="AS614" s="1" t="s">
        <v>908</v>
      </c>
      <c r="AT614" s="4" t="str">
        <f t="shared" si="260"/>
        <v>Completed</v>
      </c>
      <c r="AU614" s="3" t="str">
        <f t="shared" si="261"/>
        <v>OK</v>
      </c>
      <c r="AV614" s="3" t="str">
        <f t="shared" si="267"/>
        <v>INVALID</v>
      </c>
      <c r="AW614" t="str">
        <f t="shared" si="268"/>
        <v>MATCH</v>
      </c>
      <c r="AX614" t="str">
        <f t="shared" si="269"/>
        <v>MATCH</v>
      </c>
    </row>
    <row r="615" spans="1:50" ht="15.6">
      <c r="A615" s="1" t="s">
        <v>1150</v>
      </c>
      <c r="B615" s="1">
        <f t="shared" si="243"/>
        <v>1</v>
      </c>
      <c r="C615" s="16">
        <v>45665</v>
      </c>
      <c r="D615" s="16">
        <v>45665</v>
      </c>
      <c r="E615" s="16" t="str">
        <f t="shared" si="262"/>
        <v>Jan</v>
      </c>
      <c r="F615" s="1">
        <f t="shared" si="263"/>
        <v>2025</v>
      </c>
      <c r="G615" t="s">
        <v>2562</v>
      </c>
      <c r="H615" s="17">
        <v>45575</v>
      </c>
      <c r="I615" s="21">
        <f t="shared" si="264"/>
        <v>-90</v>
      </c>
      <c r="J615" s="6" t="str">
        <f t="shared" si="265"/>
        <v>INVALID_SHIPPING</v>
      </c>
      <c r="K615" s="1" t="s">
        <v>1152</v>
      </c>
      <c r="L615" s="1" t="s">
        <v>39</v>
      </c>
      <c r="M615" s="1" t="str">
        <f t="shared" si="244"/>
        <v>Mira Das</v>
      </c>
      <c r="N615" s="1" t="s">
        <v>104</v>
      </c>
      <c r="O615" s="1" t="str">
        <f t="shared" si="245"/>
        <v>Corporate</v>
      </c>
      <c r="P615" s="1" t="s">
        <v>26</v>
      </c>
      <c r="Q615" s="1" t="str">
        <f t="shared" si="246"/>
        <v>North</v>
      </c>
      <c r="R615" s="1" t="str">
        <f t="shared" si="247"/>
        <v>OK</v>
      </c>
      <c r="S615" s="1" t="s">
        <v>27</v>
      </c>
      <c r="T615" s="1" t="str">
        <f t="shared" si="248"/>
        <v>Rajasthan</v>
      </c>
      <c r="U615" s="1" t="s">
        <v>28</v>
      </c>
      <c r="V615" s="1" t="str">
        <f t="shared" si="249"/>
        <v>Jaipur</v>
      </c>
      <c r="W615" s="1" t="s">
        <v>44</v>
      </c>
      <c r="X615" s="1" t="str">
        <f t="shared" si="250"/>
        <v>Furniture</v>
      </c>
      <c r="Y615" s="1" t="s">
        <v>63</v>
      </c>
      <c r="Z615" s="1" t="str">
        <f t="shared" si="251"/>
        <v>Furnishings</v>
      </c>
      <c r="AA615" s="1" t="s">
        <v>1153</v>
      </c>
      <c r="AB615" s="1" t="s">
        <v>55</v>
      </c>
      <c r="AC615" s="1" t="str">
        <f t="shared" si="252"/>
        <v>First Class</v>
      </c>
      <c r="AD615" s="1" t="str">
        <f t="shared" si="253"/>
        <v>OK</v>
      </c>
      <c r="AE615" s="1">
        <v>4</v>
      </c>
      <c r="AF615" s="1">
        <v>2790.29</v>
      </c>
      <c r="AG615" s="9">
        <v>0.2</v>
      </c>
      <c r="AH615" s="9">
        <f t="shared" si="254"/>
        <v>0.2</v>
      </c>
      <c r="AI615" s="1" t="str">
        <f t="shared" si="255"/>
        <v>OK</v>
      </c>
      <c r="AJ615" s="1">
        <v>8928.93</v>
      </c>
      <c r="AK615" s="1">
        <v>5634.38</v>
      </c>
      <c r="AL615" s="1">
        <v>3294.55</v>
      </c>
      <c r="AM615" s="13">
        <f t="shared" si="256"/>
        <v>8928.9279999999999</v>
      </c>
      <c r="AN615" s="9">
        <f t="shared" si="257"/>
        <v>3294.5479999999998</v>
      </c>
      <c r="AO615" s="9">
        <f t="shared" si="266"/>
        <v>0.36897464062875185</v>
      </c>
      <c r="AP615" s="1" t="s">
        <v>33</v>
      </c>
      <c r="AQ615" s="1" t="str">
        <f t="shared" si="258"/>
        <v>Paid</v>
      </c>
      <c r="AR615" s="1" t="str">
        <f t="shared" si="259"/>
        <v>OK</v>
      </c>
      <c r="AS615" s="1" t="s">
        <v>34</v>
      </c>
      <c r="AT615" s="4" t="str">
        <f t="shared" si="260"/>
        <v>Completed</v>
      </c>
      <c r="AU615" s="3" t="str">
        <f t="shared" si="261"/>
        <v>OK</v>
      </c>
      <c r="AV615" s="3" t="str">
        <f t="shared" si="267"/>
        <v>INVALID</v>
      </c>
      <c r="AW615" t="str">
        <f t="shared" si="268"/>
        <v>MATCH</v>
      </c>
      <c r="AX615" t="str">
        <f t="shared" si="269"/>
        <v>MATCH</v>
      </c>
    </row>
    <row r="616" spans="1:50" ht="15.6">
      <c r="A616" s="1" t="s">
        <v>1158</v>
      </c>
      <c r="B616" s="1">
        <f t="shared" si="243"/>
        <v>1</v>
      </c>
      <c r="C616" s="16">
        <v>45812</v>
      </c>
      <c r="D616" s="16">
        <v>45812</v>
      </c>
      <c r="E616" s="16" t="str">
        <f t="shared" si="262"/>
        <v>Jun</v>
      </c>
      <c r="F616" s="1">
        <f t="shared" si="263"/>
        <v>2025</v>
      </c>
      <c r="G616" t="s">
        <v>2566</v>
      </c>
      <c r="H616" s="17">
        <v>45341</v>
      </c>
      <c r="I616" s="21">
        <f t="shared" si="264"/>
        <v>-471</v>
      </c>
      <c r="J616" s="6" t="str">
        <f t="shared" si="265"/>
        <v>INVALID_SHIPPING</v>
      </c>
      <c r="K616" s="1" t="s">
        <v>1159</v>
      </c>
      <c r="L616" s="1" t="s">
        <v>70</v>
      </c>
      <c r="M616" s="1" t="str">
        <f t="shared" si="244"/>
        <v>Ananya Rao</v>
      </c>
      <c r="N616" s="1" t="s">
        <v>104</v>
      </c>
      <c r="O616" s="1" t="str">
        <f t="shared" si="245"/>
        <v>Corporate</v>
      </c>
      <c r="P616" s="1" t="s">
        <v>71</v>
      </c>
      <c r="Q616" s="1" t="str">
        <f t="shared" si="246"/>
        <v>West</v>
      </c>
      <c r="R616" s="1" t="str">
        <f t="shared" si="247"/>
        <v>OK</v>
      </c>
      <c r="S616" s="1" t="s">
        <v>218</v>
      </c>
      <c r="T616" s="1" t="str">
        <f t="shared" si="248"/>
        <v>Gujarat</v>
      </c>
      <c r="U616" s="1" t="s">
        <v>219</v>
      </c>
      <c r="V616" s="1" t="str">
        <f t="shared" si="249"/>
        <v>Ahmedabad</v>
      </c>
      <c r="W616" s="1" t="s">
        <v>44</v>
      </c>
      <c r="X616" s="1" t="str">
        <f t="shared" si="250"/>
        <v>Furniture</v>
      </c>
      <c r="Y616" s="1" t="s">
        <v>45</v>
      </c>
      <c r="Z616" s="1" t="str">
        <f t="shared" si="251"/>
        <v>Tables</v>
      </c>
      <c r="AA616" s="1" t="s">
        <v>1160</v>
      </c>
      <c r="AB616" s="1" t="s">
        <v>32</v>
      </c>
      <c r="AC616" s="1" t="str">
        <f t="shared" si="252"/>
        <v>Second Class</v>
      </c>
      <c r="AD616" s="1" t="str">
        <f t="shared" si="253"/>
        <v>OK</v>
      </c>
      <c r="AE616" s="1">
        <v>6</v>
      </c>
      <c r="AF616" s="1">
        <v>1022.16</v>
      </c>
      <c r="AG616" s="9">
        <v>0</v>
      </c>
      <c r="AH616" s="9">
        <f t="shared" si="254"/>
        <v>0</v>
      </c>
      <c r="AI616" s="1" t="str">
        <f t="shared" si="255"/>
        <v>OK</v>
      </c>
      <c r="AJ616" s="1">
        <v>6132.96</v>
      </c>
      <c r="AK616" s="1">
        <v>4881.1000000000004</v>
      </c>
      <c r="AL616" s="1">
        <v>1251.8599999999999</v>
      </c>
      <c r="AM616" s="13">
        <f t="shared" si="256"/>
        <v>6132.96</v>
      </c>
      <c r="AN616" s="9">
        <f t="shared" si="257"/>
        <v>1251.8599999999997</v>
      </c>
      <c r="AO616" s="9">
        <f t="shared" si="266"/>
        <v>0.20412003339333692</v>
      </c>
      <c r="AP616" s="1" t="s">
        <v>33</v>
      </c>
      <c r="AQ616" s="1" t="str">
        <f t="shared" si="258"/>
        <v>Paid</v>
      </c>
      <c r="AR616" s="1" t="str">
        <f t="shared" si="259"/>
        <v>OK</v>
      </c>
      <c r="AS616" s="1" t="s">
        <v>34</v>
      </c>
      <c r="AT616" s="4" t="str">
        <f t="shared" si="260"/>
        <v>Completed</v>
      </c>
      <c r="AU616" s="3" t="str">
        <f t="shared" si="261"/>
        <v>OK</v>
      </c>
      <c r="AV616" s="3" t="str">
        <f t="shared" si="267"/>
        <v>INVALID</v>
      </c>
      <c r="AW616" t="str">
        <f t="shared" si="268"/>
        <v>MATCH</v>
      </c>
      <c r="AX616" t="str">
        <f t="shared" si="269"/>
        <v>MATCH</v>
      </c>
    </row>
    <row r="617" spans="1:50" ht="15.6">
      <c r="A617" s="1" t="s">
        <v>1161</v>
      </c>
      <c r="B617" s="1">
        <f t="shared" si="243"/>
        <v>1</v>
      </c>
      <c r="C617" s="16">
        <v>45833</v>
      </c>
      <c r="D617" s="16">
        <v>45833</v>
      </c>
      <c r="E617" s="16" t="str">
        <f t="shared" si="262"/>
        <v>Jun</v>
      </c>
      <c r="F617" s="1">
        <f t="shared" si="263"/>
        <v>2025</v>
      </c>
      <c r="G617" t="s">
        <v>2570</v>
      </c>
      <c r="H617" s="17">
        <v>45572</v>
      </c>
      <c r="I617" s="21">
        <f t="shared" si="264"/>
        <v>-261</v>
      </c>
      <c r="J617" s="6" t="str">
        <f t="shared" si="265"/>
        <v>INVALID_SHIPPING</v>
      </c>
      <c r="K617" s="1" t="s">
        <v>1162</v>
      </c>
      <c r="L617" s="1" t="s">
        <v>59</v>
      </c>
      <c r="M617" s="1" t="str">
        <f t="shared" si="244"/>
        <v>Arjun Bose</v>
      </c>
      <c r="N617" s="1" t="s">
        <v>104</v>
      </c>
      <c r="O617" s="1" t="str">
        <f t="shared" si="245"/>
        <v>Corporate</v>
      </c>
      <c r="P617" s="1" t="s">
        <v>26</v>
      </c>
      <c r="Q617" s="1" t="str">
        <f t="shared" si="246"/>
        <v>North</v>
      </c>
      <c r="R617" s="1" t="str">
        <f t="shared" si="247"/>
        <v>OK</v>
      </c>
      <c r="S617" s="1" t="s">
        <v>294</v>
      </c>
      <c r="T617" s="1" t="str">
        <f t="shared" si="248"/>
        <v>Haryana</v>
      </c>
      <c r="U617" s="1" t="s">
        <v>295</v>
      </c>
      <c r="V617" s="1" t="str">
        <f t="shared" si="249"/>
        <v>Gurugram</v>
      </c>
      <c r="W617" s="1" t="s">
        <v>29</v>
      </c>
      <c r="X617" s="1" t="str">
        <f t="shared" si="250"/>
        <v>Office Supplies</v>
      </c>
      <c r="Y617" s="1" t="s">
        <v>148</v>
      </c>
      <c r="Z617" s="1" t="str">
        <f t="shared" si="251"/>
        <v>Storage</v>
      </c>
      <c r="AA617" s="1" t="s">
        <v>1163</v>
      </c>
      <c r="AB617" s="1" t="s">
        <v>55</v>
      </c>
      <c r="AC617" s="1" t="str">
        <f t="shared" si="252"/>
        <v>First Class</v>
      </c>
      <c r="AD617" s="1" t="str">
        <f t="shared" si="253"/>
        <v>OK</v>
      </c>
      <c r="AE617" s="1">
        <v>2</v>
      </c>
      <c r="AF617" s="1">
        <v>1455.92</v>
      </c>
      <c r="AG617" s="9">
        <v>0.2</v>
      </c>
      <c r="AH617" s="9">
        <f t="shared" si="254"/>
        <v>0.2</v>
      </c>
      <c r="AI617" s="1" t="str">
        <f t="shared" si="255"/>
        <v>OK</v>
      </c>
      <c r="AJ617" s="1">
        <v>2329.4699999999998</v>
      </c>
      <c r="AK617" s="1">
        <v>1603.62</v>
      </c>
      <c r="AL617" s="1">
        <v>725.85</v>
      </c>
      <c r="AM617" s="13">
        <f t="shared" si="256"/>
        <v>2329.4720000000002</v>
      </c>
      <c r="AN617" s="9">
        <f t="shared" si="257"/>
        <v>725.85200000000032</v>
      </c>
      <c r="AO617" s="9">
        <f t="shared" si="266"/>
        <v>0.31159507390515973</v>
      </c>
      <c r="AP617" s="1" t="s">
        <v>131</v>
      </c>
      <c r="AQ617" s="1" t="str">
        <f t="shared" si="258"/>
        <v>Pending</v>
      </c>
      <c r="AR617" s="1" t="str">
        <f t="shared" si="259"/>
        <v>OK</v>
      </c>
      <c r="AS617" s="1" t="s">
        <v>120</v>
      </c>
      <c r="AT617" s="4" t="str">
        <f t="shared" si="260"/>
        <v>Returned</v>
      </c>
      <c r="AU617" s="3" t="str">
        <f t="shared" si="261"/>
        <v>RETURNED_ORDER</v>
      </c>
      <c r="AV617" s="3" t="str">
        <f t="shared" si="267"/>
        <v>INVALID</v>
      </c>
      <c r="AW617" t="str">
        <f t="shared" si="268"/>
        <v>MATCH</v>
      </c>
      <c r="AX617" t="str">
        <f t="shared" si="269"/>
        <v>MATCH</v>
      </c>
    </row>
    <row r="618" spans="1:50" ht="15.6">
      <c r="A618" s="1" t="s">
        <v>1168</v>
      </c>
      <c r="B618" s="1">
        <f t="shared" si="243"/>
        <v>1</v>
      </c>
      <c r="C618" s="16">
        <v>45658</v>
      </c>
      <c r="D618" s="16">
        <v>45658</v>
      </c>
      <c r="E618" s="16" t="str">
        <f t="shared" si="262"/>
        <v>Jan</v>
      </c>
      <c r="F618" s="1">
        <f t="shared" si="263"/>
        <v>2025</v>
      </c>
      <c r="G618" t="s">
        <v>2512</v>
      </c>
      <c r="H618" s="17">
        <v>45523</v>
      </c>
      <c r="I618" s="21">
        <f t="shared" si="264"/>
        <v>-135</v>
      </c>
      <c r="J618" s="6" t="str">
        <f t="shared" si="265"/>
        <v>INVALID_SHIPPING</v>
      </c>
      <c r="K618" s="1" t="s">
        <v>1170</v>
      </c>
      <c r="L618" s="1" t="s">
        <v>70</v>
      </c>
      <c r="M618" s="1" t="str">
        <f t="shared" si="244"/>
        <v>Ananya Rao</v>
      </c>
      <c r="N618" s="1" t="s">
        <v>25</v>
      </c>
      <c r="O618" s="1" t="str">
        <f t="shared" si="245"/>
        <v>Consumer</v>
      </c>
      <c r="P618" s="1" t="s">
        <v>71</v>
      </c>
      <c r="Q618" s="1" t="str">
        <f t="shared" si="246"/>
        <v>West</v>
      </c>
      <c r="R618" s="1" t="str">
        <f t="shared" si="247"/>
        <v>OK</v>
      </c>
      <c r="S618" s="1" t="s">
        <v>81</v>
      </c>
      <c r="T618" s="1" t="str">
        <f t="shared" si="248"/>
        <v>Madhya Pradesh</v>
      </c>
      <c r="U618" s="1" t="s">
        <v>82</v>
      </c>
      <c r="V618" s="1" t="str">
        <f t="shared" si="249"/>
        <v>Indore</v>
      </c>
      <c r="W618" s="1" t="s">
        <v>83</v>
      </c>
      <c r="X618" s="1" t="str">
        <f t="shared" si="250"/>
        <v>Technology</v>
      </c>
      <c r="Y618" s="1" t="s">
        <v>84</v>
      </c>
      <c r="Z618" s="1" t="str">
        <f t="shared" si="251"/>
        <v>Accessories</v>
      </c>
      <c r="AA618" s="1" t="s">
        <v>1171</v>
      </c>
      <c r="AB618" s="1" t="s">
        <v>47</v>
      </c>
      <c r="AC618" s="1" t="str">
        <f t="shared" si="252"/>
        <v>Same Day</v>
      </c>
      <c r="AD618" s="1" t="str">
        <f t="shared" si="253"/>
        <v>OK</v>
      </c>
      <c r="AE618" s="1">
        <v>7</v>
      </c>
      <c r="AF618" s="1">
        <v>1000.55</v>
      </c>
      <c r="AG618" s="9">
        <v>0.2</v>
      </c>
      <c r="AH618" s="9">
        <f t="shared" si="254"/>
        <v>0.2</v>
      </c>
      <c r="AI618" s="1" t="str">
        <f t="shared" si="255"/>
        <v>OK</v>
      </c>
      <c r="AJ618" s="1">
        <v>5603.08</v>
      </c>
      <c r="AK618" s="1">
        <v>3132.52</v>
      </c>
      <c r="AL618" s="1">
        <v>2470.56</v>
      </c>
      <c r="AM618" s="13">
        <f t="shared" si="256"/>
        <v>5603.08</v>
      </c>
      <c r="AN618" s="9">
        <f t="shared" si="257"/>
        <v>2470.56</v>
      </c>
      <c r="AO618" s="9">
        <f t="shared" si="266"/>
        <v>0.44092891766671188</v>
      </c>
      <c r="AP618" s="1" t="s">
        <v>33</v>
      </c>
      <c r="AQ618" s="1" t="str">
        <f t="shared" si="258"/>
        <v>Paid</v>
      </c>
      <c r="AR618" s="1" t="str">
        <f t="shared" si="259"/>
        <v>OK</v>
      </c>
      <c r="AS618" s="1" t="s">
        <v>120</v>
      </c>
      <c r="AT618" s="4" t="str">
        <f t="shared" si="260"/>
        <v>Returned</v>
      </c>
      <c r="AU618" s="3" t="str">
        <f t="shared" si="261"/>
        <v>RETURNED_ORDER</v>
      </c>
      <c r="AV618" s="3" t="str">
        <f t="shared" si="267"/>
        <v>INVALID</v>
      </c>
      <c r="AW618" t="str">
        <f t="shared" si="268"/>
        <v>MATCH</v>
      </c>
      <c r="AX618" t="str">
        <f t="shared" si="269"/>
        <v>MATCH</v>
      </c>
    </row>
    <row r="619" spans="1:50" ht="15.6">
      <c r="A619" s="1" t="s">
        <v>1172</v>
      </c>
      <c r="B619" s="1">
        <f t="shared" si="243"/>
        <v>1</v>
      </c>
      <c r="C619" s="16">
        <v>45749</v>
      </c>
      <c r="D619" s="16">
        <v>45749</v>
      </c>
      <c r="E619" s="16" t="str">
        <f t="shared" si="262"/>
        <v>Apr</v>
      </c>
      <c r="F619" s="1">
        <f t="shared" si="263"/>
        <v>2025</v>
      </c>
      <c r="G619" t="s">
        <v>863</v>
      </c>
      <c r="H619" s="17">
        <v>45565</v>
      </c>
      <c r="I619" s="21">
        <f t="shared" si="264"/>
        <v>-184</v>
      </c>
      <c r="J619" s="6" t="str">
        <f t="shared" si="265"/>
        <v>INVALID_SHIPPING</v>
      </c>
      <c r="K619" s="1" t="s">
        <v>1174</v>
      </c>
      <c r="L619" s="1" t="s">
        <v>52</v>
      </c>
      <c r="M619" s="1" t="str">
        <f t="shared" si="244"/>
        <v>Isha Nair</v>
      </c>
      <c r="N619" s="1" t="s">
        <v>104</v>
      </c>
      <c r="O619" s="1" t="str">
        <f t="shared" si="245"/>
        <v>Corporate</v>
      </c>
      <c r="P619" s="1" t="s">
        <v>71</v>
      </c>
      <c r="Q619" s="1" t="str">
        <f t="shared" si="246"/>
        <v>West</v>
      </c>
      <c r="R619" s="1" t="str">
        <f t="shared" si="247"/>
        <v>OK</v>
      </c>
      <c r="S619" s="1" t="s">
        <v>72</v>
      </c>
      <c r="T619" s="1" t="str">
        <f t="shared" si="248"/>
        <v>Maharashtra</v>
      </c>
      <c r="U619" s="1" t="s">
        <v>73</v>
      </c>
      <c r="V619" s="1" t="str">
        <f t="shared" si="249"/>
        <v>Mumbai</v>
      </c>
      <c r="W619" s="1" t="s">
        <v>83</v>
      </c>
      <c r="X619" s="1" t="str">
        <f t="shared" si="250"/>
        <v>Technology</v>
      </c>
      <c r="Y619" s="1" t="s">
        <v>207</v>
      </c>
      <c r="Z619" s="1" t="str">
        <f t="shared" si="251"/>
        <v>Phones</v>
      </c>
      <c r="AA619" s="1" t="s">
        <v>1175</v>
      </c>
      <c r="AB619" s="1" t="s">
        <v>55</v>
      </c>
      <c r="AC619" s="1" t="str">
        <f t="shared" si="252"/>
        <v>First Class</v>
      </c>
      <c r="AD619" s="1" t="str">
        <f t="shared" si="253"/>
        <v>OK</v>
      </c>
      <c r="AE619" s="1">
        <v>7</v>
      </c>
      <c r="AF619" s="1">
        <v>1830</v>
      </c>
      <c r="AG619" s="9">
        <v>0</v>
      </c>
      <c r="AH619" s="9">
        <f t="shared" si="254"/>
        <v>0</v>
      </c>
      <c r="AI619" s="1" t="str">
        <f t="shared" si="255"/>
        <v>OK</v>
      </c>
      <c r="AJ619" s="1">
        <v>12810</v>
      </c>
      <c r="AK619" s="1">
        <v>9334.1200000000008</v>
      </c>
      <c r="AL619" s="1">
        <v>3475.88</v>
      </c>
      <c r="AM619" s="13">
        <f t="shared" si="256"/>
        <v>12810</v>
      </c>
      <c r="AN619" s="9">
        <f t="shared" si="257"/>
        <v>3475.8799999999992</v>
      </c>
      <c r="AO619" s="9">
        <f t="shared" si="266"/>
        <v>0.27134113973458229</v>
      </c>
      <c r="AP619" s="1" t="s">
        <v>33</v>
      </c>
      <c r="AQ619" s="1" t="str">
        <f t="shared" si="258"/>
        <v>Paid</v>
      </c>
      <c r="AR619" s="1" t="str">
        <f t="shared" si="259"/>
        <v>OK</v>
      </c>
      <c r="AS619" s="1" t="s">
        <v>34</v>
      </c>
      <c r="AT619" s="4" t="str">
        <f t="shared" si="260"/>
        <v>Completed</v>
      </c>
      <c r="AU619" s="3" t="str">
        <f t="shared" si="261"/>
        <v>OK</v>
      </c>
      <c r="AV619" s="3" t="str">
        <f t="shared" si="267"/>
        <v>INVALID</v>
      </c>
      <c r="AW619" t="str">
        <f t="shared" si="268"/>
        <v>MATCH</v>
      </c>
      <c r="AX619" t="str">
        <f t="shared" si="269"/>
        <v>MATCH</v>
      </c>
    </row>
    <row r="620" spans="1:50" ht="15.6">
      <c r="A620" s="1" t="s">
        <v>1179</v>
      </c>
      <c r="B620" s="1">
        <f t="shared" si="243"/>
        <v>1</v>
      </c>
      <c r="C620" s="16">
        <v>45908</v>
      </c>
      <c r="D620" s="16">
        <v>45908</v>
      </c>
      <c r="E620" s="16" t="str">
        <f t="shared" si="262"/>
        <v>Sep</v>
      </c>
      <c r="F620" s="1">
        <f t="shared" si="263"/>
        <v>2025</v>
      </c>
      <c r="G620" t="s">
        <v>475</v>
      </c>
      <c r="H620" s="17">
        <v>45503</v>
      </c>
      <c r="I620" s="21">
        <f t="shared" si="264"/>
        <v>-405</v>
      </c>
      <c r="J620" s="6" t="str">
        <f t="shared" si="265"/>
        <v>INVALID_SHIPPING</v>
      </c>
      <c r="K620" s="1" t="s">
        <v>1181</v>
      </c>
      <c r="L620" s="1" t="s">
        <v>196</v>
      </c>
      <c r="M620" s="1" t="str">
        <f t="shared" si="244"/>
        <v>Diya Patel</v>
      </c>
      <c r="N620" s="1" t="s">
        <v>104</v>
      </c>
      <c r="O620" s="1" t="str">
        <f t="shared" si="245"/>
        <v>Corporate</v>
      </c>
      <c r="P620" s="1" t="s">
        <v>60</v>
      </c>
      <c r="Q620" s="1" t="str">
        <f t="shared" si="246"/>
        <v>South</v>
      </c>
      <c r="R620" s="1" t="str">
        <f t="shared" si="247"/>
        <v>OK</v>
      </c>
      <c r="S620" s="1" t="s">
        <v>212</v>
      </c>
      <c r="T620" s="1" t="str">
        <f t="shared" si="248"/>
        <v>Karnataka</v>
      </c>
      <c r="U620" s="1" t="s">
        <v>213</v>
      </c>
      <c r="V620" s="1" t="str">
        <f t="shared" si="249"/>
        <v>Bengaluru</v>
      </c>
      <c r="W620" s="1" t="s">
        <v>83</v>
      </c>
      <c r="X620" s="1" t="str">
        <f t="shared" si="250"/>
        <v>Technology</v>
      </c>
      <c r="Y620" s="1" t="s">
        <v>84</v>
      </c>
      <c r="Z620" s="1" t="str">
        <f t="shared" si="251"/>
        <v>Accessories</v>
      </c>
      <c r="AA620" s="1" t="s">
        <v>1182</v>
      </c>
      <c r="AB620" s="1" t="s">
        <v>32</v>
      </c>
      <c r="AC620" s="1" t="str">
        <f t="shared" si="252"/>
        <v>Second Class</v>
      </c>
      <c r="AD620" s="1" t="str">
        <f t="shared" si="253"/>
        <v>OK</v>
      </c>
      <c r="AE620" s="1">
        <v>2</v>
      </c>
      <c r="AF620" s="1">
        <v>3237.27</v>
      </c>
      <c r="AG620" s="9">
        <v>0</v>
      </c>
      <c r="AH620" s="9">
        <f t="shared" si="254"/>
        <v>0</v>
      </c>
      <c r="AI620" s="1" t="str">
        <f t="shared" si="255"/>
        <v>OK</v>
      </c>
      <c r="AJ620" s="1">
        <v>6474.54</v>
      </c>
      <c r="AK620" s="1">
        <v>5095.91</v>
      </c>
      <c r="AL620" s="1">
        <v>1378.63</v>
      </c>
      <c r="AM620" s="13">
        <f t="shared" si="256"/>
        <v>6474.54</v>
      </c>
      <c r="AN620" s="9">
        <f t="shared" si="257"/>
        <v>1378.63</v>
      </c>
      <c r="AO620" s="9">
        <f t="shared" si="266"/>
        <v>0.21293095725719513</v>
      </c>
      <c r="AP620" s="1" t="s">
        <v>33</v>
      </c>
      <c r="AQ620" s="1" t="str">
        <f t="shared" si="258"/>
        <v>Paid</v>
      </c>
      <c r="AR620" s="1" t="str">
        <f t="shared" si="259"/>
        <v>OK</v>
      </c>
      <c r="AS620" s="1" t="s">
        <v>76</v>
      </c>
      <c r="AT620" s="4" t="str">
        <f t="shared" si="260"/>
        <v>Cancelled</v>
      </c>
      <c r="AU620" s="3" t="str">
        <f t="shared" si="261"/>
        <v>EXCLUDE_FROM_SALES</v>
      </c>
      <c r="AV620" s="3" t="str">
        <f t="shared" si="267"/>
        <v>INVALID</v>
      </c>
      <c r="AW620" t="str">
        <f t="shared" si="268"/>
        <v>MATCH</v>
      </c>
      <c r="AX620" t="str">
        <f t="shared" si="269"/>
        <v>MATCH</v>
      </c>
    </row>
    <row r="621" spans="1:50" ht="15.6">
      <c r="A621" s="1" t="s">
        <v>1191</v>
      </c>
      <c r="B621" s="1">
        <f t="shared" si="243"/>
        <v>1</v>
      </c>
      <c r="C621" s="16">
        <v>45923</v>
      </c>
      <c r="D621" s="16">
        <v>45923</v>
      </c>
      <c r="E621" s="16" t="str">
        <f t="shared" si="262"/>
        <v>Sep</v>
      </c>
      <c r="F621" s="1">
        <f t="shared" si="263"/>
        <v>2025</v>
      </c>
      <c r="G621" t="s">
        <v>2583</v>
      </c>
      <c r="H621" s="17">
        <v>45623</v>
      </c>
      <c r="I621" s="21">
        <f t="shared" si="264"/>
        <v>-300</v>
      </c>
      <c r="J621" s="6" t="str">
        <f t="shared" si="265"/>
        <v>INVALID_SHIPPING</v>
      </c>
      <c r="K621" s="1" t="s">
        <v>1193</v>
      </c>
      <c r="L621" s="1" t="s">
        <v>103</v>
      </c>
      <c r="M621" s="1" t="str">
        <f t="shared" si="244"/>
        <v>Aditi Sen</v>
      </c>
      <c r="N621" s="1" t="s">
        <v>104</v>
      </c>
      <c r="O621" s="1" t="str">
        <f t="shared" si="245"/>
        <v>Corporate</v>
      </c>
      <c r="P621" s="1" t="s">
        <v>41</v>
      </c>
      <c r="Q621" s="1" t="str">
        <f t="shared" si="246"/>
        <v>East</v>
      </c>
      <c r="R621" s="1" t="str">
        <f t="shared" si="247"/>
        <v>OK</v>
      </c>
      <c r="S621" s="1" t="s">
        <v>116</v>
      </c>
      <c r="T621" s="1" t="str">
        <f t="shared" si="248"/>
        <v>West Bengal</v>
      </c>
      <c r="U621" s="1" t="s">
        <v>117</v>
      </c>
      <c r="V621" s="1" t="str">
        <f t="shared" si="249"/>
        <v>Kolkata</v>
      </c>
      <c r="W621" s="1" t="s">
        <v>29</v>
      </c>
      <c r="X621" s="1" t="str">
        <f t="shared" si="250"/>
        <v>Office Supplies</v>
      </c>
      <c r="Y621" s="1" t="s">
        <v>184</v>
      </c>
      <c r="Z621" s="1" t="str">
        <f t="shared" si="251"/>
        <v>Binders</v>
      </c>
      <c r="AA621" s="1" t="s">
        <v>1194</v>
      </c>
      <c r="AB621" s="1" t="s">
        <v>47</v>
      </c>
      <c r="AC621" s="1" t="str">
        <f t="shared" si="252"/>
        <v>Same Day</v>
      </c>
      <c r="AD621" s="1" t="str">
        <f t="shared" si="253"/>
        <v>OK</v>
      </c>
      <c r="AE621" s="1">
        <v>7</v>
      </c>
      <c r="AF621" s="1">
        <v>2897.12</v>
      </c>
      <c r="AG621" s="9">
        <v>0.25</v>
      </c>
      <c r="AH621" s="9">
        <f t="shared" si="254"/>
        <v>0.25</v>
      </c>
      <c r="AI621" s="1" t="str">
        <f t="shared" si="255"/>
        <v>OK</v>
      </c>
      <c r="AJ621" s="1">
        <v>15209.88</v>
      </c>
      <c r="AK621" s="1">
        <v>10891.15</v>
      </c>
      <c r="AL621" s="1">
        <v>4318.7299999999996</v>
      </c>
      <c r="AM621" s="13">
        <f t="shared" si="256"/>
        <v>15209.880000000001</v>
      </c>
      <c r="AN621" s="9">
        <f t="shared" si="257"/>
        <v>4318.7300000000014</v>
      </c>
      <c r="AO621" s="9">
        <f t="shared" si="266"/>
        <v>0.28394241111698454</v>
      </c>
      <c r="AP621" s="1" t="s">
        <v>186</v>
      </c>
      <c r="AQ621" s="1" t="str">
        <f t="shared" si="258"/>
        <v>Failed</v>
      </c>
      <c r="AR621" s="1" t="str">
        <f t="shared" si="259"/>
        <v>EXCLUDE_FROM_SALES</v>
      </c>
      <c r="AS621" s="1" t="s">
        <v>120</v>
      </c>
      <c r="AT621" s="4" t="str">
        <f t="shared" si="260"/>
        <v>Returned</v>
      </c>
      <c r="AU621" s="3" t="str">
        <f t="shared" si="261"/>
        <v>RETURNED_ORDER</v>
      </c>
      <c r="AV621" s="3" t="str">
        <f t="shared" si="267"/>
        <v>INVALID</v>
      </c>
      <c r="AW621" t="str">
        <f t="shared" si="268"/>
        <v>MATCH</v>
      </c>
      <c r="AX621" t="str">
        <f t="shared" si="269"/>
        <v>MATCH</v>
      </c>
    </row>
    <row r="622" spans="1:50" ht="15.6">
      <c r="A622" s="1" t="s">
        <v>1195</v>
      </c>
      <c r="B622" s="1">
        <f t="shared" si="243"/>
        <v>1</v>
      </c>
      <c r="C622" s="16">
        <v>45826</v>
      </c>
      <c r="D622" s="16">
        <v>45826</v>
      </c>
      <c r="E622" s="16" t="str">
        <f t="shared" si="262"/>
        <v>Jun</v>
      </c>
      <c r="F622" s="1">
        <f t="shared" si="263"/>
        <v>2025</v>
      </c>
      <c r="G622" t="s">
        <v>2587</v>
      </c>
      <c r="H622" s="17">
        <v>45525</v>
      </c>
      <c r="I622" s="21">
        <f t="shared" si="264"/>
        <v>-301</v>
      </c>
      <c r="J622" s="6" t="str">
        <f t="shared" si="265"/>
        <v>INVALID_SHIPPING</v>
      </c>
      <c r="K622" s="1" t="s">
        <v>1197</v>
      </c>
      <c r="L622" s="1" t="s">
        <v>158</v>
      </c>
      <c r="M622" s="1" t="str">
        <f t="shared" si="244"/>
        <v>Sneha Kapoor</v>
      </c>
      <c r="N622" s="1" t="s">
        <v>104</v>
      </c>
      <c r="O622" s="1" t="str">
        <f t="shared" si="245"/>
        <v>Corporate</v>
      </c>
      <c r="P622" s="1" t="s">
        <v>26</v>
      </c>
      <c r="Q622" s="1" t="str">
        <f t="shared" si="246"/>
        <v>North</v>
      </c>
      <c r="R622" s="1" t="str">
        <f t="shared" si="247"/>
        <v>OK</v>
      </c>
      <c r="S622" s="1" t="s">
        <v>27</v>
      </c>
      <c r="T622" s="1" t="str">
        <f t="shared" si="248"/>
        <v>Rajasthan</v>
      </c>
      <c r="U622" s="1" t="s">
        <v>28</v>
      </c>
      <c r="V622" s="1" t="str">
        <f t="shared" si="249"/>
        <v>Jaipur</v>
      </c>
      <c r="W622" s="1" t="s">
        <v>29</v>
      </c>
      <c r="X622" s="1" t="str">
        <f t="shared" si="250"/>
        <v>Office Supplies</v>
      </c>
      <c r="Y622" s="1" t="s">
        <v>105</v>
      </c>
      <c r="Z622" s="1" t="str">
        <f t="shared" si="251"/>
        <v>Labels</v>
      </c>
      <c r="AA622" s="1" t="s">
        <v>1198</v>
      </c>
      <c r="AB622" s="1" t="s">
        <v>65</v>
      </c>
      <c r="AC622" s="1" t="str">
        <f t="shared" si="252"/>
        <v>Standard Class</v>
      </c>
      <c r="AD622" s="1" t="str">
        <f t="shared" si="253"/>
        <v>OK</v>
      </c>
      <c r="AE622" s="1">
        <v>3</v>
      </c>
      <c r="AF622" s="1">
        <v>686.74</v>
      </c>
      <c r="AG622" s="9">
        <v>0.2</v>
      </c>
      <c r="AH622" s="9">
        <f t="shared" si="254"/>
        <v>0.2</v>
      </c>
      <c r="AI622" s="1" t="str">
        <f t="shared" si="255"/>
        <v>OK</v>
      </c>
      <c r="AJ622" s="1">
        <v>1648.18</v>
      </c>
      <c r="AK622" s="1">
        <v>987.91</v>
      </c>
      <c r="AL622" s="1">
        <v>660.27</v>
      </c>
      <c r="AM622" s="13">
        <f t="shared" si="256"/>
        <v>1648.1760000000004</v>
      </c>
      <c r="AN622" s="9">
        <f t="shared" si="257"/>
        <v>660.26600000000042</v>
      </c>
      <c r="AO622" s="9">
        <f t="shared" si="266"/>
        <v>0.40060406170214846</v>
      </c>
      <c r="AP622" s="1" t="s">
        <v>186</v>
      </c>
      <c r="AQ622" s="1" t="str">
        <f t="shared" si="258"/>
        <v>Failed</v>
      </c>
      <c r="AR622" s="1" t="str">
        <f t="shared" si="259"/>
        <v>EXCLUDE_FROM_SALES</v>
      </c>
      <c r="AS622" s="1" t="s">
        <v>76</v>
      </c>
      <c r="AT622" s="4" t="str">
        <f t="shared" si="260"/>
        <v>Cancelled</v>
      </c>
      <c r="AU622" s="3" t="str">
        <f t="shared" si="261"/>
        <v>EXCLUDE_FROM_SALES</v>
      </c>
      <c r="AV622" s="3" t="str">
        <f t="shared" si="267"/>
        <v>INVALID</v>
      </c>
      <c r="AW622" t="str">
        <f t="shared" si="268"/>
        <v>MATCH</v>
      </c>
      <c r="AX622" t="str">
        <f t="shared" si="269"/>
        <v>MATCH</v>
      </c>
    </row>
    <row r="623" spans="1:50" ht="15.6">
      <c r="A623" s="1" t="s">
        <v>1199</v>
      </c>
      <c r="B623" s="1">
        <f t="shared" si="243"/>
        <v>1</v>
      </c>
      <c r="C623" s="16">
        <v>45803</v>
      </c>
      <c r="D623" s="16">
        <v>45803</v>
      </c>
      <c r="E623" s="16" t="str">
        <f t="shared" si="262"/>
        <v>May</v>
      </c>
      <c r="F623" s="1">
        <f t="shared" si="263"/>
        <v>2025</v>
      </c>
      <c r="G623" t="s">
        <v>2591</v>
      </c>
      <c r="H623" s="17">
        <v>45455</v>
      </c>
      <c r="I623" s="21">
        <f t="shared" si="264"/>
        <v>-348</v>
      </c>
      <c r="J623" s="6" t="str">
        <f t="shared" si="265"/>
        <v>INVALID_SHIPPING</v>
      </c>
      <c r="K623" s="1" t="s">
        <v>843</v>
      </c>
      <c r="L623" s="1" t="s">
        <v>59</v>
      </c>
      <c r="M623" s="1" t="str">
        <f t="shared" si="244"/>
        <v>Arjun Bose</v>
      </c>
      <c r="N623" s="1" t="s">
        <v>40</v>
      </c>
      <c r="O623" s="1" t="str">
        <f t="shared" si="245"/>
        <v>Small Business</v>
      </c>
      <c r="P623" s="1" t="s">
        <v>26</v>
      </c>
      <c r="Q623" s="1" t="str">
        <f t="shared" si="246"/>
        <v>North</v>
      </c>
      <c r="R623" s="1" t="str">
        <f t="shared" si="247"/>
        <v>OK</v>
      </c>
      <c r="S623" s="1" t="s">
        <v>454</v>
      </c>
      <c r="T623" s="1" t="str">
        <f t="shared" si="248"/>
        <v>Delhi</v>
      </c>
      <c r="U623" s="1" t="s">
        <v>455</v>
      </c>
      <c r="V623" s="1" t="str">
        <f t="shared" si="249"/>
        <v>New Delhi</v>
      </c>
      <c r="W623" s="1" t="s">
        <v>83</v>
      </c>
      <c r="X623" s="1" t="str">
        <f t="shared" si="250"/>
        <v>Technology</v>
      </c>
      <c r="Y623" s="1" t="s">
        <v>207</v>
      </c>
      <c r="Z623" s="1" t="str">
        <f t="shared" si="251"/>
        <v>Phones</v>
      </c>
      <c r="AA623" s="1" t="s">
        <v>1201</v>
      </c>
      <c r="AB623" s="1" t="s">
        <v>47</v>
      </c>
      <c r="AC623" s="1" t="str">
        <f t="shared" si="252"/>
        <v>Same Day</v>
      </c>
      <c r="AD623" s="1" t="str">
        <f t="shared" si="253"/>
        <v>OK</v>
      </c>
      <c r="AE623" s="1">
        <v>4</v>
      </c>
      <c r="AF623" s="1">
        <v>3349.86</v>
      </c>
      <c r="AG623" s="9">
        <v>0</v>
      </c>
      <c r="AH623" s="9">
        <f t="shared" si="254"/>
        <v>0</v>
      </c>
      <c r="AI623" s="1" t="str">
        <f t="shared" si="255"/>
        <v>OK</v>
      </c>
      <c r="AJ623" s="1">
        <v>13399.44</v>
      </c>
      <c r="AK623" s="1">
        <v>8581.35</v>
      </c>
      <c r="AL623" s="1">
        <v>4818.09</v>
      </c>
      <c r="AM623" s="13">
        <f t="shared" si="256"/>
        <v>13399.44</v>
      </c>
      <c r="AN623" s="9">
        <f t="shared" si="257"/>
        <v>4818.09</v>
      </c>
      <c r="AO623" s="9">
        <f t="shared" si="266"/>
        <v>0.3595739821962709</v>
      </c>
      <c r="AP623" s="1" t="s">
        <v>131</v>
      </c>
      <c r="AQ623" s="1" t="str">
        <f t="shared" si="258"/>
        <v>Pending</v>
      </c>
      <c r="AR623" s="1" t="str">
        <f t="shared" si="259"/>
        <v>OK</v>
      </c>
      <c r="AS623" s="1" t="s">
        <v>120</v>
      </c>
      <c r="AT623" s="4" t="str">
        <f t="shared" si="260"/>
        <v>Returned</v>
      </c>
      <c r="AU623" s="3" t="str">
        <f t="shared" si="261"/>
        <v>RETURNED_ORDER</v>
      </c>
      <c r="AV623" s="3" t="str">
        <f t="shared" si="267"/>
        <v>INVALID</v>
      </c>
      <c r="AW623" t="str">
        <f t="shared" si="268"/>
        <v>MATCH</v>
      </c>
      <c r="AX623" t="str">
        <f t="shared" si="269"/>
        <v>MATCH</v>
      </c>
    </row>
    <row r="624" spans="1:50" ht="15.6">
      <c r="A624" s="1" t="s">
        <v>1202</v>
      </c>
      <c r="B624" s="1">
        <f t="shared" si="243"/>
        <v>1</v>
      </c>
      <c r="C624" s="16">
        <v>45816</v>
      </c>
      <c r="D624" s="16">
        <v>45816</v>
      </c>
      <c r="E624" s="16" t="str">
        <f t="shared" si="262"/>
        <v>Jun</v>
      </c>
      <c r="F624" s="1">
        <f t="shared" si="263"/>
        <v>2025</v>
      </c>
      <c r="G624" t="s">
        <v>2595</v>
      </c>
      <c r="H624" s="17">
        <v>45694</v>
      </c>
      <c r="I624" s="21">
        <f t="shared" si="264"/>
        <v>-122</v>
      </c>
      <c r="J624" s="6" t="str">
        <f t="shared" si="265"/>
        <v>INVALID_SHIPPING</v>
      </c>
      <c r="K624" s="1" t="s">
        <v>1203</v>
      </c>
      <c r="L624" s="1" t="s">
        <v>169</v>
      </c>
      <c r="M624" s="1" t="str">
        <f t="shared" si="244"/>
        <v>Rohan Mehta</v>
      </c>
      <c r="N624" s="1" t="s">
        <v>40</v>
      </c>
      <c r="O624" s="1" t="str">
        <f t="shared" si="245"/>
        <v>Small Business</v>
      </c>
      <c r="P624" s="1" t="s">
        <v>26</v>
      </c>
      <c r="Q624" s="1" t="str">
        <f t="shared" si="246"/>
        <v>North</v>
      </c>
      <c r="R624" s="1" t="str">
        <f t="shared" si="247"/>
        <v>OK</v>
      </c>
      <c r="S624" s="1" t="s">
        <v>454</v>
      </c>
      <c r="T624" s="1" t="str">
        <f t="shared" si="248"/>
        <v>Delhi</v>
      </c>
      <c r="U624" s="1" t="s">
        <v>455</v>
      </c>
      <c r="V624" s="1" t="str">
        <f t="shared" si="249"/>
        <v>New Delhi</v>
      </c>
      <c r="W624" s="1" t="s">
        <v>29</v>
      </c>
      <c r="X624" s="1" t="str">
        <f t="shared" si="250"/>
        <v>Office Supplies</v>
      </c>
      <c r="Y624" s="1" t="s">
        <v>184</v>
      </c>
      <c r="Z624" s="1" t="str">
        <f t="shared" si="251"/>
        <v>Binders</v>
      </c>
      <c r="AA624" s="1" t="s">
        <v>1204</v>
      </c>
      <c r="AB624" s="1" t="s">
        <v>32</v>
      </c>
      <c r="AC624" s="1" t="str">
        <f t="shared" si="252"/>
        <v>Second Class</v>
      </c>
      <c r="AD624" s="1" t="str">
        <f t="shared" si="253"/>
        <v>OK</v>
      </c>
      <c r="AE624" s="1">
        <v>9</v>
      </c>
      <c r="AF624" s="1">
        <v>4042.45</v>
      </c>
      <c r="AG624" s="9">
        <v>0.1</v>
      </c>
      <c r="AH624" s="9">
        <f t="shared" si="254"/>
        <v>0.1</v>
      </c>
      <c r="AI624" s="1" t="str">
        <f t="shared" si="255"/>
        <v>OK</v>
      </c>
      <c r="AJ624" s="1">
        <v>32743.84</v>
      </c>
      <c r="AK624" s="1">
        <v>22452.05</v>
      </c>
      <c r="AL624" s="1">
        <v>10291.790000000001</v>
      </c>
      <c r="AM624" s="13">
        <f t="shared" si="256"/>
        <v>32743.844999999998</v>
      </c>
      <c r="AN624" s="9">
        <f t="shared" si="257"/>
        <v>10291.794999999998</v>
      </c>
      <c r="AO624" s="9">
        <f t="shared" si="266"/>
        <v>0.314312353970647</v>
      </c>
      <c r="AP624" s="1" t="s">
        <v>131</v>
      </c>
      <c r="AQ624" s="1" t="str">
        <f t="shared" si="258"/>
        <v>Pending</v>
      </c>
      <c r="AR624" s="1" t="str">
        <f t="shared" si="259"/>
        <v>OK</v>
      </c>
      <c r="AS624" s="1" t="s">
        <v>120</v>
      </c>
      <c r="AT624" s="4" t="str">
        <f t="shared" si="260"/>
        <v>Returned</v>
      </c>
      <c r="AU624" s="3" t="str">
        <f t="shared" si="261"/>
        <v>RETURNED_ORDER</v>
      </c>
      <c r="AV624" s="3" t="str">
        <f t="shared" si="267"/>
        <v>INVALID</v>
      </c>
      <c r="AW624" t="str">
        <f t="shared" si="268"/>
        <v>MISMATCH</v>
      </c>
      <c r="AX624" t="str">
        <f t="shared" si="269"/>
        <v>MISMATCH</v>
      </c>
    </row>
    <row r="625" spans="1:50" ht="15.6">
      <c r="A625" s="1" t="s">
        <v>1214</v>
      </c>
      <c r="B625" s="1">
        <f t="shared" si="243"/>
        <v>1</v>
      </c>
      <c r="C625" s="16">
        <v>45721</v>
      </c>
      <c r="D625" s="16">
        <v>45721</v>
      </c>
      <c r="E625" s="16" t="str">
        <f t="shared" si="262"/>
        <v>Mar</v>
      </c>
      <c r="F625" s="1">
        <f t="shared" si="263"/>
        <v>2025</v>
      </c>
      <c r="G625" t="s">
        <v>2599</v>
      </c>
      <c r="H625" s="17">
        <v>45518</v>
      </c>
      <c r="I625" s="21">
        <f t="shared" si="264"/>
        <v>-203</v>
      </c>
      <c r="J625" s="6" t="str">
        <f t="shared" si="265"/>
        <v>INVALID_SHIPPING</v>
      </c>
      <c r="K625" s="1" t="s">
        <v>1216</v>
      </c>
      <c r="L625" s="1" t="s">
        <v>90</v>
      </c>
      <c r="M625" s="1" t="str">
        <f t="shared" si="244"/>
        <v>Neha Gupta</v>
      </c>
      <c r="N625" s="1" t="s">
        <v>110</v>
      </c>
      <c r="O625" s="1" t="str">
        <f t="shared" si="245"/>
        <v>Home Office</v>
      </c>
      <c r="P625" s="1" t="s">
        <v>71</v>
      </c>
      <c r="Q625" s="1" t="str">
        <f t="shared" si="246"/>
        <v>West</v>
      </c>
      <c r="R625" s="1" t="str">
        <f t="shared" si="247"/>
        <v>OK</v>
      </c>
      <c r="S625" s="1" t="s">
        <v>72</v>
      </c>
      <c r="T625" s="1" t="str">
        <f t="shared" si="248"/>
        <v>Maharashtra</v>
      </c>
      <c r="U625" s="1" t="s">
        <v>73</v>
      </c>
      <c r="V625" s="1" t="str">
        <f t="shared" si="249"/>
        <v>Mumbai</v>
      </c>
      <c r="W625" s="1" t="s">
        <v>29</v>
      </c>
      <c r="X625" s="1" t="str">
        <f t="shared" si="250"/>
        <v>Office Supplies</v>
      </c>
      <c r="Y625" s="1" t="s">
        <v>148</v>
      </c>
      <c r="Z625" s="1" t="str">
        <f t="shared" si="251"/>
        <v>Storage</v>
      </c>
      <c r="AA625" s="1" t="s">
        <v>1217</v>
      </c>
      <c r="AB625" s="1" t="s">
        <v>32</v>
      </c>
      <c r="AC625" s="1" t="str">
        <f t="shared" si="252"/>
        <v>Second Class</v>
      </c>
      <c r="AD625" s="1" t="str">
        <f t="shared" si="253"/>
        <v>OK</v>
      </c>
      <c r="AE625" s="1">
        <v>3</v>
      </c>
      <c r="AF625" s="1">
        <v>4339.24</v>
      </c>
      <c r="AG625" s="9">
        <v>0</v>
      </c>
      <c r="AH625" s="9">
        <f t="shared" si="254"/>
        <v>0</v>
      </c>
      <c r="AI625" s="1" t="str">
        <f t="shared" si="255"/>
        <v>OK</v>
      </c>
      <c r="AJ625" s="1">
        <v>13017.72</v>
      </c>
      <c r="AK625" s="1">
        <v>10170.57</v>
      </c>
      <c r="AL625" s="1">
        <v>2847.15</v>
      </c>
      <c r="AM625" s="13">
        <f t="shared" si="256"/>
        <v>13017.72</v>
      </c>
      <c r="AN625" s="9">
        <f t="shared" si="257"/>
        <v>2847.1499999999996</v>
      </c>
      <c r="AO625" s="9">
        <f t="shared" si="266"/>
        <v>0.21871341525244051</v>
      </c>
      <c r="AP625" s="1" t="s">
        <v>33</v>
      </c>
      <c r="AQ625" s="1" t="str">
        <f t="shared" si="258"/>
        <v>Paid</v>
      </c>
      <c r="AR625" s="1" t="str">
        <f t="shared" si="259"/>
        <v>OK</v>
      </c>
      <c r="AS625" s="1" t="s">
        <v>34</v>
      </c>
      <c r="AT625" s="4" t="str">
        <f t="shared" si="260"/>
        <v>Completed</v>
      </c>
      <c r="AU625" s="3" t="str">
        <f t="shared" si="261"/>
        <v>OK</v>
      </c>
      <c r="AV625" s="3" t="str">
        <f t="shared" si="267"/>
        <v>INVALID</v>
      </c>
      <c r="AW625" t="str">
        <f t="shared" si="268"/>
        <v>MATCH</v>
      </c>
      <c r="AX625" t="str">
        <f t="shared" si="269"/>
        <v>MATCH</v>
      </c>
    </row>
    <row r="626" spans="1:50" ht="15.6">
      <c r="A626" s="1" t="s">
        <v>1218</v>
      </c>
      <c r="B626" s="1">
        <f t="shared" si="243"/>
        <v>1</v>
      </c>
      <c r="C626" s="16">
        <v>45805</v>
      </c>
      <c r="D626" s="16">
        <v>45805</v>
      </c>
      <c r="E626" s="16" t="str">
        <f t="shared" si="262"/>
        <v>May</v>
      </c>
      <c r="F626" s="1">
        <f t="shared" si="263"/>
        <v>2025</v>
      </c>
      <c r="G626" t="s">
        <v>2603</v>
      </c>
      <c r="H626" s="17">
        <v>45323</v>
      </c>
      <c r="I626" s="21">
        <f t="shared" si="264"/>
        <v>-482</v>
      </c>
      <c r="J626" s="6" t="str">
        <f t="shared" si="265"/>
        <v>INVALID_SHIPPING</v>
      </c>
      <c r="K626" s="1" t="s">
        <v>1220</v>
      </c>
      <c r="L626" s="1" t="s">
        <v>196</v>
      </c>
      <c r="M626" s="1" t="str">
        <f t="shared" si="244"/>
        <v>Diya Patel</v>
      </c>
      <c r="N626" s="1" t="s">
        <v>104</v>
      </c>
      <c r="O626" s="1" t="str">
        <f t="shared" si="245"/>
        <v>Corporate</v>
      </c>
      <c r="P626" s="1" t="s">
        <v>41</v>
      </c>
      <c r="Q626" s="1" t="str">
        <f t="shared" si="246"/>
        <v>East</v>
      </c>
      <c r="R626" s="1" t="str">
        <f t="shared" si="247"/>
        <v>OK</v>
      </c>
      <c r="S626" s="1" t="s">
        <v>284</v>
      </c>
      <c r="T626" s="1" t="str">
        <f t="shared" si="248"/>
        <v>Jharkhand</v>
      </c>
      <c r="U626" s="1" t="s">
        <v>285</v>
      </c>
      <c r="V626" s="1" t="str">
        <f t="shared" si="249"/>
        <v>Ranchi</v>
      </c>
      <c r="W626" s="1" t="s">
        <v>44</v>
      </c>
      <c r="X626" s="1" t="str">
        <f t="shared" si="250"/>
        <v>Furniture</v>
      </c>
      <c r="Y626" s="1" t="s">
        <v>63</v>
      </c>
      <c r="Z626" s="1" t="str">
        <f t="shared" si="251"/>
        <v>Furnishings</v>
      </c>
      <c r="AA626" s="1" t="s">
        <v>1221</v>
      </c>
      <c r="AB626" s="1" t="s">
        <v>55</v>
      </c>
      <c r="AC626" s="1" t="str">
        <f t="shared" si="252"/>
        <v>First Class</v>
      </c>
      <c r="AD626" s="1" t="str">
        <f t="shared" si="253"/>
        <v>OK</v>
      </c>
      <c r="AE626" s="1">
        <v>4</v>
      </c>
      <c r="AF626" s="1">
        <v>261.8</v>
      </c>
      <c r="AG626" s="9">
        <v>0.25</v>
      </c>
      <c r="AH626" s="9">
        <f t="shared" si="254"/>
        <v>0.25</v>
      </c>
      <c r="AI626" s="1" t="str">
        <f t="shared" si="255"/>
        <v>OK</v>
      </c>
      <c r="AJ626" s="1">
        <v>785.4</v>
      </c>
      <c r="AK626" s="1">
        <v>557.22</v>
      </c>
      <c r="AL626" s="1">
        <v>228.18</v>
      </c>
      <c r="AM626" s="13">
        <f t="shared" si="256"/>
        <v>785.40000000000009</v>
      </c>
      <c r="AN626" s="9">
        <f t="shared" si="257"/>
        <v>228.18000000000006</v>
      </c>
      <c r="AO626" s="9">
        <f t="shared" si="266"/>
        <v>0.29052711993888469</v>
      </c>
      <c r="AP626" s="1" t="s">
        <v>33</v>
      </c>
      <c r="AQ626" s="1" t="str">
        <f t="shared" si="258"/>
        <v>Paid</v>
      </c>
      <c r="AR626" s="1" t="str">
        <f t="shared" si="259"/>
        <v>OK</v>
      </c>
      <c r="AS626" s="1" t="s">
        <v>34</v>
      </c>
      <c r="AT626" s="4" t="str">
        <f t="shared" si="260"/>
        <v>Completed</v>
      </c>
      <c r="AU626" s="3" t="str">
        <f t="shared" si="261"/>
        <v>OK</v>
      </c>
      <c r="AV626" s="3" t="str">
        <f t="shared" si="267"/>
        <v>INVALID</v>
      </c>
      <c r="AW626" t="str">
        <f t="shared" si="268"/>
        <v>MATCH</v>
      </c>
      <c r="AX626" t="str">
        <f t="shared" si="269"/>
        <v>MATCH</v>
      </c>
    </row>
    <row r="627" spans="1:50" ht="15.6">
      <c r="A627" s="1" t="s">
        <v>1222</v>
      </c>
      <c r="B627" s="1">
        <f t="shared" si="243"/>
        <v>1</v>
      </c>
      <c r="C627" s="16">
        <v>45886</v>
      </c>
      <c r="D627" s="16">
        <v>45886</v>
      </c>
      <c r="E627" s="16" t="str">
        <f t="shared" si="262"/>
        <v>Aug</v>
      </c>
      <c r="F627" s="1">
        <f t="shared" si="263"/>
        <v>2025</v>
      </c>
      <c r="G627" t="s">
        <v>1234</v>
      </c>
      <c r="H627" s="17">
        <v>45647</v>
      </c>
      <c r="I627" s="21">
        <f t="shared" si="264"/>
        <v>-239</v>
      </c>
      <c r="J627" s="6" t="str">
        <f t="shared" si="265"/>
        <v>INVALID_SHIPPING</v>
      </c>
      <c r="K627" s="1" t="s">
        <v>1224</v>
      </c>
      <c r="L627" s="1" t="s">
        <v>153</v>
      </c>
      <c r="M627" s="1" t="str">
        <f t="shared" si="244"/>
        <v>Aarav Sharma</v>
      </c>
      <c r="N627" s="1" t="s">
        <v>110</v>
      </c>
      <c r="O627" s="1" t="str">
        <f t="shared" si="245"/>
        <v>Home Office</v>
      </c>
      <c r="P627" s="1" t="s">
        <v>26</v>
      </c>
      <c r="Q627" s="1" t="str">
        <f t="shared" si="246"/>
        <v>North</v>
      </c>
      <c r="R627" s="1" t="str">
        <f t="shared" si="247"/>
        <v>OK</v>
      </c>
      <c r="S627" s="1" t="s">
        <v>146</v>
      </c>
      <c r="T627" s="1" t="str">
        <f t="shared" si="248"/>
        <v>Punjab</v>
      </c>
      <c r="U627" s="1" t="s">
        <v>147</v>
      </c>
      <c r="V627" s="1" t="str">
        <f t="shared" si="249"/>
        <v>Ludhiana</v>
      </c>
      <c r="W627" s="1" t="s">
        <v>83</v>
      </c>
      <c r="X627" s="1" t="str">
        <f t="shared" si="250"/>
        <v>Technology</v>
      </c>
      <c r="Y627" s="1" t="s">
        <v>84</v>
      </c>
      <c r="Z627" s="1" t="str">
        <f t="shared" si="251"/>
        <v>Accessories</v>
      </c>
      <c r="AA627" s="1" t="s">
        <v>1225</v>
      </c>
      <c r="AB627" s="1" t="s">
        <v>55</v>
      </c>
      <c r="AC627" s="1" t="str">
        <f t="shared" si="252"/>
        <v>First Class</v>
      </c>
      <c r="AD627" s="1" t="str">
        <f t="shared" si="253"/>
        <v>OK</v>
      </c>
      <c r="AE627" s="1">
        <v>7</v>
      </c>
      <c r="AF627" s="1">
        <v>632.20000000000005</v>
      </c>
      <c r="AG627" s="9">
        <v>0.25</v>
      </c>
      <c r="AH627" s="9">
        <f t="shared" si="254"/>
        <v>0.25</v>
      </c>
      <c r="AI627" s="1" t="str">
        <f t="shared" si="255"/>
        <v>OK</v>
      </c>
      <c r="AJ627" s="1">
        <v>3319.05</v>
      </c>
      <c r="AK627" s="1">
        <v>2124.6</v>
      </c>
      <c r="AL627" s="1">
        <v>1194.45</v>
      </c>
      <c r="AM627" s="13">
        <f t="shared" si="256"/>
        <v>3319.05</v>
      </c>
      <c r="AN627" s="9">
        <f t="shared" si="257"/>
        <v>1194.4500000000003</v>
      </c>
      <c r="AO627" s="9">
        <f t="shared" si="266"/>
        <v>0.35987707325891449</v>
      </c>
      <c r="AP627" s="1" t="s">
        <v>33</v>
      </c>
      <c r="AQ627" s="1" t="str">
        <f t="shared" si="258"/>
        <v>Paid</v>
      </c>
      <c r="AR627" s="1" t="str">
        <f t="shared" si="259"/>
        <v>OK</v>
      </c>
      <c r="AS627" s="1" t="s">
        <v>34</v>
      </c>
      <c r="AT627" s="4" t="str">
        <f t="shared" si="260"/>
        <v>Completed</v>
      </c>
      <c r="AU627" s="3" t="str">
        <f t="shared" si="261"/>
        <v>OK</v>
      </c>
      <c r="AV627" s="3" t="str">
        <f t="shared" si="267"/>
        <v>INVALID</v>
      </c>
      <c r="AW627" t="str">
        <f t="shared" si="268"/>
        <v>MATCH</v>
      </c>
      <c r="AX627" t="str">
        <f t="shared" si="269"/>
        <v>MATCH</v>
      </c>
    </row>
    <row r="628" spans="1:50" ht="15.6">
      <c r="A628" s="1" t="s">
        <v>1226</v>
      </c>
      <c r="B628" s="1">
        <f t="shared" si="243"/>
        <v>1</v>
      </c>
      <c r="C628" s="16">
        <v>45932</v>
      </c>
      <c r="D628" s="16">
        <v>45932</v>
      </c>
      <c r="E628" s="16" t="str">
        <f t="shared" si="262"/>
        <v>Oct</v>
      </c>
      <c r="F628" s="1">
        <f t="shared" si="263"/>
        <v>2025</v>
      </c>
      <c r="G628" t="s">
        <v>2610</v>
      </c>
      <c r="H628" s="17">
        <v>45815</v>
      </c>
      <c r="I628" s="21">
        <f t="shared" si="264"/>
        <v>-117</v>
      </c>
      <c r="J628" s="6" t="str">
        <f t="shared" si="265"/>
        <v>INVALID_SHIPPING</v>
      </c>
      <c r="K628" s="1" t="s">
        <v>1228</v>
      </c>
      <c r="L628" s="1" t="s">
        <v>141</v>
      </c>
      <c r="M628" s="1" t="str">
        <f t="shared" si="244"/>
        <v>Rahul Verma</v>
      </c>
      <c r="N628" s="1" t="s">
        <v>40</v>
      </c>
      <c r="O628" s="1" t="str">
        <f t="shared" si="245"/>
        <v>Small Business</v>
      </c>
      <c r="P628" s="1" t="s">
        <v>71</v>
      </c>
      <c r="Q628" s="1" t="str">
        <f t="shared" si="246"/>
        <v>West</v>
      </c>
      <c r="R628" s="1" t="str">
        <f t="shared" si="247"/>
        <v>OK</v>
      </c>
      <c r="S628" s="1" t="s">
        <v>27</v>
      </c>
      <c r="T628" s="1" t="str">
        <f t="shared" si="248"/>
        <v>Rajasthan</v>
      </c>
      <c r="U628" s="1" t="s">
        <v>129</v>
      </c>
      <c r="V628" s="1" t="str">
        <f t="shared" si="249"/>
        <v>Udaipur</v>
      </c>
      <c r="W628" s="1" t="s">
        <v>44</v>
      </c>
      <c r="X628" s="1" t="str">
        <f t="shared" si="250"/>
        <v>Furniture</v>
      </c>
      <c r="Y628" s="1" t="s">
        <v>45</v>
      </c>
      <c r="Z628" s="1" t="str">
        <f t="shared" si="251"/>
        <v>Tables</v>
      </c>
      <c r="AA628" s="1" t="s">
        <v>1229</v>
      </c>
      <c r="AB628" s="1" t="s">
        <v>47</v>
      </c>
      <c r="AC628" s="1" t="str">
        <f t="shared" si="252"/>
        <v>Same Day</v>
      </c>
      <c r="AD628" s="1" t="str">
        <f t="shared" si="253"/>
        <v>OK</v>
      </c>
      <c r="AE628" s="1">
        <v>1</v>
      </c>
      <c r="AF628" s="1">
        <v>1925.86</v>
      </c>
      <c r="AG628" s="9">
        <v>0</v>
      </c>
      <c r="AH628" s="9">
        <f t="shared" si="254"/>
        <v>0</v>
      </c>
      <c r="AI628" s="1" t="str">
        <f t="shared" si="255"/>
        <v>OK</v>
      </c>
      <c r="AJ628" s="1">
        <v>1925.86</v>
      </c>
      <c r="AK628" s="1">
        <v>1321.89</v>
      </c>
      <c r="AL628" s="1">
        <v>603.97</v>
      </c>
      <c r="AM628" s="13">
        <f t="shared" si="256"/>
        <v>1925.86</v>
      </c>
      <c r="AN628" s="9">
        <f t="shared" si="257"/>
        <v>603.9699999999998</v>
      </c>
      <c r="AO628" s="9">
        <f t="shared" si="266"/>
        <v>0.31361054282242729</v>
      </c>
      <c r="AP628" s="1" t="s">
        <v>33</v>
      </c>
      <c r="AQ628" s="1" t="str">
        <f t="shared" si="258"/>
        <v>Paid</v>
      </c>
      <c r="AR628" s="1" t="str">
        <f t="shared" si="259"/>
        <v>OK</v>
      </c>
      <c r="AS628" s="1" t="s">
        <v>34</v>
      </c>
      <c r="AT628" s="4" t="str">
        <f t="shared" si="260"/>
        <v>Completed</v>
      </c>
      <c r="AU628" s="3" t="str">
        <f t="shared" si="261"/>
        <v>OK</v>
      </c>
      <c r="AV628" s="3" t="str">
        <f t="shared" si="267"/>
        <v>INVALID</v>
      </c>
      <c r="AW628" t="str">
        <f t="shared" si="268"/>
        <v>MATCH</v>
      </c>
      <c r="AX628" t="str">
        <f t="shared" si="269"/>
        <v>MATCH</v>
      </c>
    </row>
    <row r="629" spans="1:50" ht="15.6" hidden="1">
      <c r="A629" s="1" t="s">
        <v>1242</v>
      </c>
      <c r="B629" s="1">
        <f t="shared" si="243"/>
        <v>1</v>
      </c>
      <c r="C629" s="16">
        <v>45701</v>
      </c>
      <c r="D629" s="16">
        <v>45701</v>
      </c>
      <c r="E629" s="16" t="str">
        <f t="shared" si="262"/>
        <v>Feb</v>
      </c>
      <c r="F629" s="1">
        <f t="shared" si="263"/>
        <v>2025</v>
      </c>
      <c r="G629" t="s">
        <v>1561</v>
      </c>
      <c r="H629" s="17">
        <v>45709</v>
      </c>
      <c r="I629" s="21">
        <f t="shared" si="264"/>
        <v>8</v>
      </c>
      <c r="J629" s="6" t="str">
        <f t="shared" si="265"/>
        <v>OK</v>
      </c>
      <c r="K629" s="1" t="s">
        <v>1244</v>
      </c>
      <c r="L629" s="1" t="s">
        <v>52</v>
      </c>
      <c r="M629" s="1" t="str">
        <f t="shared" si="244"/>
        <v>Isha Nair</v>
      </c>
      <c r="N629" s="1" t="s">
        <v>25</v>
      </c>
      <c r="O629" s="1" t="str">
        <f t="shared" si="245"/>
        <v>Consumer</v>
      </c>
      <c r="P629" s="1" t="s">
        <v>41</v>
      </c>
      <c r="Q629" s="1" t="str">
        <f t="shared" si="246"/>
        <v>East</v>
      </c>
      <c r="R629" s="1" t="str">
        <f t="shared" si="247"/>
        <v>OK</v>
      </c>
      <c r="S629" s="1" t="s">
        <v>174</v>
      </c>
      <c r="T629" s="1" t="str">
        <f t="shared" si="248"/>
        <v>Bihar</v>
      </c>
      <c r="U629" s="1" t="s">
        <v>175</v>
      </c>
      <c r="V629" s="1" t="str">
        <f t="shared" si="249"/>
        <v>Patna</v>
      </c>
      <c r="W629" s="1" t="s">
        <v>29</v>
      </c>
      <c r="X629" s="1" t="str">
        <f t="shared" si="250"/>
        <v>Office Supplies</v>
      </c>
      <c r="Y629" s="1" t="s">
        <v>30</v>
      </c>
      <c r="Z629" s="1" t="str">
        <f t="shared" si="251"/>
        <v>Paper</v>
      </c>
      <c r="AA629" s="1" t="s">
        <v>1245</v>
      </c>
      <c r="AB629" s="1" t="s">
        <v>32</v>
      </c>
      <c r="AC629" s="1" t="str">
        <f t="shared" si="252"/>
        <v>Second Class</v>
      </c>
      <c r="AD629" s="1" t="str">
        <f t="shared" si="253"/>
        <v>OK</v>
      </c>
      <c r="AE629" s="1">
        <v>9</v>
      </c>
      <c r="AF629" s="1">
        <v>2521.63</v>
      </c>
      <c r="AG629" s="9">
        <v>0</v>
      </c>
      <c r="AH629" s="9">
        <f t="shared" si="254"/>
        <v>0</v>
      </c>
      <c r="AI629" s="1" t="str">
        <f t="shared" si="255"/>
        <v>OK</v>
      </c>
      <c r="AJ629" s="1">
        <v>22694.67</v>
      </c>
      <c r="AK629" s="1">
        <v>15405.36</v>
      </c>
      <c r="AL629" s="1">
        <v>7289.31</v>
      </c>
      <c r="AM629" s="13">
        <f t="shared" si="256"/>
        <v>22694.670000000002</v>
      </c>
      <c r="AN629" s="9">
        <f t="shared" si="257"/>
        <v>7289.3100000000013</v>
      </c>
      <c r="AO629" s="9">
        <f t="shared" si="266"/>
        <v>0.32119039404406413</v>
      </c>
      <c r="AP629" s="1" t="s">
        <v>33</v>
      </c>
      <c r="AQ629" s="1" t="str">
        <f t="shared" si="258"/>
        <v>Paid</v>
      </c>
      <c r="AR629" s="1" t="str">
        <f t="shared" si="259"/>
        <v>OK</v>
      </c>
      <c r="AS629" s="1" t="s">
        <v>120</v>
      </c>
      <c r="AT629" s="4" t="str">
        <f t="shared" si="260"/>
        <v>Returned</v>
      </c>
      <c r="AU629" s="3" t="str">
        <f t="shared" si="261"/>
        <v>RETURNED_ORDER</v>
      </c>
      <c r="AV629" s="3" t="str">
        <f t="shared" si="267"/>
        <v>CLEAN</v>
      </c>
      <c r="AW629" t="str">
        <f t="shared" si="268"/>
        <v>MATCH</v>
      </c>
      <c r="AX629" t="str">
        <f t="shared" si="269"/>
        <v>MATCH</v>
      </c>
    </row>
    <row r="630" spans="1:50" ht="15.6" hidden="1">
      <c r="A630" s="1" t="s">
        <v>1259</v>
      </c>
      <c r="B630" s="1">
        <f t="shared" si="243"/>
        <v>1</v>
      </c>
      <c r="C630" s="16">
        <v>45753</v>
      </c>
      <c r="D630" s="16">
        <v>45753</v>
      </c>
      <c r="E630" s="16" t="str">
        <f t="shared" si="262"/>
        <v>Apr</v>
      </c>
      <c r="F630" s="1">
        <f t="shared" si="263"/>
        <v>2025</v>
      </c>
      <c r="G630" t="s">
        <v>2617</v>
      </c>
      <c r="H630" s="17">
        <v>45942</v>
      </c>
      <c r="I630" s="21">
        <f t="shared" si="264"/>
        <v>189</v>
      </c>
      <c r="J630" s="6" t="str">
        <f t="shared" si="265"/>
        <v>OK</v>
      </c>
      <c r="K630" s="1" t="s">
        <v>1063</v>
      </c>
      <c r="L630" s="1" t="s">
        <v>52</v>
      </c>
      <c r="M630" s="1" t="str">
        <f t="shared" si="244"/>
        <v>Isha Nair</v>
      </c>
      <c r="N630" s="1" t="s">
        <v>104</v>
      </c>
      <c r="O630" s="1" t="str">
        <f t="shared" si="245"/>
        <v>Corporate</v>
      </c>
      <c r="P630" s="1" t="s">
        <v>26</v>
      </c>
      <c r="Q630" s="1" t="str">
        <f t="shared" si="246"/>
        <v>North</v>
      </c>
      <c r="R630" s="1" t="str">
        <f t="shared" si="247"/>
        <v>OK</v>
      </c>
      <c r="S630" s="1" t="s">
        <v>294</v>
      </c>
      <c r="T630" s="1" t="str">
        <f t="shared" si="248"/>
        <v>Haryana</v>
      </c>
      <c r="U630" s="1" t="s">
        <v>295</v>
      </c>
      <c r="V630" s="1" t="str">
        <f t="shared" si="249"/>
        <v>Gurugram</v>
      </c>
      <c r="W630" s="1" t="s">
        <v>83</v>
      </c>
      <c r="X630" s="1" t="str">
        <f t="shared" si="250"/>
        <v>Technology</v>
      </c>
      <c r="Y630" s="1" t="s">
        <v>84</v>
      </c>
      <c r="Z630" s="1" t="str">
        <f t="shared" si="251"/>
        <v>Accessories</v>
      </c>
      <c r="AA630" s="1" t="s">
        <v>1261</v>
      </c>
      <c r="AB630" s="1" t="s">
        <v>32</v>
      </c>
      <c r="AC630" s="1" t="str">
        <f t="shared" si="252"/>
        <v>Second Class</v>
      </c>
      <c r="AD630" s="1" t="str">
        <f t="shared" si="253"/>
        <v>OK</v>
      </c>
      <c r="AE630" s="1">
        <v>1</v>
      </c>
      <c r="AF630" s="1">
        <v>2133.73</v>
      </c>
      <c r="AG630" s="9">
        <v>0.15</v>
      </c>
      <c r="AH630" s="9">
        <f t="shared" si="254"/>
        <v>0.15</v>
      </c>
      <c r="AI630" s="1" t="str">
        <f t="shared" si="255"/>
        <v>OK</v>
      </c>
      <c r="AJ630" s="1">
        <v>2008.39</v>
      </c>
      <c r="AK630" s="1">
        <v>1002.57</v>
      </c>
      <c r="AL630" s="1">
        <v>811.1</v>
      </c>
      <c r="AM630" s="13">
        <f t="shared" si="256"/>
        <v>1813.6704999999999</v>
      </c>
      <c r="AN630" s="9">
        <f t="shared" si="257"/>
        <v>811.1004999999999</v>
      </c>
      <c r="AO630" s="9">
        <f t="shared" si="266"/>
        <v>0.4472149158295291</v>
      </c>
      <c r="AP630" s="1" t="s">
        <v>131</v>
      </c>
      <c r="AQ630" s="1" t="str">
        <f t="shared" si="258"/>
        <v>Pending</v>
      </c>
      <c r="AR630" s="1" t="str">
        <f t="shared" si="259"/>
        <v>OK</v>
      </c>
      <c r="AS630" s="1" t="s">
        <v>76</v>
      </c>
      <c r="AT630" s="4" t="str">
        <f t="shared" si="260"/>
        <v>Cancelled</v>
      </c>
      <c r="AU630" s="3" t="str">
        <f t="shared" si="261"/>
        <v>EXCLUDE_FROM_SALES</v>
      </c>
      <c r="AV630" s="3" t="str">
        <f t="shared" si="267"/>
        <v>CLEAN</v>
      </c>
      <c r="AW630" t="str">
        <f t="shared" si="268"/>
        <v>MISMATCH</v>
      </c>
      <c r="AX630" t="str">
        <f t="shared" si="269"/>
        <v>MATCH</v>
      </c>
    </row>
    <row r="631" spans="1:50" ht="15.6" hidden="1">
      <c r="A631" s="1" t="s">
        <v>1262</v>
      </c>
      <c r="B631" s="1">
        <f t="shared" si="243"/>
        <v>1</v>
      </c>
      <c r="C631" s="16">
        <v>45723</v>
      </c>
      <c r="D631" s="16">
        <v>45723</v>
      </c>
      <c r="E631" s="16" t="str">
        <f t="shared" si="262"/>
        <v>Mar</v>
      </c>
      <c r="F631" s="1">
        <f t="shared" si="263"/>
        <v>2025</v>
      </c>
      <c r="G631" t="s">
        <v>2621</v>
      </c>
      <c r="H631" s="17">
        <v>45914</v>
      </c>
      <c r="I631" s="21">
        <f t="shared" si="264"/>
        <v>191</v>
      </c>
      <c r="J631" s="6" t="str">
        <f t="shared" si="265"/>
        <v>OK</v>
      </c>
      <c r="K631" s="1" t="s">
        <v>1264</v>
      </c>
      <c r="L631" s="1" t="s">
        <v>136</v>
      </c>
      <c r="M631" s="1" t="str">
        <f t="shared" si="244"/>
        <v>Priya Menon</v>
      </c>
      <c r="N631" s="1" t="s">
        <v>40</v>
      </c>
      <c r="O631" s="1" t="str">
        <f t="shared" si="245"/>
        <v>Small Business</v>
      </c>
      <c r="P631" s="1" t="s">
        <v>26</v>
      </c>
      <c r="Q631" s="1" t="str">
        <f t="shared" si="246"/>
        <v>North</v>
      </c>
      <c r="R631" s="1" t="str">
        <f t="shared" si="247"/>
        <v>OK</v>
      </c>
      <c r="S631" s="1" t="s">
        <v>454</v>
      </c>
      <c r="T631" s="1" t="str">
        <f t="shared" si="248"/>
        <v>Delhi</v>
      </c>
      <c r="U631" s="1" t="s">
        <v>455</v>
      </c>
      <c r="V631" s="1" t="str">
        <f t="shared" si="249"/>
        <v>New Delhi</v>
      </c>
      <c r="W631" s="1" t="s">
        <v>83</v>
      </c>
      <c r="X631" s="1" t="str">
        <f t="shared" si="250"/>
        <v>Technology</v>
      </c>
      <c r="Y631" s="1" t="s">
        <v>84</v>
      </c>
      <c r="Z631" s="1" t="str">
        <f t="shared" si="251"/>
        <v>Accessories</v>
      </c>
      <c r="AA631" s="1" t="s">
        <v>1265</v>
      </c>
      <c r="AB631" s="1" t="s">
        <v>47</v>
      </c>
      <c r="AC631" s="1" t="str">
        <f t="shared" si="252"/>
        <v>Same Day</v>
      </c>
      <c r="AD631" s="1" t="str">
        <f t="shared" si="253"/>
        <v>OK</v>
      </c>
      <c r="AE631" s="1">
        <v>1</v>
      </c>
      <c r="AF631" s="1">
        <v>3979.64</v>
      </c>
      <c r="AG631" s="9">
        <v>0.05</v>
      </c>
      <c r="AH631" s="9">
        <f t="shared" si="254"/>
        <v>0.05</v>
      </c>
      <c r="AI631" s="1" t="str">
        <f t="shared" si="255"/>
        <v>OK</v>
      </c>
      <c r="AJ631" s="1">
        <v>3780.66</v>
      </c>
      <c r="AK631" s="1">
        <v>2148.31</v>
      </c>
      <c r="AL631" s="1">
        <v>1632.35</v>
      </c>
      <c r="AM631" s="13">
        <f t="shared" si="256"/>
        <v>3780.6579999999999</v>
      </c>
      <c r="AN631" s="9">
        <f t="shared" si="257"/>
        <v>1632.348</v>
      </c>
      <c r="AO631" s="9">
        <f t="shared" si="266"/>
        <v>0.43176293650470365</v>
      </c>
      <c r="AP631" s="1" t="s">
        <v>33</v>
      </c>
      <c r="AQ631" s="1" t="str">
        <f t="shared" si="258"/>
        <v>Paid</v>
      </c>
      <c r="AR631" s="1" t="str">
        <f t="shared" si="259"/>
        <v>OK</v>
      </c>
      <c r="AS631" s="1" t="s">
        <v>120</v>
      </c>
      <c r="AT631" s="4" t="str">
        <f t="shared" si="260"/>
        <v>Returned</v>
      </c>
      <c r="AU631" s="3" t="str">
        <f t="shared" si="261"/>
        <v>RETURNED_ORDER</v>
      </c>
      <c r="AV631" s="3" t="str">
        <f t="shared" si="267"/>
        <v>CLEAN</v>
      </c>
      <c r="AW631" t="str">
        <f t="shared" si="268"/>
        <v>MATCH</v>
      </c>
      <c r="AX631" t="str">
        <f t="shared" si="269"/>
        <v>MATCH</v>
      </c>
    </row>
    <row r="632" spans="1:50" ht="15.6">
      <c r="A632" s="1" t="s">
        <v>1274</v>
      </c>
      <c r="B632" s="1">
        <f t="shared" si="243"/>
        <v>1</v>
      </c>
      <c r="C632" s="16">
        <v>45863</v>
      </c>
      <c r="D632" s="16">
        <v>45863</v>
      </c>
      <c r="E632" s="16" t="str">
        <f t="shared" si="262"/>
        <v>Jul</v>
      </c>
      <c r="F632" s="1">
        <f t="shared" si="263"/>
        <v>2025</v>
      </c>
      <c r="G632" t="s">
        <v>1318</v>
      </c>
      <c r="H632" s="17">
        <v>45392</v>
      </c>
      <c r="I632" s="21">
        <f t="shared" si="264"/>
        <v>-471</v>
      </c>
      <c r="J632" s="6" t="str">
        <f t="shared" si="265"/>
        <v>INVALID_SHIPPING</v>
      </c>
      <c r="K632" s="1" t="s">
        <v>1276</v>
      </c>
      <c r="L632" s="1" t="s">
        <v>334</v>
      </c>
      <c r="M632" s="1" t="str">
        <f t="shared" si="244"/>
        <v>Kabir Singh</v>
      </c>
      <c r="N632" s="1" t="s">
        <v>25</v>
      </c>
      <c r="O632" s="1" t="str">
        <f t="shared" si="245"/>
        <v>Consumer</v>
      </c>
      <c r="P632" s="1" t="s">
        <v>41</v>
      </c>
      <c r="Q632" s="1" t="str">
        <f t="shared" si="246"/>
        <v>East</v>
      </c>
      <c r="R632" s="1" t="str">
        <f t="shared" si="247"/>
        <v>OK</v>
      </c>
      <c r="S632" s="1" t="s">
        <v>284</v>
      </c>
      <c r="T632" s="1" t="str">
        <f t="shared" si="248"/>
        <v>Jharkhand</v>
      </c>
      <c r="U632" s="1" t="s">
        <v>285</v>
      </c>
      <c r="V632" s="1" t="str">
        <f t="shared" si="249"/>
        <v>Ranchi</v>
      </c>
      <c r="W632" s="1" t="s">
        <v>29</v>
      </c>
      <c r="X632" s="1" t="str">
        <f t="shared" si="250"/>
        <v>Office Supplies</v>
      </c>
      <c r="Y632" s="1" t="s">
        <v>184</v>
      </c>
      <c r="Z632" s="1" t="str">
        <f t="shared" si="251"/>
        <v>Binders</v>
      </c>
      <c r="AA632" s="1" t="s">
        <v>1277</v>
      </c>
      <c r="AB632" s="1" t="s">
        <v>32</v>
      </c>
      <c r="AC632" s="1" t="str">
        <f t="shared" si="252"/>
        <v>Second Class</v>
      </c>
      <c r="AD632" s="1" t="str">
        <f t="shared" si="253"/>
        <v>OK</v>
      </c>
      <c r="AE632" s="1">
        <v>6</v>
      </c>
      <c r="AF632" s="1">
        <v>3438.38</v>
      </c>
      <c r="AG632" s="9">
        <v>0.2</v>
      </c>
      <c r="AH632" s="9">
        <f t="shared" si="254"/>
        <v>0.2</v>
      </c>
      <c r="AI632" s="1" t="str">
        <f t="shared" si="255"/>
        <v>OK</v>
      </c>
      <c r="AJ632" s="1">
        <v>16504.22</v>
      </c>
      <c r="AK632" s="1">
        <v>11262.71</v>
      </c>
      <c r="AL632" s="1">
        <v>5241.51</v>
      </c>
      <c r="AM632" s="13">
        <f t="shared" si="256"/>
        <v>16504.223999999998</v>
      </c>
      <c r="AN632" s="9">
        <f t="shared" si="257"/>
        <v>5241.5139999999992</v>
      </c>
      <c r="AO632" s="9">
        <f t="shared" si="266"/>
        <v>0.31758621308096641</v>
      </c>
      <c r="AP632" s="1" t="s">
        <v>33</v>
      </c>
      <c r="AQ632" s="1" t="str">
        <f t="shared" si="258"/>
        <v>Paid</v>
      </c>
      <c r="AR632" s="1" t="str">
        <f t="shared" si="259"/>
        <v>OK</v>
      </c>
      <c r="AS632" s="1" t="s">
        <v>34</v>
      </c>
      <c r="AT632" s="4" t="str">
        <f t="shared" si="260"/>
        <v>Completed</v>
      </c>
      <c r="AU632" s="3" t="str">
        <f t="shared" si="261"/>
        <v>OK</v>
      </c>
      <c r="AV632" s="3" t="str">
        <f t="shared" si="267"/>
        <v>INVALID</v>
      </c>
      <c r="AW632" t="str">
        <f t="shared" si="268"/>
        <v>MATCH</v>
      </c>
      <c r="AX632" t="str">
        <f t="shared" si="269"/>
        <v>MATCH</v>
      </c>
    </row>
    <row r="633" spans="1:50" ht="15.6">
      <c r="A633" s="1" t="s">
        <v>1282</v>
      </c>
      <c r="B633" s="1">
        <f t="shared" si="243"/>
        <v>1</v>
      </c>
      <c r="C633" s="16">
        <v>45729</v>
      </c>
      <c r="D633" s="16">
        <v>45729</v>
      </c>
      <c r="E633" s="16" t="str">
        <f t="shared" si="262"/>
        <v>Mar</v>
      </c>
      <c r="F633" s="1">
        <f t="shared" si="263"/>
        <v>2025</v>
      </c>
      <c r="G633" t="s">
        <v>1357</v>
      </c>
      <c r="H633" s="17">
        <v>45397</v>
      </c>
      <c r="I633" s="21">
        <f t="shared" si="264"/>
        <v>-332</v>
      </c>
      <c r="J633" s="6" t="str">
        <f t="shared" si="265"/>
        <v>INVALID_SHIPPING</v>
      </c>
      <c r="K633" s="1" t="s">
        <v>1285</v>
      </c>
      <c r="L633" s="1" t="s">
        <v>80</v>
      </c>
      <c r="M633" s="1" t="str">
        <f t="shared" si="244"/>
        <v>Vikram Iyer</v>
      </c>
      <c r="N633" s="1" t="s">
        <v>25</v>
      </c>
      <c r="O633" s="1" t="str">
        <f t="shared" si="245"/>
        <v>Consumer</v>
      </c>
      <c r="P633" s="1" t="s">
        <v>71</v>
      </c>
      <c r="Q633" s="1" t="str">
        <f t="shared" si="246"/>
        <v>West</v>
      </c>
      <c r="R633" s="1" t="str">
        <f t="shared" si="247"/>
        <v>OK</v>
      </c>
      <c r="S633" s="1" t="s">
        <v>72</v>
      </c>
      <c r="T633" s="1" t="str">
        <f t="shared" si="248"/>
        <v>Maharashtra</v>
      </c>
      <c r="U633" s="1" t="s">
        <v>73</v>
      </c>
      <c r="V633" s="1" t="str">
        <f t="shared" si="249"/>
        <v>Mumbai</v>
      </c>
      <c r="W633" s="1" t="s">
        <v>44</v>
      </c>
      <c r="X633" s="1" t="str">
        <f t="shared" si="250"/>
        <v>Furniture</v>
      </c>
      <c r="Y633" s="1" t="s">
        <v>63</v>
      </c>
      <c r="Z633" s="1" t="str">
        <f t="shared" si="251"/>
        <v>Furnishings</v>
      </c>
      <c r="AA633" s="1" t="s">
        <v>1286</v>
      </c>
      <c r="AB633" s="1" t="s">
        <v>55</v>
      </c>
      <c r="AC633" s="1" t="str">
        <f t="shared" si="252"/>
        <v>First Class</v>
      </c>
      <c r="AD633" s="1" t="str">
        <f t="shared" si="253"/>
        <v>OK</v>
      </c>
      <c r="AE633" s="1">
        <v>1</v>
      </c>
      <c r="AF633" s="1">
        <v>1814.01</v>
      </c>
      <c r="AG633" s="9">
        <v>0</v>
      </c>
      <c r="AH633" s="9">
        <f t="shared" si="254"/>
        <v>0</v>
      </c>
      <c r="AI633" s="1" t="str">
        <f t="shared" si="255"/>
        <v>OK</v>
      </c>
      <c r="AJ633" s="1">
        <v>1814.01</v>
      </c>
      <c r="AK633" s="1">
        <v>1033.47</v>
      </c>
      <c r="AL633" s="1">
        <v>780.54</v>
      </c>
      <c r="AM633" s="13">
        <f t="shared" si="256"/>
        <v>1814.01</v>
      </c>
      <c r="AN633" s="9">
        <f t="shared" si="257"/>
        <v>780.54</v>
      </c>
      <c r="AO633" s="9">
        <f t="shared" si="266"/>
        <v>0.43028428729720342</v>
      </c>
      <c r="AP633" s="1" t="s">
        <v>33</v>
      </c>
      <c r="AQ633" s="1" t="str">
        <f t="shared" si="258"/>
        <v>Paid</v>
      </c>
      <c r="AR633" s="1" t="str">
        <f t="shared" si="259"/>
        <v>OK</v>
      </c>
      <c r="AS633" s="1" t="s">
        <v>34</v>
      </c>
      <c r="AT633" s="4" t="str">
        <f t="shared" si="260"/>
        <v>Completed</v>
      </c>
      <c r="AU633" s="3" t="str">
        <f t="shared" si="261"/>
        <v>OK</v>
      </c>
      <c r="AV633" s="3" t="str">
        <f t="shared" si="267"/>
        <v>INVALID</v>
      </c>
      <c r="AW633" t="str">
        <f t="shared" si="268"/>
        <v>MATCH</v>
      </c>
      <c r="AX633" t="str">
        <f t="shared" si="269"/>
        <v>MATCH</v>
      </c>
    </row>
    <row r="634" spans="1:50" ht="15.6">
      <c r="A634" s="1" t="s">
        <v>1292</v>
      </c>
      <c r="B634" s="1">
        <f t="shared" si="243"/>
        <v>1</v>
      </c>
      <c r="C634" s="16">
        <v>45884</v>
      </c>
      <c r="D634" s="16">
        <v>45884</v>
      </c>
      <c r="E634" s="16" t="str">
        <f t="shared" si="262"/>
        <v>Aug</v>
      </c>
      <c r="F634" s="1">
        <f t="shared" si="263"/>
        <v>2025</v>
      </c>
      <c r="G634" t="s">
        <v>2631</v>
      </c>
      <c r="H634" s="17">
        <v>45763</v>
      </c>
      <c r="I634" s="21">
        <f t="shared" si="264"/>
        <v>-121</v>
      </c>
      <c r="J634" s="6" t="str">
        <f t="shared" si="265"/>
        <v>INVALID_SHIPPING</v>
      </c>
      <c r="K634" s="1" t="s">
        <v>1294</v>
      </c>
      <c r="L634" s="1" t="s">
        <v>90</v>
      </c>
      <c r="M634" s="1" t="str">
        <f t="shared" si="244"/>
        <v>Neha Gupta</v>
      </c>
      <c r="N634" s="1" t="s">
        <v>110</v>
      </c>
      <c r="O634" s="1" t="str">
        <f t="shared" si="245"/>
        <v>Home Office</v>
      </c>
      <c r="P634" s="1" t="s">
        <v>26</v>
      </c>
      <c r="Q634" s="1" t="str">
        <f t="shared" si="246"/>
        <v>North</v>
      </c>
      <c r="R634" s="1" t="str">
        <f t="shared" si="247"/>
        <v>OK</v>
      </c>
      <c r="S634" s="1" t="s">
        <v>27</v>
      </c>
      <c r="T634" s="1" t="str">
        <f t="shared" si="248"/>
        <v>Rajasthan</v>
      </c>
      <c r="U634" s="1" t="s">
        <v>28</v>
      </c>
      <c r="V634" s="1" t="str">
        <f t="shared" si="249"/>
        <v>Jaipur</v>
      </c>
      <c r="W634" s="1" t="s">
        <v>29</v>
      </c>
      <c r="X634" s="1" t="str">
        <f t="shared" si="250"/>
        <v>Office Supplies</v>
      </c>
      <c r="Y634" s="1" t="s">
        <v>148</v>
      </c>
      <c r="Z634" s="1" t="str">
        <f t="shared" si="251"/>
        <v>Storage</v>
      </c>
      <c r="AA634" s="1" t="s">
        <v>1295</v>
      </c>
      <c r="AB634" s="1" t="s">
        <v>65</v>
      </c>
      <c r="AC634" s="1" t="str">
        <f t="shared" si="252"/>
        <v>Standard Class</v>
      </c>
      <c r="AD634" s="1" t="str">
        <f t="shared" si="253"/>
        <v>OK</v>
      </c>
      <c r="AE634" s="1">
        <v>9</v>
      </c>
      <c r="AF634" s="1">
        <v>4081.77</v>
      </c>
      <c r="AG634" s="9">
        <v>0</v>
      </c>
      <c r="AH634" s="9">
        <f t="shared" si="254"/>
        <v>0</v>
      </c>
      <c r="AI634" s="1" t="str">
        <f t="shared" si="255"/>
        <v>OK</v>
      </c>
      <c r="AJ634" s="1">
        <v>36735.93</v>
      </c>
      <c r="AK634" s="1">
        <v>30820.84</v>
      </c>
      <c r="AL634" s="1">
        <v>5915.09</v>
      </c>
      <c r="AM634" s="13">
        <f t="shared" si="256"/>
        <v>36735.93</v>
      </c>
      <c r="AN634" s="9">
        <f t="shared" si="257"/>
        <v>5915.09</v>
      </c>
      <c r="AO634" s="9">
        <f t="shared" si="266"/>
        <v>0.16101647624001897</v>
      </c>
      <c r="AP634" s="1" t="s">
        <v>33</v>
      </c>
      <c r="AQ634" s="1" t="str">
        <f t="shared" si="258"/>
        <v>Paid</v>
      </c>
      <c r="AR634" s="1" t="str">
        <f t="shared" si="259"/>
        <v>OK</v>
      </c>
      <c r="AS634" s="1" t="s">
        <v>34</v>
      </c>
      <c r="AT634" s="4" t="str">
        <f t="shared" si="260"/>
        <v>Completed</v>
      </c>
      <c r="AU634" s="3" t="str">
        <f t="shared" si="261"/>
        <v>OK</v>
      </c>
      <c r="AV634" s="3" t="str">
        <f t="shared" si="267"/>
        <v>INVALID</v>
      </c>
      <c r="AW634" t="str">
        <f t="shared" si="268"/>
        <v>MATCH</v>
      </c>
      <c r="AX634" t="str">
        <f t="shared" si="269"/>
        <v>MATCH</v>
      </c>
    </row>
    <row r="635" spans="1:50" ht="15.6">
      <c r="A635" s="1" t="s">
        <v>1309</v>
      </c>
      <c r="B635" s="1">
        <f t="shared" si="243"/>
        <v>1</v>
      </c>
      <c r="C635" s="16">
        <v>45827</v>
      </c>
      <c r="D635" s="16">
        <v>45827</v>
      </c>
      <c r="E635" s="16" t="str">
        <f t="shared" si="262"/>
        <v>Jun</v>
      </c>
      <c r="F635" s="1">
        <f t="shared" si="263"/>
        <v>2025</v>
      </c>
      <c r="G635" t="s">
        <v>2636</v>
      </c>
      <c r="H635" s="17">
        <v>45767</v>
      </c>
      <c r="I635" s="21">
        <f t="shared" si="264"/>
        <v>-60</v>
      </c>
      <c r="J635" s="6" t="str">
        <f t="shared" si="265"/>
        <v>INVALID_SHIPPING</v>
      </c>
      <c r="K635" s="1" t="s">
        <v>1310</v>
      </c>
      <c r="L635" s="1" t="s">
        <v>24</v>
      </c>
      <c r="M635" s="1" t="str">
        <f t="shared" si="244"/>
        <v>Karan Malhotra</v>
      </c>
      <c r="N635" s="1" t="s">
        <v>110</v>
      </c>
      <c r="O635" s="1" t="str">
        <f t="shared" si="245"/>
        <v>Home Office</v>
      </c>
      <c r="P635" s="1" t="s">
        <v>60</v>
      </c>
      <c r="Q635" s="1" t="str">
        <f t="shared" si="246"/>
        <v>South</v>
      </c>
      <c r="R635" s="1" t="str">
        <f t="shared" si="247"/>
        <v>OK</v>
      </c>
      <c r="S635" s="1" t="s">
        <v>309</v>
      </c>
      <c r="T635" s="1" t="str">
        <f t="shared" si="248"/>
        <v>Tamil Nadu</v>
      </c>
      <c r="U635" s="1" t="s">
        <v>310</v>
      </c>
      <c r="V635" s="1" t="str">
        <f t="shared" si="249"/>
        <v>Chennai</v>
      </c>
      <c r="W635" s="1" t="s">
        <v>44</v>
      </c>
      <c r="X635" s="1" t="str">
        <f t="shared" si="250"/>
        <v>Furniture</v>
      </c>
      <c r="Y635" s="1" t="s">
        <v>190</v>
      </c>
      <c r="Z635" s="1" t="str">
        <f t="shared" si="251"/>
        <v>Bookcases</v>
      </c>
      <c r="AA635" s="1" t="s">
        <v>1311</v>
      </c>
      <c r="AB635" s="1" t="s">
        <v>55</v>
      </c>
      <c r="AC635" s="1" t="str">
        <f t="shared" si="252"/>
        <v>First Class</v>
      </c>
      <c r="AD635" s="1" t="str">
        <f t="shared" si="253"/>
        <v>OK</v>
      </c>
      <c r="AE635" s="1">
        <v>2</v>
      </c>
      <c r="AF635" s="1">
        <v>4346.6899999999996</v>
      </c>
      <c r="AG635" s="9">
        <v>0.05</v>
      </c>
      <c r="AH635" s="9">
        <f t="shared" si="254"/>
        <v>0.05</v>
      </c>
      <c r="AI635" s="1" t="str">
        <f t="shared" si="255"/>
        <v>OK</v>
      </c>
      <c r="AJ635" s="1">
        <v>8258.7099999999991</v>
      </c>
      <c r="AK635" s="1">
        <v>7018.97</v>
      </c>
      <c r="AL635" s="1">
        <v>1239.74</v>
      </c>
      <c r="AM635" s="13">
        <f t="shared" si="256"/>
        <v>8258.7109999999993</v>
      </c>
      <c r="AN635" s="9">
        <f t="shared" si="257"/>
        <v>1239.7409999999991</v>
      </c>
      <c r="AO635" s="9">
        <f t="shared" si="266"/>
        <v>0.15011313508851432</v>
      </c>
      <c r="AP635" s="1" t="s">
        <v>33</v>
      </c>
      <c r="AQ635" s="1" t="str">
        <f t="shared" si="258"/>
        <v>Paid</v>
      </c>
      <c r="AR635" s="1" t="str">
        <f t="shared" si="259"/>
        <v>OK</v>
      </c>
      <c r="AS635" s="1" t="s">
        <v>34</v>
      </c>
      <c r="AT635" s="4" t="str">
        <f t="shared" si="260"/>
        <v>Completed</v>
      </c>
      <c r="AU635" s="3" t="str">
        <f t="shared" si="261"/>
        <v>OK</v>
      </c>
      <c r="AV635" s="3" t="str">
        <f t="shared" si="267"/>
        <v>INVALID</v>
      </c>
      <c r="AW635" t="str">
        <f t="shared" si="268"/>
        <v>MATCH</v>
      </c>
      <c r="AX635" t="str">
        <f t="shared" si="269"/>
        <v>MATCH</v>
      </c>
    </row>
    <row r="636" spans="1:50" ht="15.6">
      <c r="A636" s="1" t="s">
        <v>1312</v>
      </c>
      <c r="B636" s="1">
        <f t="shared" si="243"/>
        <v>1</v>
      </c>
      <c r="C636" s="16">
        <v>45891</v>
      </c>
      <c r="D636" s="16">
        <v>45891</v>
      </c>
      <c r="E636" s="16" t="str">
        <f t="shared" si="262"/>
        <v>Aug</v>
      </c>
      <c r="F636" s="1">
        <f t="shared" si="263"/>
        <v>2025</v>
      </c>
      <c r="G636" t="s">
        <v>1915</v>
      </c>
      <c r="H636" s="17">
        <v>45669</v>
      </c>
      <c r="I636" s="21">
        <f t="shared" si="264"/>
        <v>-222</v>
      </c>
      <c r="J636" s="6" t="str">
        <f t="shared" si="265"/>
        <v>INVALID_SHIPPING</v>
      </c>
      <c r="K636" s="1" t="s">
        <v>1315</v>
      </c>
      <c r="L636" s="1" t="s">
        <v>196</v>
      </c>
      <c r="M636" s="1" t="str">
        <f t="shared" si="244"/>
        <v>Diya Patel</v>
      </c>
      <c r="N636" s="1" t="s">
        <v>110</v>
      </c>
      <c r="O636" s="1" t="str">
        <f t="shared" si="245"/>
        <v>Home Office</v>
      </c>
      <c r="P636" s="1" t="s">
        <v>41</v>
      </c>
      <c r="Q636" s="1" t="str">
        <f t="shared" si="246"/>
        <v>East</v>
      </c>
      <c r="R636" s="1" t="str">
        <f t="shared" si="247"/>
        <v>OK</v>
      </c>
      <c r="S636" s="1" t="s">
        <v>284</v>
      </c>
      <c r="T636" s="1" t="str">
        <f t="shared" si="248"/>
        <v>Jharkhand</v>
      </c>
      <c r="U636" s="1" t="s">
        <v>285</v>
      </c>
      <c r="V636" s="1" t="str">
        <f t="shared" si="249"/>
        <v>Ranchi</v>
      </c>
      <c r="W636" s="1" t="s">
        <v>44</v>
      </c>
      <c r="X636" s="1" t="str">
        <f t="shared" si="250"/>
        <v>Furniture</v>
      </c>
      <c r="Y636" s="1" t="s">
        <v>45</v>
      </c>
      <c r="Z636" s="1" t="str">
        <f t="shared" si="251"/>
        <v>Tables</v>
      </c>
      <c r="AA636" s="1" t="s">
        <v>1316</v>
      </c>
      <c r="AB636" s="1" t="s">
        <v>65</v>
      </c>
      <c r="AC636" s="1" t="str">
        <f t="shared" si="252"/>
        <v>Standard Class</v>
      </c>
      <c r="AD636" s="1" t="str">
        <f t="shared" si="253"/>
        <v>OK</v>
      </c>
      <c r="AE636" s="1">
        <v>1</v>
      </c>
      <c r="AF636" s="1">
        <v>1842.63</v>
      </c>
      <c r="AG636" s="9">
        <v>0.1</v>
      </c>
      <c r="AH636" s="9">
        <f t="shared" si="254"/>
        <v>0.1</v>
      </c>
      <c r="AI636" s="1" t="str">
        <f t="shared" si="255"/>
        <v>OK</v>
      </c>
      <c r="AJ636" s="1">
        <v>1658.37</v>
      </c>
      <c r="AK636" s="1">
        <v>971.12</v>
      </c>
      <c r="AL636" s="1">
        <v>687.25</v>
      </c>
      <c r="AM636" s="13">
        <f t="shared" si="256"/>
        <v>1658.3670000000002</v>
      </c>
      <c r="AN636" s="9">
        <f t="shared" si="257"/>
        <v>687.24700000000018</v>
      </c>
      <c r="AO636" s="9">
        <f t="shared" si="266"/>
        <v>0.41441188832146331</v>
      </c>
      <c r="AP636" s="1" t="s">
        <v>33</v>
      </c>
      <c r="AQ636" s="1" t="str">
        <f t="shared" si="258"/>
        <v>Paid</v>
      </c>
      <c r="AR636" s="1" t="str">
        <f t="shared" si="259"/>
        <v>OK</v>
      </c>
      <c r="AS636" s="1" t="s">
        <v>34</v>
      </c>
      <c r="AT636" s="4" t="str">
        <f t="shared" si="260"/>
        <v>Completed</v>
      </c>
      <c r="AU636" s="3" t="str">
        <f t="shared" si="261"/>
        <v>OK</v>
      </c>
      <c r="AV636" s="3" t="str">
        <f t="shared" si="267"/>
        <v>INVALID</v>
      </c>
      <c r="AW636" t="str">
        <f t="shared" si="268"/>
        <v>MATCH</v>
      </c>
      <c r="AX636" t="str">
        <f t="shared" si="269"/>
        <v>MATCH</v>
      </c>
    </row>
    <row r="637" spans="1:50" ht="15.6">
      <c r="A637" s="1" t="s">
        <v>1321</v>
      </c>
      <c r="B637" s="1">
        <f t="shared" si="243"/>
        <v>1</v>
      </c>
      <c r="C637" s="16">
        <v>45716</v>
      </c>
      <c r="D637" s="16">
        <v>45716</v>
      </c>
      <c r="E637" s="16" t="str">
        <f t="shared" si="262"/>
        <v>Feb</v>
      </c>
      <c r="F637" s="1">
        <f t="shared" si="263"/>
        <v>2025</v>
      </c>
      <c r="G637" t="s">
        <v>2643</v>
      </c>
      <c r="H637" s="17">
        <v>45437</v>
      </c>
      <c r="I637" s="21">
        <f t="shared" si="264"/>
        <v>-279</v>
      </c>
      <c r="J637" s="6" t="str">
        <f t="shared" si="265"/>
        <v>INVALID_SHIPPING</v>
      </c>
      <c r="K637" s="1" t="s">
        <v>1323</v>
      </c>
      <c r="L637" s="1" t="s">
        <v>334</v>
      </c>
      <c r="M637" s="1" t="str">
        <f t="shared" si="244"/>
        <v>Kabir Singh</v>
      </c>
      <c r="N637" s="1" t="s">
        <v>110</v>
      </c>
      <c r="O637" s="1" t="str">
        <f t="shared" si="245"/>
        <v>Home Office</v>
      </c>
      <c r="P637" s="1" t="s">
        <v>26</v>
      </c>
      <c r="Q637" s="1" t="str">
        <f t="shared" si="246"/>
        <v>North</v>
      </c>
      <c r="R637" s="1" t="str">
        <f t="shared" si="247"/>
        <v>OK</v>
      </c>
      <c r="S637" s="1" t="s">
        <v>294</v>
      </c>
      <c r="T637" s="1" t="str">
        <f t="shared" si="248"/>
        <v>Haryana</v>
      </c>
      <c r="U637" s="1" t="s">
        <v>295</v>
      </c>
      <c r="V637" s="1" t="str">
        <f t="shared" si="249"/>
        <v>Gurugram</v>
      </c>
      <c r="W637" s="1" t="s">
        <v>29</v>
      </c>
      <c r="X637" s="1" t="str">
        <f t="shared" si="250"/>
        <v>Office Supplies</v>
      </c>
      <c r="Y637" s="1" t="s">
        <v>53</v>
      </c>
      <c r="Z637" s="1" t="str">
        <f t="shared" si="251"/>
        <v>Art</v>
      </c>
      <c r="AA637" s="1" t="s">
        <v>1324</v>
      </c>
      <c r="AB637" s="1" t="s">
        <v>47</v>
      </c>
      <c r="AC637" s="1" t="str">
        <f t="shared" si="252"/>
        <v>Same Day</v>
      </c>
      <c r="AD637" s="1" t="str">
        <f t="shared" si="253"/>
        <v>OK</v>
      </c>
      <c r="AE637" s="1">
        <v>9</v>
      </c>
      <c r="AF637" s="1">
        <v>3748.95</v>
      </c>
      <c r="AG637" s="9">
        <v>0</v>
      </c>
      <c r="AH637" s="9">
        <f t="shared" si="254"/>
        <v>0</v>
      </c>
      <c r="AI637" s="1" t="str">
        <f t="shared" si="255"/>
        <v>OK</v>
      </c>
      <c r="AJ637" s="1">
        <v>33740.550000000003</v>
      </c>
      <c r="AK637" s="1">
        <v>24621.89</v>
      </c>
      <c r="AL637" s="1">
        <v>9118.66</v>
      </c>
      <c r="AM637" s="13">
        <f t="shared" si="256"/>
        <v>33740.549999999996</v>
      </c>
      <c r="AN637" s="9">
        <f t="shared" si="257"/>
        <v>9118.6599999999962</v>
      </c>
      <c r="AO637" s="9">
        <f t="shared" si="266"/>
        <v>0.2702581908119458</v>
      </c>
      <c r="AP637" s="1" t="s">
        <v>131</v>
      </c>
      <c r="AQ637" s="1" t="str">
        <f t="shared" si="258"/>
        <v>Pending</v>
      </c>
      <c r="AR637" s="1" t="str">
        <f t="shared" si="259"/>
        <v>OK</v>
      </c>
      <c r="AS637" s="1" t="s">
        <v>76</v>
      </c>
      <c r="AT637" s="4" t="str">
        <f t="shared" si="260"/>
        <v>Cancelled</v>
      </c>
      <c r="AU637" s="3" t="str">
        <f t="shared" si="261"/>
        <v>EXCLUDE_FROM_SALES</v>
      </c>
      <c r="AV637" s="3" t="str">
        <f t="shared" si="267"/>
        <v>INVALID</v>
      </c>
      <c r="AW637" t="str">
        <f t="shared" si="268"/>
        <v>MATCH</v>
      </c>
      <c r="AX637" t="str">
        <f t="shared" si="269"/>
        <v>MATCH</v>
      </c>
    </row>
    <row r="638" spans="1:50" ht="15.6">
      <c r="A638" s="1" t="s">
        <v>1330</v>
      </c>
      <c r="B638" s="1">
        <f t="shared" si="243"/>
        <v>1</v>
      </c>
      <c r="C638" s="16">
        <v>45854</v>
      </c>
      <c r="D638" s="16">
        <v>45854</v>
      </c>
      <c r="E638" s="16" t="str">
        <f t="shared" si="262"/>
        <v>Jul</v>
      </c>
      <c r="F638" s="1">
        <f t="shared" si="263"/>
        <v>2025</v>
      </c>
      <c r="G638" t="s">
        <v>2647</v>
      </c>
      <c r="H638" s="17">
        <v>45574</v>
      </c>
      <c r="I638" s="21">
        <f t="shared" si="264"/>
        <v>-280</v>
      </c>
      <c r="J638" s="6" t="str">
        <f t="shared" si="265"/>
        <v>INVALID_SHIPPING</v>
      </c>
      <c r="K638" s="1" t="s">
        <v>1333</v>
      </c>
      <c r="L638" s="1" t="s">
        <v>136</v>
      </c>
      <c r="M638" s="1" t="str">
        <f t="shared" si="244"/>
        <v>Priya Menon</v>
      </c>
      <c r="N638" s="1" t="s">
        <v>25</v>
      </c>
      <c r="O638" s="1" t="str">
        <f t="shared" si="245"/>
        <v>Consumer</v>
      </c>
      <c r="P638" s="1" t="s">
        <v>41</v>
      </c>
      <c r="Q638" s="1" t="str">
        <f t="shared" si="246"/>
        <v>East</v>
      </c>
      <c r="R638" s="1" t="str">
        <f t="shared" si="247"/>
        <v>OK</v>
      </c>
      <c r="S638" s="1" t="s">
        <v>42</v>
      </c>
      <c r="T638" s="1" t="str">
        <f t="shared" si="248"/>
        <v>Odisha</v>
      </c>
      <c r="U638" s="1" t="s">
        <v>43</v>
      </c>
      <c r="V638" s="1" t="str">
        <f t="shared" si="249"/>
        <v>Bhubaneswar</v>
      </c>
      <c r="W638" s="1" t="s">
        <v>83</v>
      </c>
      <c r="X638" s="1" t="str">
        <f t="shared" si="250"/>
        <v>Technology</v>
      </c>
      <c r="Y638" s="1" t="s">
        <v>207</v>
      </c>
      <c r="Z638" s="1" t="str">
        <f t="shared" si="251"/>
        <v>Phones</v>
      </c>
      <c r="AA638" s="1" t="s">
        <v>1334</v>
      </c>
      <c r="AB638" s="1" t="s">
        <v>32</v>
      </c>
      <c r="AC638" s="1" t="str">
        <f t="shared" si="252"/>
        <v>Second Class</v>
      </c>
      <c r="AD638" s="1" t="str">
        <f t="shared" si="253"/>
        <v>OK</v>
      </c>
      <c r="AE638" s="1">
        <v>6</v>
      </c>
      <c r="AF638" s="1">
        <v>4159.33</v>
      </c>
      <c r="AG638" s="9">
        <v>0.25</v>
      </c>
      <c r="AH638" s="9">
        <f t="shared" si="254"/>
        <v>0.25</v>
      </c>
      <c r="AI638" s="1" t="str">
        <f t="shared" si="255"/>
        <v>OK</v>
      </c>
      <c r="AJ638" s="1">
        <v>18716.990000000002</v>
      </c>
      <c r="AK638" s="1">
        <v>12282.43</v>
      </c>
      <c r="AL638" s="1">
        <v>6434.56</v>
      </c>
      <c r="AM638" s="13">
        <f t="shared" si="256"/>
        <v>18716.985000000001</v>
      </c>
      <c r="AN638" s="9">
        <f t="shared" si="257"/>
        <v>6434.5550000000003</v>
      </c>
      <c r="AO638" s="9">
        <f t="shared" si="266"/>
        <v>0.34378159730319813</v>
      </c>
      <c r="AP638" s="1" t="s">
        <v>33</v>
      </c>
      <c r="AQ638" s="1" t="str">
        <f t="shared" si="258"/>
        <v>Paid</v>
      </c>
      <c r="AR638" s="1" t="str">
        <f t="shared" si="259"/>
        <v>OK</v>
      </c>
      <c r="AS638" s="1" t="s">
        <v>120</v>
      </c>
      <c r="AT638" s="4" t="str">
        <f t="shared" si="260"/>
        <v>Returned</v>
      </c>
      <c r="AU638" s="3" t="str">
        <f t="shared" si="261"/>
        <v>RETURNED_ORDER</v>
      </c>
      <c r="AV638" s="3" t="str">
        <f t="shared" si="267"/>
        <v>INVALID</v>
      </c>
      <c r="AW638" t="str">
        <f t="shared" si="268"/>
        <v>MATCH</v>
      </c>
      <c r="AX638" t="str">
        <f t="shared" si="269"/>
        <v>MATCH</v>
      </c>
    </row>
    <row r="639" spans="1:50" ht="15.6">
      <c r="A639" s="1" t="s">
        <v>1335</v>
      </c>
      <c r="B639" s="1">
        <f t="shared" si="243"/>
        <v>1</v>
      </c>
      <c r="C639" s="16">
        <v>45833</v>
      </c>
      <c r="D639" s="16">
        <v>45833</v>
      </c>
      <c r="E639" s="16" t="str">
        <f t="shared" si="262"/>
        <v>Jun</v>
      </c>
      <c r="F639" s="1">
        <f t="shared" si="263"/>
        <v>2025</v>
      </c>
      <c r="G639" t="s">
        <v>2651</v>
      </c>
      <c r="H639" s="17">
        <v>45438</v>
      </c>
      <c r="I639" s="21">
        <f t="shared" si="264"/>
        <v>-395</v>
      </c>
      <c r="J639" s="6" t="str">
        <f t="shared" si="265"/>
        <v>INVALID_SHIPPING</v>
      </c>
      <c r="K639" s="1" t="s">
        <v>1338</v>
      </c>
      <c r="L639" s="1" t="s">
        <v>103</v>
      </c>
      <c r="M639" s="1" t="str">
        <f t="shared" si="244"/>
        <v>Aditi Sen</v>
      </c>
      <c r="N639" s="1" t="s">
        <v>40</v>
      </c>
      <c r="O639" s="1" t="str">
        <f t="shared" si="245"/>
        <v>Small Business</v>
      </c>
      <c r="P639" s="1" t="s">
        <v>41</v>
      </c>
      <c r="Q639" s="1" t="str">
        <f t="shared" si="246"/>
        <v>East</v>
      </c>
      <c r="R639" s="1" t="str">
        <f t="shared" si="247"/>
        <v>OK</v>
      </c>
      <c r="S639" s="1" t="s">
        <v>201</v>
      </c>
      <c r="T639" s="1" t="str">
        <f t="shared" si="248"/>
        <v>Assam</v>
      </c>
      <c r="U639" s="1" t="s">
        <v>202</v>
      </c>
      <c r="V639" s="1" t="str">
        <f t="shared" si="249"/>
        <v>Guwahati</v>
      </c>
      <c r="W639" s="1" t="s">
        <v>29</v>
      </c>
      <c r="X639" s="1" t="str">
        <f t="shared" si="250"/>
        <v>Office Supplies</v>
      </c>
      <c r="Y639" s="1" t="s">
        <v>184</v>
      </c>
      <c r="Z639" s="1" t="str">
        <f t="shared" si="251"/>
        <v>Binders</v>
      </c>
      <c r="AA639" s="1" t="s">
        <v>1339</v>
      </c>
      <c r="AB639" s="1" t="s">
        <v>65</v>
      </c>
      <c r="AC639" s="1" t="str">
        <f t="shared" si="252"/>
        <v>Standard Class</v>
      </c>
      <c r="AD639" s="1" t="str">
        <f t="shared" si="253"/>
        <v>OK</v>
      </c>
      <c r="AE639" s="1">
        <v>3</v>
      </c>
      <c r="AF639" s="1">
        <v>3476.05</v>
      </c>
      <c r="AG639" s="9">
        <v>0.1</v>
      </c>
      <c r="AH639" s="9">
        <f t="shared" si="254"/>
        <v>0.1</v>
      </c>
      <c r="AI639" s="1" t="str">
        <f t="shared" si="255"/>
        <v>OK</v>
      </c>
      <c r="AJ639" s="1">
        <v>9385.34</v>
      </c>
      <c r="AK639" s="1">
        <v>5828.54</v>
      </c>
      <c r="AL639" s="1">
        <v>3556.8</v>
      </c>
      <c r="AM639" s="13">
        <f t="shared" si="256"/>
        <v>9385.3350000000009</v>
      </c>
      <c r="AN639" s="9">
        <f t="shared" si="257"/>
        <v>3556.795000000001</v>
      </c>
      <c r="AO639" s="9">
        <f t="shared" si="266"/>
        <v>0.37897368607513748</v>
      </c>
      <c r="AP639" s="1" t="s">
        <v>33</v>
      </c>
      <c r="AQ639" s="1" t="str">
        <f t="shared" si="258"/>
        <v>Paid</v>
      </c>
      <c r="AR639" s="1" t="str">
        <f t="shared" si="259"/>
        <v>OK</v>
      </c>
      <c r="AS639" s="1" t="s">
        <v>34</v>
      </c>
      <c r="AT639" s="4" t="str">
        <f t="shared" si="260"/>
        <v>Completed</v>
      </c>
      <c r="AU639" s="3" t="str">
        <f t="shared" si="261"/>
        <v>OK</v>
      </c>
      <c r="AV639" s="3" t="str">
        <f t="shared" si="267"/>
        <v>INVALID</v>
      </c>
      <c r="AW639" t="str">
        <f t="shared" si="268"/>
        <v>MATCH</v>
      </c>
      <c r="AX639" t="str">
        <f t="shared" si="269"/>
        <v>MATCH</v>
      </c>
    </row>
    <row r="640" spans="1:50" ht="15.6">
      <c r="A640" s="1" t="s">
        <v>1340</v>
      </c>
      <c r="B640" s="1">
        <f t="shared" si="243"/>
        <v>1</v>
      </c>
      <c r="C640" s="16">
        <v>45801</v>
      </c>
      <c r="D640" s="16">
        <v>45801</v>
      </c>
      <c r="E640" s="16" t="str">
        <f t="shared" si="262"/>
        <v>May</v>
      </c>
      <c r="F640" s="1">
        <f t="shared" si="263"/>
        <v>2025</v>
      </c>
      <c r="G640" t="s">
        <v>2655</v>
      </c>
      <c r="H640" s="17">
        <v>45322</v>
      </c>
      <c r="I640" s="21">
        <f t="shared" si="264"/>
        <v>-479</v>
      </c>
      <c r="J640" s="6" t="str">
        <f t="shared" si="265"/>
        <v>INVALID_SHIPPING</v>
      </c>
      <c r="K640" s="1" t="s">
        <v>1342</v>
      </c>
      <c r="L640" s="1" t="s">
        <v>103</v>
      </c>
      <c r="M640" s="1" t="str">
        <f t="shared" si="244"/>
        <v>Aditi Sen</v>
      </c>
      <c r="N640" s="1" t="s">
        <v>110</v>
      </c>
      <c r="O640" s="1" t="str">
        <f t="shared" si="245"/>
        <v>Home Office</v>
      </c>
      <c r="P640" s="1" t="s">
        <v>26</v>
      </c>
      <c r="Q640" s="1" t="str">
        <f t="shared" si="246"/>
        <v>North</v>
      </c>
      <c r="R640" s="1" t="str">
        <f t="shared" si="247"/>
        <v>OK</v>
      </c>
      <c r="S640" s="1" t="s">
        <v>294</v>
      </c>
      <c r="T640" s="1" t="str">
        <f t="shared" si="248"/>
        <v>Haryana</v>
      </c>
      <c r="U640" s="1" t="s">
        <v>295</v>
      </c>
      <c r="V640" s="1" t="str">
        <f t="shared" si="249"/>
        <v>Gurugram</v>
      </c>
      <c r="W640" s="1" t="s">
        <v>44</v>
      </c>
      <c r="X640" s="1" t="str">
        <f t="shared" si="250"/>
        <v>Furniture</v>
      </c>
      <c r="Y640" s="1" t="s">
        <v>63</v>
      </c>
      <c r="Z640" s="1" t="str">
        <f t="shared" si="251"/>
        <v>Furnishings</v>
      </c>
      <c r="AA640" s="1" t="s">
        <v>1343</v>
      </c>
      <c r="AB640" s="1" t="s">
        <v>47</v>
      </c>
      <c r="AC640" s="1" t="str">
        <f t="shared" si="252"/>
        <v>Same Day</v>
      </c>
      <c r="AD640" s="1" t="str">
        <f t="shared" si="253"/>
        <v>OK</v>
      </c>
      <c r="AE640" s="1">
        <v>6</v>
      </c>
      <c r="AF640" s="1">
        <v>3495.41</v>
      </c>
      <c r="AG640" s="9">
        <v>0.15</v>
      </c>
      <c r="AH640" s="9">
        <f t="shared" si="254"/>
        <v>0.15</v>
      </c>
      <c r="AI640" s="1" t="str">
        <f t="shared" si="255"/>
        <v>OK</v>
      </c>
      <c r="AJ640" s="1">
        <v>17826.59</v>
      </c>
      <c r="AK640" s="1">
        <v>10855.35</v>
      </c>
      <c r="AL640" s="1">
        <v>6971.24</v>
      </c>
      <c r="AM640" s="13">
        <f t="shared" si="256"/>
        <v>17826.591</v>
      </c>
      <c r="AN640" s="9">
        <f t="shared" si="257"/>
        <v>6971.241</v>
      </c>
      <c r="AO640" s="9">
        <f t="shared" si="266"/>
        <v>0.39105855965394615</v>
      </c>
      <c r="AP640" s="1" t="s">
        <v>33</v>
      </c>
      <c r="AQ640" s="1" t="str">
        <f t="shared" si="258"/>
        <v>Paid</v>
      </c>
      <c r="AR640" s="1" t="str">
        <f t="shared" si="259"/>
        <v>OK</v>
      </c>
      <c r="AS640" s="1" t="s">
        <v>34</v>
      </c>
      <c r="AT640" s="4" t="str">
        <f t="shared" si="260"/>
        <v>Completed</v>
      </c>
      <c r="AU640" s="3" t="str">
        <f t="shared" si="261"/>
        <v>OK</v>
      </c>
      <c r="AV640" s="3" t="str">
        <f t="shared" si="267"/>
        <v>INVALID</v>
      </c>
      <c r="AW640" t="str">
        <f t="shared" si="268"/>
        <v>MATCH</v>
      </c>
      <c r="AX640" t="str">
        <f t="shared" si="269"/>
        <v>MATCH</v>
      </c>
    </row>
    <row r="641" spans="1:50" ht="15.6">
      <c r="A641" s="1" t="s">
        <v>1348</v>
      </c>
      <c r="B641" s="1">
        <f t="shared" si="243"/>
        <v>1</v>
      </c>
      <c r="C641" s="16">
        <v>45680</v>
      </c>
      <c r="D641" s="16">
        <v>45680</v>
      </c>
      <c r="E641" s="16" t="str">
        <f t="shared" si="262"/>
        <v>Jan</v>
      </c>
      <c r="F641" s="1">
        <f t="shared" si="263"/>
        <v>2025</v>
      </c>
      <c r="G641" t="s">
        <v>1647</v>
      </c>
      <c r="H641" s="17">
        <v>45657</v>
      </c>
      <c r="I641" s="21">
        <f t="shared" si="264"/>
        <v>-23</v>
      </c>
      <c r="J641" s="6" t="str">
        <f t="shared" si="265"/>
        <v>INVALID_SHIPPING</v>
      </c>
      <c r="K641" s="1" t="s">
        <v>1350</v>
      </c>
      <c r="L641" s="1" t="s">
        <v>52</v>
      </c>
      <c r="M641" s="1" t="str">
        <f t="shared" si="244"/>
        <v>Isha Nair</v>
      </c>
      <c r="N641" s="1" t="s">
        <v>25</v>
      </c>
      <c r="O641" s="1" t="str">
        <f t="shared" si="245"/>
        <v>Consumer</v>
      </c>
      <c r="P641" s="1" t="s">
        <v>60</v>
      </c>
      <c r="Q641" s="1" t="str">
        <f t="shared" si="246"/>
        <v>South</v>
      </c>
      <c r="R641" s="1" t="str">
        <f t="shared" si="247"/>
        <v>OK</v>
      </c>
      <c r="S641" s="1" t="s">
        <v>224</v>
      </c>
      <c r="T641" s="1" t="str">
        <f t="shared" si="248"/>
        <v>Kerala</v>
      </c>
      <c r="U641" s="1" t="s">
        <v>225</v>
      </c>
      <c r="V641" s="1" t="str">
        <f t="shared" si="249"/>
        <v>Kochi</v>
      </c>
      <c r="W641" s="1" t="s">
        <v>83</v>
      </c>
      <c r="X641" s="1" t="str">
        <f t="shared" si="250"/>
        <v>Technology</v>
      </c>
      <c r="Y641" s="1" t="s">
        <v>91</v>
      </c>
      <c r="Z641" s="1" t="str">
        <f t="shared" si="251"/>
        <v>Copiers</v>
      </c>
      <c r="AA641" s="1" t="s">
        <v>1351</v>
      </c>
      <c r="AB641" s="1" t="s">
        <v>55</v>
      </c>
      <c r="AC641" s="1" t="str">
        <f t="shared" si="252"/>
        <v>First Class</v>
      </c>
      <c r="AD641" s="1" t="str">
        <f t="shared" si="253"/>
        <v>OK</v>
      </c>
      <c r="AE641" s="1">
        <v>7</v>
      </c>
      <c r="AF641" s="1">
        <v>348.49</v>
      </c>
      <c r="AG641" s="9">
        <v>0.2</v>
      </c>
      <c r="AH641" s="9">
        <f t="shared" si="254"/>
        <v>0.2</v>
      </c>
      <c r="AI641" s="1" t="str">
        <f t="shared" si="255"/>
        <v>OK</v>
      </c>
      <c r="AJ641" s="1">
        <v>1951.54</v>
      </c>
      <c r="AK641" s="1">
        <v>1609.95</v>
      </c>
      <c r="AL641" s="1">
        <v>341.59</v>
      </c>
      <c r="AM641" s="13">
        <f t="shared" si="256"/>
        <v>1951.5440000000003</v>
      </c>
      <c r="AN641" s="9">
        <f t="shared" si="257"/>
        <v>341.59400000000028</v>
      </c>
      <c r="AO641" s="9">
        <f t="shared" si="266"/>
        <v>0.17503781621116421</v>
      </c>
      <c r="AP641" s="1" t="s">
        <v>186</v>
      </c>
      <c r="AQ641" s="1" t="str">
        <f t="shared" si="258"/>
        <v>Failed</v>
      </c>
      <c r="AR641" s="1" t="str">
        <f t="shared" si="259"/>
        <v>EXCLUDE_FROM_SALES</v>
      </c>
      <c r="AS641" s="1" t="s">
        <v>120</v>
      </c>
      <c r="AT641" s="4" t="str">
        <f t="shared" si="260"/>
        <v>Returned</v>
      </c>
      <c r="AU641" s="3" t="str">
        <f t="shared" si="261"/>
        <v>RETURNED_ORDER</v>
      </c>
      <c r="AV641" s="3" t="str">
        <f t="shared" si="267"/>
        <v>INVALID</v>
      </c>
      <c r="AW641" t="str">
        <f t="shared" si="268"/>
        <v>MATCH</v>
      </c>
      <c r="AX641" t="str">
        <f t="shared" si="269"/>
        <v>MATCH</v>
      </c>
    </row>
    <row r="642" spans="1:50" ht="15.6">
      <c r="A642" s="1" t="s">
        <v>1361</v>
      </c>
      <c r="B642" s="1">
        <f t="shared" ref="B642:B705" si="270">COUNTIF($A:$A,A642)</f>
        <v>1</v>
      </c>
      <c r="C642" s="16">
        <v>45805</v>
      </c>
      <c r="D642" s="16">
        <v>45805</v>
      </c>
      <c r="E642" s="16" t="str">
        <f t="shared" si="262"/>
        <v>May</v>
      </c>
      <c r="F642" s="1">
        <f t="shared" si="263"/>
        <v>2025</v>
      </c>
      <c r="G642" t="s">
        <v>2662</v>
      </c>
      <c r="H642" s="17">
        <v>45674</v>
      </c>
      <c r="I642" s="21">
        <f t="shared" si="264"/>
        <v>-131</v>
      </c>
      <c r="J642" s="6" t="str">
        <f t="shared" si="265"/>
        <v>INVALID_SHIPPING</v>
      </c>
      <c r="K642" s="1" t="s">
        <v>1363</v>
      </c>
      <c r="L642" s="1" t="s">
        <v>52</v>
      </c>
      <c r="M642" s="1" t="str">
        <f t="shared" ref="M642:M705" si="271">PROPER(TRIM(SUBSTITUTE(L642,CHAR(160)," ")))</f>
        <v>Isha Nair</v>
      </c>
      <c r="N642" s="1" t="s">
        <v>110</v>
      </c>
      <c r="O642" s="1" t="str">
        <f t="shared" ref="O642:O705" si="272">PROPER(TRIM(SUBSTITUTE(N642,CHAR(160)," ")))</f>
        <v>Home Office</v>
      </c>
      <c r="P642" s="1" t="s">
        <v>41</v>
      </c>
      <c r="Q642" s="1" t="str">
        <f t="shared" ref="Q642:Q705" si="273">IF(TRIM(P642)="","Unknown",PROPER(TRIM(P642)))</f>
        <v>East</v>
      </c>
      <c r="R642" s="1" t="str">
        <f t="shared" ref="R642:R705" si="274">IF(Q642="Unknown","MISSING_REGION","OK")</f>
        <v>OK</v>
      </c>
      <c r="S642" s="1" t="s">
        <v>174</v>
      </c>
      <c r="T642" s="1" t="str">
        <f t="shared" ref="T642:T705" si="275">PROPER(TRIM(SUBSTITUTE(S642,CHAR(160)," ")))</f>
        <v>Bihar</v>
      </c>
      <c r="U642" s="1" t="s">
        <v>175</v>
      </c>
      <c r="V642" s="1" t="str">
        <f t="shared" ref="V642:V705" si="276">PROPER(TRIM(SUBSTITUTE(U642,CHAR(160)," ")))</f>
        <v>Patna</v>
      </c>
      <c r="W642" s="1" t="s">
        <v>83</v>
      </c>
      <c r="X642" s="1" t="str">
        <f t="shared" ref="X642:X705" si="277">PROPER(TRIM(SUBSTITUTE(W642,CHAR(160)," ")))</f>
        <v>Technology</v>
      </c>
      <c r="Y642" s="1" t="s">
        <v>207</v>
      </c>
      <c r="Z642" s="1" t="str">
        <f t="shared" ref="Z642:Z705" si="278">PROPER(TRIM(SUBSTITUTE(Y642,CHAR(160)," ")))</f>
        <v>Phones</v>
      </c>
      <c r="AA642" s="1" t="s">
        <v>1364</v>
      </c>
      <c r="AB642" s="1" t="s">
        <v>47</v>
      </c>
      <c r="AC642" s="1" t="str">
        <f t="shared" ref="AC642:AC705" si="279">IF(TRIM(AB642)="","Unknown",PROPER(TRIM(AB642)))</f>
        <v>Same Day</v>
      </c>
      <c r="AD642" s="1" t="str">
        <f t="shared" ref="AD642:AD705" si="280">IF(AC642="Unknown","MISSING_SHIP_MODE","OK")</f>
        <v>OK</v>
      </c>
      <c r="AE642" s="1">
        <v>4</v>
      </c>
      <c r="AF642" s="1">
        <v>1654.11</v>
      </c>
      <c r="AG642" s="9">
        <v>0.05</v>
      </c>
      <c r="AH642" s="9">
        <f t="shared" ref="AH642:AH705" si="281">IF(RIGHT(AG642,1)="%",VALUE(SUBSTITUTE(AG642,"%",""))/100,AG642)</f>
        <v>0.05</v>
      </c>
      <c r="AI642" s="1" t="str">
        <f t="shared" ref="AI642:AI705" si="282">IF(AG642="","Missing Discount",
IF(AG642&lt;0,"Invalid Negative Discount",
"OK"))</f>
        <v>OK</v>
      </c>
      <c r="AJ642" s="1">
        <v>6285.62</v>
      </c>
      <c r="AK642" s="1">
        <v>3705.38</v>
      </c>
      <c r="AL642" s="1">
        <v>2580.2399999999998</v>
      </c>
      <c r="AM642" s="13">
        <f t="shared" ref="AM642:AM705" si="283">IF(AH642&lt;0,"INVALID",AE642*AF642*(1-AH642))</f>
        <v>6285.6179999999995</v>
      </c>
      <c r="AN642" s="9">
        <f t="shared" ref="AN642:AN705" si="284">IF(AM642="INVALID","INVALID",
AM642-AK642)</f>
        <v>2580.2379999999994</v>
      </c>
      <c r="AO642" s="9">
        <f t="shared" si="266"/>
        <v>0.41049869718458865</v>
      </c>
      <c r="AP642" s="1" t="s">
        <v>33</v>
      </c>
      <c r="AQ642" s="1" t="str">
        <f t="shared" ref="AQ642:AQ705" si="285">PROPER(TRIM(SUBSTITUTE(AP642,CHAR(160)," ")))</f>
        <v>Paid</v>
      </c>
      <c r="AR642" s="1" t="str">
        <f t="shared" ref="AR642:AR705" si="286">IF(AQ642="Failed","EXCLUDE_FROM_SALES",
IF(AQ642="Refunded","REFUNDED_PAYMENT",
"OK"))</f>
        <v>OK</v>
      </c>
      <c r="AS642" s="1" t="s">
        <v>34</v>
      </c>
      <c r="AT642" s="4" t="str">
        <f t="shared" ref="AT642:AT705" si="287">PROPER(TRIM(SUBSTITUTE(AS642,CHAR(160)," ")))</f>
        <v>Completed</v>
      </c>
      <c r="AU642" s="3" t="str">
        <f t="shared" ref="AU642:AU705" si="288">IF(AT642="Cancelled","EXCLUDE_FROM_SALES",
IF(AT642="Returned","RETURNED_ORDER",
"OK"))</f>
        <v>OK</v>
      </c>
      <c r="AV642" s="3" t="str">
        <f t="shared" si="267"/>
        <v>INVALID</v>
      </c>
      <c r="AW642" t="str">
        <f t="shared" si="268"/>
        <v>MATCH</v>
      </c>
      <c r="AX642" t="str">
        <f t="shared" si="269"/>
        <v>MATCH</v>
      </c>
    </row>
    <row r="643" spans="1:50" ht="15.6">
      <c r="A643" s="1" t="s">
        <v>1365</v>
      </c>
      <c r="B643" s="1">
        <f t="shared" si="270"/>
        <v>1</v>
      </c>
      <c r="C643" s="16">
        <v>45812</v>
      </c>
      <c r="D643" s="16">
        <v>45812</v>
      </c>
      <c r="E643" s="16" t="str">
        <f t="shared" ref="E643:E706" si="289">TEXT(D643,"mmm")</f>
        <v>Jun</v>
      </c>
      <c r="F643" s="1">
        <f t="shared" ref="F643:F706" si="290">YEAR(D643)</f>
        <v>2025</v>
      </c>
      <c r="G643" t="s">
        <v>1728</v>
      </c>
      <c r="H643" s="17">
        <v>45761</v>
      </c>
      <c r="I643" s="21">
        <f t="shared" ref="I643:I706" si="291">H643-D643</f>
        <v>-51</v>
      </c>
      <c r="J643" s="6" t="str">
        <f t="shared" ref="J643:J706" si="292">IF(I643&lt;0,"INVALID_SHIPPING","OK")</f>
        <v>INVALID_SHIPPING</v>
      </c>
      <c r="K643" s="1" t="s">
        <v>1367</v>
      </c>
      <c r="L643" s="1" t="s">
        <v>90</v>
      </c>
      <c r="M643" s="1" t="str">
        <f t="shared" si="271"/>
        <v>Neha Gupta</v>
      </c>
      <c r="N643" s="1" t="s">
        <v>25</v>
      </c>
      <c r="O643" s="1" t="str">
        <f t="shared" si="272"/>
        <v>Consumer</v>
      </c>
      <c r="P643" s="1" t="s">
        <v>71</v>
      </c>
      <c r="Q643" s="1" t="str">
        <f t="shared" si="273"/>
        <v>West</v>
      </c>
      <c r="R643" s="1" t="str">
        <f t="shared" si="274"/>
        <v>OK</v>
      </c>
      <c r="S643" s="1" t="s">
        <v>230</v>
      </c>
      <c r="T643" s="1" t="str">
        <f t="shared" si="275"/>
        <v>Goa</v>
      </c>
      <c r="U643" s="1" t="s">
        <v>231</v>
      </c>
      <c r="V643" s="1" t="str">
        <f t="shared" si="276"/>
        <v>Panaji</v>
      </c>
      <c r="W643" s="1" t="s">
        <v>813</v>
      </c>
      <c r="X643" s="1" t="str">
        <f t="shared" si="277"/>
        <v>Office Supplies</v>
      </c>
      <c r="Y643" s="1" t="s">
        <v>148</v>
      </c>
      <c r="Z643" s="1" t="str">
        <f t="shared" si="278"/>
        <v>Storage</v>
      </c>
      <c r="AA643" s="1" t="s">
        <v>1368</v>
      </c>
      <c r="AB643" s="1" t="s">
        <v>47</v>
      </c>
      <c r="AC643" s="1" t="str">
        <f t="shared" si="279"/>
        <v>Same Day</v>
      </c>
      <c r="AD643" s="1" t="str">
        <f t="shared" si="280"/>
        <v>OK</v>
      </c>
      <c r="AE643" s="1">
        <v>2</v>
      </c>
      <c r="AF643" s="1">
        <v>2703.28</v>
      </c>
      <c r="AG643" s="9">
        <v>0.25</v>
      </c>
      <c r="AH643" s="9">
        <f t="shared" si="281"/>
        <v>0.25</v>
      </c>
      <c r="AI643" s="1" t="str">
        <f t="shared" si="282"/>
        <v>OK</v>
      </c>
      <c r="AJ643" s="1">
        <v>4054.92</v>
      </c>
      <c r="AK643" s="1">
        <v>2424.83</v>
      </c>
      <c r="AL643" s="1">
        <v>1630.09</v>
      </c>
      <c r="AM643" s="13">
        <f t="shared" si="283"/>
        <v>4054.92</v>
      </c>
      <c r="AN643" s="9">
        <f t="shared" si="284"/>
        <v>1630.0900000000001</v>
      </c>
      <c r="AO643" s="9">
        <f t="shared" ref="AO643:AO706" si="293">IF(OR(AM643="INVALID",AN643="INVALID"),"",AN643/AM643)</f>
        <v>0.40200299882611745</v>
      </c>
      <c r="AP643" s="1" t="s">
        <v>33</v>
      </c>
      <c r="AQ643" s="1" t="str">
        <f t="shared" si="285"/>
        <v>Paid</v>
      </c>
      <c r="AR643" s="1" t="str">
        <f t="shared" si="286"/>
        <v>OK</v>
      </c>
      <c r="AS643" s="1" t="s">
        <v>34</v>
      </c>
      <c r="AT643" s="4" t="str">
        <f t="shared" si="287"/>
        <v>Completed</v>
      </c>
      <c r="AU643" s="3" t="str">
        <f t="shared" si="288"/>
        <v>OK</v>
      </c>
      <c r="AV643" s="3" t="str">
        <f t="shared" ref="AV643:AV706" si="294">IF(OR(AI643&lt;&gt;"OK",J643="INVALID_SHIPPING"),
"INVALID",
IF(OR(R643&lt;&gt;"OK",AD643&lt;&gt;"OK"),
"WARNING",
"CLEAN"))</f>
        <v>INVALID</v>
      </c>
      <c r="AW643" t="str">
        <f t="shared" ref="AW643:AW706" si="295">IF(AM643="INVALID","INVALID",
IF(ROUND(AJ643,2)=ROUND(AM643,2),"MATCH","MISMATCH"))</f>
        <v>MATCH</v>
      </c>
      <c r="AX643" t="str">
        <f t="shared" ref="AX643:AX706" si="296">IF(AN643="INVALID","INVALID",IF(ROUND(AL643,2)=ROUND(AN643,2),"MATCH","MISMATCH"))</f>
        <v>MATCH</v>
      </c>
    </row>
    <row r="644" spans="1:50" ht="15.6">
      <c r="A644" s="1" t="s">
        <v>1380</v>
      </c>
      <c r="B644" s="1">
        <f t="shared" si="270"/>
        <v>1</v>
      </c>
      <c r="C644" s="16">
        <v>45708</v>
      </c>
      <c r="D644" s="16">
        <v>45708</v>
      </c>
      <c r="E644" s="16" t="str">
        <f t="shared" si="289"/>
        <v>Feb</v>
      </c>
      <c r="F644" s="1">
        <f t="shared" si="290"/>
        <v>2025</v>
      </c>
      <c r="G644" t="s">
        <v>36</v>
      </c>
      <c r="H644" s="17">
        <v>45535</v>
      </c>
      <c r="I644" s="21">
        <f t="shared" si="291"/>
        <v>-173</v>
      </c>
      <c r="J644" s="6" t="str">
        <f t="shared" si="292"/>
        <v>INVALID_SHIPPING</v>
      </c>
      <c r="K644" s="1" t="s">
        <v>1381</v>
      </c>
      <c r="L644" s="1" t="s">
        <v>153</v>
      </c>
      <c r="M644" s="1" t="str">
        <f t="shared" si="271"/>
        <v>Aarav Sharma</v>
      </c>
      <c r="N644" s="1" t="s">
        <v>25</v>
      </c>
      <c r="O644" s="1" t="str">
        <f t="shared" si="272"/>
        <v>Consumer</v>
      </c>
      <c r="P644" s="1" t="s">
        <v>26</v>
      </c>
      <c r="Q644" s="1" t="str">
        <f t="shared" si="273"/>
        <v>North</v>
      </c>
      <c r="R644" s="1" t="str">
        <f t="shared" si="274"/>
        <v>OK</v>
      </c>
      <c r="S644" s="1" t="s">
        <v>27</v>
      </c>
      <c r="T644" s="1" t="str">
        <f t="shared" si="275"/>
        <v>Rajasthan</v>
      </c>
      <c r="U644" s="1" t="s">
        <v>28</v>
      </c>
      <c r="V644" s="1" t="str">
        <f t="shared" si="276"/>
        <v>Jaipur</v>
      </c>
      <c r="W644" s="1" t="s">
        <v>83</v>
      </c>
      <c r="X644" s="1" t="str">
        <f t="shared" si="277"/>
        <v>Technology</v>
      </c>
      <c r="Y644" s="1" t="s">
        <v>207</v>
      </c>
      <c r="Z644" s="1" t="str">
        <f t="shared" si="278"/>
        <v>Phones</v>
      </c>
      <c r="AA644" s="1" t="s">
        <v>1382</v>
      </c>
      <c r="AB644" s="1" t="s">
        <v>32</v>
      </c>
      <c r="AC644" s="1" t="str">
        <f t="shared" si="279"/>
        <v>Second Class</v>
      </c>
      <c r="AD644" s="1" t="str">
        <f t="shared" si="280"/>
        <v>OK</v>
      </c>
      <c r="AE644" s="1">
        <v>4</v>
      </c>
      <c r="AF644" s="1">
        <v>3673.11</v>
      </c>
      <c r="AG644" s="9">
        <v>0</v>
      </c>
      <c r="AH644" s="9">
        <f t="shared" si="281"/>
        <v>0</v>
      </c>
      <c r="AI644" s="1" t="str">
        <f t="shared" si="282"/>
        <v>OK</v>
      </c>
      <c r="AJ644" s="1">
        <v>14692.44</v>
      </c>
      <c r="AK644" s="1">
        <v>10082.19</v>
      </c>
      <c r="AL644" s="1">
        <v>4610.25</v>
      </c>
      <c r="AM644" s="13">
        <f t="shared" si="283"/>
        <v>14692.44</v>
      </c>
      <c r="AN644" s="9">
        <f t="shared" si="284"/>
        <v>4610.25</v>
      </c>
      <c r="AO644" s="9">
        <f t="shared" si="293"/>
        <v>0.31378382351740075</v>
      </c>
      <c r="AP644" s="1" t="s">
        <v>33</v>
      </c>
      <c r="AQ644" s="1" t="str">
        <f t="shared" si="285"/>
        <v>Paid</v>
      </c>
      <c r="AR644" s="1" t="str">
        <f t="shared" si="286"/>
        <v>OK</v>
      </c>
      <c r="AS644" s="1" t="s">
        <v>34</v>
      </c>
      <c r="AT644" s="4" t="str">
        <f t="shared" si="287"/>
        <v>Completed</v>
      </c>
      <c r="AU644" s="3" t="str">
        <f t="shared" si="288"/>
        <v>OK</v>
      </c>
      <c r="AV644" s="3" t="str">
        <f t="shared" si="294"/>
        <v>INVALID</v>
      </c>
      <c r="AW644" t="str">
        <f t="shared" si="295"/>
        <v>MATCH</v>
      </c>
      <c r="AX644" t="str">
        <f t="shared" si="296"/>
        <v>MATCH</v>
      </c>
    </row>
    <row r="645" spans="1:50" ht="15.6">
      <c r="A645" s="1" t="s">
        <v>1383</v>
      </c>
      <c r="B645" s="1">
        <f t="shared" si="270"/>
        <v>1</v>
      </c>
      <c r="C645" s="16">
        <v>45998</v>
      </c>
      <c r="D645" s="16">
        <v>45998</v>
      </c>
      <c r="E645" s="16" t="str">
        <f t="shared" si="289"/>
        <v>Dec</v>
      </c>
      <c r="F645" s="1">
        <f t="shared" si="290"/>
        <v>2025</v>
      </c>
      <c r="G645" t="s">
        <v>2673</v>
      </c>
      <c r="H645" s="17">
        <v>45335</v>
      </c>
      <c r="I645" s="21">
        <f t="shared" si="291"/>
        <v>-663</v>
      </c>
      <c r="J645" s="6" t="str">
        <f t="shared" si="292"/>
        <v>INVALID_SHIPPING</v>
      </c>
      <c r="K645" s="1" t="s">
        <v>1385</v>
      </c>
      <c r="L645" s="1" t="s">
        <v>70</v>
      </c>
      <c r="M645" s="1" t="str">
        <f t="shared" si="271"/>
        <v>Ananya Rao</v>
      </c>
      <c r="N645" s="1" t="s">
        <v>104</v>
      </c>
      <c r="O645" s="1" t="str">
        <f t="shared" si="272"/>
        <v>Corporate</v>
      </c>
      <c r="P645" s="1" t="s">
        <v>26</v>
      </c>
      <c r="Q645" s="1" t="str">
        <f t="shared" si="273"/>
        <v>North</v>
      </c>
      <c r="R645" s="1" t="str">
        <f t="shared" si="274"/>
        <v>OK</v>
      </c>
      <c r="S645" s="1" t="s">
        <v>163</v>
      </c>
      <c r="T645" s="1" t="str">
        <f t="shared" si="275"/>
        <v>Uttar Pradesh</v>
      </c>
      <c r="U645" s="1" t="s">
        <v>164</v>
      </c>
      <c r="V645" s="1" t="str">
        <f t="shared" si="276"/>
        <v>Noida</v>
      </c>
      <c r="W645" s="1" t="s">
        <v>44</v>
      </c>
      <c r="X645" s="1" t="str">
        <f t="shared" si="277"/>
        <v>Furniture</v>
      </c>
      <c r="Y645" s="1" t="s">
        <v>45</v>
      </c>
      <c r="Z645" s="1" t="str">
        <f t="shared" si="278"/>
        <v>Tables</v>
      </c>
      <c r="AA645" s="1" t="s">
        <v>1386</v>
      </c>
      <c r="AB645" s="1" t="s">
        <v>55</v>
      </c>
      <c r="AC645" s="1" t="str">
        <f t="shared" si="279"/>
        <v>First Class</v>
      </c>
      <c r="AD645" s="1" t="str">
        <f t="shared" si="280"/>
        <v>OK</v>
      </c>
      <c r="AE645" s="1">
        <v>9</v>
      </c>
      <c r="AF645" s="1">
        <v>4093.04</v>
      </c>
      <c r="AG645" s="9">
        <v>0.2</v>
      </c>
      <c r="AH645" s="9">
        <f t="shared" si="281"/>
        <v>0.2</v>
      </c>
      <c r="AI645" s="1" t="str">
        <f t="shared" si="282"/>
        <v>OK</v>
      </c>
      <c r="AJ645" s="1">
        <v>29469.89</v>
      </c>
      <c r="AK645" s="1">
        <v>18935.509999999998</v>
      </c>
      <c r="AL645" s="1">
        <v>10534.38</v>
      </c>
      <c r="AM645" s="13">
        <f t="shared" si="283"/>
        <v>29469.888000000003</v>
      </c>
      <c r="AN645" s="9">
        <f t="shared" si="284"/>
        <v>10534.378000000004</v>
      </c>
      <c r="AO645" s="9">
        <f t="shared" si="293"/>
        <v>0.3574624375905332</v>
      </c>
      <c r="AP645" s="1" t="s">
        <v>1387</v>
      </c>
      <c r="AQ645" s="1" t="str">
        <f t="shared" si="285"/>
        <v>Pending</v>
      </c>
      <c r="AR645" s="1" t="str">
        <f t="shared" si="286"/>
        <v>OK</v>
      </c>
      <c r="AS645" s="1" t="s">
        <v>76</v>
      </c>
      <c r="AT645" s="4" t="str">
        <f t="shared" si="287"/>
        <v>Cancelled</v>
      </c>
      <c r="AU645" s="3" t="str">
        <f t="shared" si="288"/>
        <v>EXCLUDE_FROM_SALES</v>
      </c>
      <c r="AV645" s="3" t="str">
        <f t="shared" si="294"/>
        <v>INVALID</v>
      </c>
      <c r="AW645" t="str">
        <f t="shared" si="295"/>
        <v>MATCH</v>
      </c>
      <c r="AX645" t="str">
        <f t="shared" si="296"/>
        <v>MATCH</v>
      </c>
    </row>
    <row r="646" spans="1:50" ht="15.6">
      <c r="A646" s="1" t="s">
        <v>1388</v>
      </c>
      <c r="B646" s="1">
        <f t="shared" si="270"/>
        <v>1</v>
      </c>
      <c r="C646" s="16">
        <v>45821</v>
      </c>
      <c r="D646" s="16">
        <v>45821</v>
      </c>
      <c r="E646" s="16" t="str">
        <f t="shared" si="289"/>
        <v>Jun</v>
      </c>
      <c r="F646" s="1">
        <f t="shared" si="290"/>
        <v>2025</v>
      </c>
      <c r="G646" t="s">
        <v>2676</v>
      </c>
      <c r="H646" s="17">
        <v>45764</v>
      </c>
      <c r="I646" s="21">
        <f t="shared" si="291"/>
        <v>-57</v>
      </c>
      <c r="J646" s="6" t="str">
        <f t="shared" si="292"/>
        <v>INVALID_SHIPPING</v>
      </c>
      <c r="K646" s="1" t="s">
        <v>1390</v>
      </c>
      <c r="L646" s="1" t="s">
        <v>169</v>
      </c>
      <c r="M646" s="1" t="str">
        <f t="shared" si="271"/>
        <v>Rohan Mehta</v>
      </c>
      <c r="N646" s="1" t="s">
        <v>25</v>
      </c>
      <c r="O646" s="1" t="str">
        <f t="shared" si="272"/>
        <v>Consumer</v>
      </c>
      <c r="P646" s="1" t="s">
        <v>26</v>
      </c>
      <c r="Q646" s="1" t="str">
        <f t="shared" si="273"/>
        <v>North</v>
      </c>
      <c r="R646" s="1" t="str">
        <f t="shared" si="274"/>
        <v>OK</v>
      </c>
      <c r="S646" s="1" t="s">
        <v>27</v>
      </c>
      <c r="T646" s="1" t="str">
        <f t="shared" si="275"/>
        <v>Rajasthan</v>
      </c>
      <c r="U646" s="1" t="s">
        <v>28</v>
      </c>
      <c r="V646" s="1" t="str">
        <f t="shared" si="276"/>
        <v>Jaipur</v>
      </c>
      <c r="W646" s="1" t="s">
        <v>44</v>
      </c>
      <c r="X646" s="1" t="str">
        <f t="shared" si="277"/>
        <v>Furniture</v>
      </c>
      <c r="Y646" s="1" t="s">
        <v>45</v>
      </c>
      <c r="Z646" s="1" t="str">
        <f t="shared" si="278"/>
        <v>Tables</v>
      </c>
      <c r="AA646" s="1" t="s">
        <v>1391</v>
      </c>
      <c r="AB646" s="1" t="s">
        <v>55</v>
      </c>
      <c r="AC646" s="1" t="str">
        <f t="shared" si="279"/>
        <v>First Class</v>
      </c>
      <c r="AD646" s="1" t="str">
        <f t="shared" si="280"/>
        <v>OK</v>
      </c>
      <c r="AE646" s="1">
        <v>4</v>
      </c>
      <c r="AF646" s="1">
        <v>731.57</v>
      </c>
      <c r="AG646" s="9">
        <v>0.2</v>
      </c>
      <c r="AH646" s="9">
        <f t="shared" si="281"/>
        <v>0.2</v>
      </c>
      <c r="AI646" s="1" t="str">
        <f t="shared" si="282"/>
        <v>OK</v>
      </c>
      <c r="AJ646" s="1">
        <v>2341.02</v>
      </c>
      <c r="AK646" s="1">
        <v>1565.49</v>
      </c>
      <c r="AL646" s="1">
        <v>775.53</v>
      </c>
      <c r="AM646" s="13">
        <f t="shared" si="283"/>
        <v>2341.0240000000003</v>
      </c>
      <c r="AN646" s="9">
        <f t="shared" si="284"/>
        <v>775.53400000000033</v>
      </c>
      <c r="AO646" s="9">
        <f t="shared" si="293"/>
        <v>0.33127981601213835</v>
      </c>
      <c r="AP646" s="1" t="s">
        <v>33</v>
      </c>
      <c r="AQ646" s="1" t="str">
        <f t="shared" si="285"/>
        <v>Paid</v>
      </c>
      <c r="AR646" s="1" t="str">
        <f t="shared" si="286"/>
        <v>OK</v>
      </c>
      <c r="AS646" s="1" t="s">
        <v>34</v>
      </c>
      <c r="AT646" s="4" t="str">
        <f t="shared" si="287"/>
        <v>Completed</v>
      </c>
      <c r="AU646" s="3" t="str">
        <f t="shared" si="288"/>
        <v>OK</v>
      </c>
      <c r="AV646" s="3" t="str">
        <f t="shared" si="294"/>
        <v>INVALID</v>
      </c>
      <c r="AW646" t="str">
        <f t="shared" si="295"/>
        <v>MATCH</v>
      </c>
      <c r="AX646" t="str">
        <f t="shared" si="296"/>
        <v>MATCH</v>
      </c>
    </row>
    <row r="647" spans="1:50" ht="15.6">
      <c r="A647" s="1" t="s">
        <v>1406</v>
      </c>
      <c r="B647" s="1">
        <f t="shared" si="270"/>
        <v>1</v>
      </c>
      <c r="C647" s="16">
        <v>45807</v>
      </c>
      <c r="D647" s="16">
        <v>45807</v>
      </c>
      <c r="E647" s="16" t="str">
        <f t="shared" si="289"/>
        <v>May</v>
      </c>
      <c r="F647" s="1">
        <f t="shared" si="290"/>
        <v>2025</v>
      </c>
      <c r="G647" t="s">
        <v>2409</v>
      </c>
      <c r="H647" s="17">
        <v>45536</v>
      </c>
      <c r="I647" s="21">
        <f t="shared" si="291"/>
        <v>-271</v>
      </c>
      <c r="J647" s="6" t="str">
        <f t="shared" si="292"/>
        <v>INVALID_SHIPPING</v>
      </c>
      <c r="K647" s="1" t="s">
        <v>1408</v>
      </c>
      <c r="L647" s="1" t="s">
        <v>141</v>
      </c>
      <c r="M647" s="1" t="str">
        <f t="shared" si="271"/>
        <v>Rahul Verma</v>
      </c>
      <c r="N647" s="1" t="s">
        <v>104</v>
      </c>
      <c r="O647" s="1" t="str">
        <f t="shared" si="272"/>
        <v>Corporate</v>
      </c>
      <c r="P647" s="1" t="s">
        <v>26</v>
      </c>
      <c r="Q647" s="1" t="str">
        <f t="shared" si="273"/>
        <v>North</v>
      </c>
      <c r="R647" s="1" t="str">
        <f t="shared" si="274"/>
        <v>OK</v>
      </c>
      <c r="S647" s="1" t="s">
        <v>163</v>
      </c>
      <c r="T647" s="1" t="str">
        <f t="shared" si="275"/>
        <v>Uttar Pradesh</v>
      </c>
      <c r="U647" s="1" t="s">
        <v>164</v>
      </c>
      <c r="V647" s="1" t="str">
        <f t="shared" si="276"/>
        <v>Noida</v>
      </c>
      <c r="W647" s="1" t="s">
        <v>83</v>
      </c>
      <c r="X647" s="1" t="str">
        <f t="shared" si="277"/>
        <v>Technology</v>
      </c>
      <c r="Y647" s="1" t="s">
        <v>207</v>
      </c>
      <c r="Z647" s="1" t="str">
        <f t="shared" si="278"/>
        <v>Phones</v>
      </c>
      <c r="AA647" s="1" t="s">
        <v>1409</v>
      </c>
      <c r="AB647" s="1" t="s">
        <v>55</v>
      </c>
      <c r="AC647" s="1" t="str">
        <f t="shared" si="279"/>
        <v>First Class</v>
      </c>
      <c r="AD647" s="1" t="str">
        <f t="shared" si="280"/>
        <v>OK</v>
      </c>
      <c r="AE647" s="1">
        <v>8</v>
      </c>
      <c r="AF647" s="1">
        <v>2081.4299999999998</v>
      </c>
      <c r="AG647" s="9">
        <v>0.25</v>
      </c>
      <c r="AH647" s="9">
        <f t="shared" si="281"/>
        <v>0.25</v>
      </c>
      <c r="AI647" s="1" t="str">
        <f t="shared" si="282"/>
        <v>OK</v>
      </c>
      <c r="AJ647" s="1">
        <v>12488.58</v>
      </c>
      <c r="AK647" s="1">
        <v>10717.4</v>
      </c>
      <c r="AL647" s="1">
        <v>1771.18</v>
      </c>
      <c r="AM647" s="13">
        <f t="shared" si="283"/>
        <v>12488.579999999998</v>
      </c>
      <c r="AN647" s="9">
        <f t="shared" si="284"/>
        <v>1771.1799999999985</v>
      </c>
      <c r="AO647" s="9">
        <f t="shared" si="293"/>
        <v>0.14182397037933847</v>
      </c>
      <c r="AP647" s="1" t="s">
        <v>119</v>
      </c>
      <c r="AQ647" s="1" t="str">
        <f t="shared" si="285"/>
        <v>Refunded</v>
      </c>
      <c r="AR647" s="1" t="str">
        <f t="shared" si="286"/>
        <v>REFUNDED_PAYMENT</v>
      </c>
      <c r="AS647" s="1" t="s">
        <v>76</v>
      </c>
      <c r="AT647" s="4" t="str">
        <f t="shared" si="287"/>
        <v>Cancelled</v>
      </c>
      <c r="AU647" s="3" t="str">
        <f t="shared" si="288"/>
        <v>EXCLUDE_FROM_SALES</v>
      </c>
      <c r="AV647" s="3" t="str">
        <f t="shared" si="294"/>
        <v>INVALID</v>
      </c>
      <c r="AW647" t="str">
        <f t="shared" si="295"/>
        <v>MATCH</v>
      </c>
      <c r="AX647" t="str">
        <f t="shared" si="296"/>
        <v>MATCH</v>
      </c>
    </row>
    <row r="648" spans="1:50" ht="15.6">
      <c r="A648" s="1" t="s">
        <v>1410</v>
      </c>
      <c r="B648" s="1">
        <f t="shared" si="270"/>
        <v>2</v>
      </c>
      <c r="C648" s="16">
        <v>45795</v>
      </c>
      <c r="D648" s="16">
        <v>45795</v>
      </c>
      <c r="E648" s="16" t="str">
        <f t="shared" si="289"/>
        <v>May</v>
      </c>
      <c r="F648" s="1">
        <f t="shared" si="290"/>
        <v>2025</v>
      </c>
      <c r="G648" t="s">
        <v>2683</v>
      </c>
      <c r="H648" s="17">
        <v>45559</v>
      </c>
      <c r="I648" s="21">
        <f t="shared" si="291"/>
        <v>-236</v>
      </c>
      <c r="J648" s="6" t="str">
        <f t="shared" si="292"/>
        <v>INVALID_SHIPPING</v>
      </c>
      <c r="K648" s="1" t="s">
        <v>1411</v>
      </c>
      <c r="L648" s="1" t="s">
        <v>52</v>
      </c>
      <c r="M648" s="1" t="str">
        <f t="shared" si="271"/>
        <v>Isha Nair</v>
      </c>
      <c r="N648" s="1" t="s">
        <v>104</v>
      </c>
      <c r="O648" s="1" t="str">
        <f t="shared" si="272"/>
        <v>Corporate</v>
      </c>
      <c r="P648" s="1" t="s">
        <v>71</v>
      </c>
      <c r="Q648" s="1" t="str">
        <f t="shared" si="273"/>
        <v>West</v>
      </c>
      <c r="R648" s="1" t="str">
        <f t="shared" si="274"/>
        <v>OK</v>
      </c>
      <c r="S648" s="1" t="s">
        <v>81</v>
      </c>
      <c r="T648" s="1" t="str">
        <f t="shared" si="275"/>
        <v>Madhya Pradesh</v>
      </c>
      <c r="U648" s="1" t="s">
        <v>82</v>
      </c>
      <c r="V648" s="1" t="str">
        <f t="shared" si="276"/>
        <v>Indore</v>
      </c>
      <c r="W648" s="1" t="s">
        <v>29</v>
      </c>
      <c r="X648" s="1" t="str">
        <f t="shared" si="277"/>
        <v>Office Supplies</v>
      </c>
      <c r="Y648" s="1" t="s">
        <v>105</v>
      </c>
      <c r="Z648" s="1" t="str">
        <f t="shared" si="278"/>
        <v>Labels</v>
      </c>
      <c r="AA648" s="1" t="s">
        <v>1412</v>
      </c>
      <c r="AB648" s="1" t="s">
        <v>65</v>
      </c>
      <c r="AC648" s="1" t="str">
        <f t="shared" si="279"/>
        <v>Standard Class</v>
      </c>
      <c r="AD648" s="1" t="str">
        <f t="shared" si="280"/>
        <v>OK</v>
      </c>
      <c r="AE648" s="1">
        <v>9</v>
      </c>
      <c r="AF648" s="1">
        <v>847.76</v>
      </c>
      <c r="AG648" s="9">
        <v>0.15</v>
      </c>
      <c r="AH648" s="9">
        <f t="shared" si="281"/>
        <v>0.15</v>
      </c>
      <c r="AI648" s="1" t="str">
        <f t="shared" si="282"/>
        <v>OK</v>
      </c>
      <c r="AJ648" s="1">
        <v>6485.36</v>
      </c>
      <c r="AK648" s="1">
        <v>5376.17</v>
      </c>
      <c r="AL648" s="1">
        <v>1109.19</v>
      </c>
      <c r="AM648" s="13">
        <f t="shared" si="283"/>
        <v>6485.3639999999996</v>
      </c>
      <c r="AN648" s="9">
        <f t="shared" si="284"/>
        <v>1109.1939999999995</v>
      </c>
      <c r="AO648" s="9">
        <f t="shared" si="293"/>
        <v>0.17103033846673826</v>
      </c>
      <c r="AP648" s="1" t="s">
        <v>186</v>
      </c>
      <c r="AQ648" s="1" t="str">
        <f t="shared" si="285"/>
        <v>Failed</v>
      </c>
      <c r="AR648" s="1" t="str">
        <f t="shared" si="286"/>
        <v>EXCLUDE_FROM_SALES</v>
      </c>
      <c r="AS648" s="1" t="s">
        <v>120</v>
      </c>
      <c r="AT648" s="4" t="str">
        <f t="shared" si="287"/>
        <v>Returned</v>
      </c>
      <c r="AU648" s="3" t="str">
        <f t="shared" si="288"/>
        <v>RETURNED_ORDER</v>
      </c>
      <c r="AV648" s="3" t="str">
        <f t="shared" si="294"/>
        <v>INVALID</v>
      </c>
      <c r="AW648" t="str">
        <f t="shared" si="295"/>
        <v>MATCH</v>
      </c>
      <c r="AX648" t="str">
        <f t="shared" si="296"/>
        <v>MATCH</v>
      </c>
    </row>
    <row r="649" spans="1:50" ht="15.6" hidden="1">
      <c r="A649" s="1" t="s">
        <v>1410</v>
      </c>
      <c r="B649" s="1">
        <f t="shared" si="270"/>
        <v>2</v>
      </c>
      <c r="C649" s="16">
        <v>45795</v>
      </c>
      <c r="D649" s="16">
        <v>45795</v>
      </c>
      <c r="E649" s="16" t="str">
        <f t="shared" si="289"/>
        <v>May</v>
      </c>
      <c r="F649" s="1">
        <f t="shared" si="290"/>
        <v>2025</v>
      </c>
      <c r="G649" t="s">
        <v>2687</v>
      </c>
      <c r="H649" s="17">
        <v>45901</v>
      </c>
      <c r="I649" s="21">
        <f t="shared" si="291"/>
        <v>106</v>
      </c>
      <c r="J649" s="6" t="str">
        <f t="shared" si="292"/>
        <v>OK</v>
      </c>
      <c r="K649" s="1" t="s">
        <v>1411</v>
      </c>
      <c r="L649" s="1" t="s">
        <v>52</v>
      </c>
      <c r="M649" s="1" t="str">
        <f t="shared" si="271"/>
        <v>Isha Nair</v>
      </c>
      <c r="N649" s="1" t="s">
        <v>104</v>
      </c>
      <c r="O649" s="1" t="str">
        <f t="shared" si="272"/>
        <v>Corporate</v>
      </c>
      <c r="P649" s="1" t="s">
        <v>71</v>
      </c>
      <c r="Q649" s="1" t="str">
        <f t="shared" si="273"/>
        <v>West</v>
      </c>
      <c r="R649" s="1" t="str">
        <f t="shared" si="274"/>
        <v>OK</v>
      </c>
      <c r="S649" s="1" t="s">
        <v>81</v>
      </c>
      <c r="T649" s="1" t="str">
        <f t="shared" si="275"/>
        <v>Madhya Pradesh</v>
      </c>
      <c r="U649" s="1" t="s">
        <v>82</v>
      </c>
      <c r="V649" s="1" t="str">
        <f t="shared" si="276"/>
        <v>Indore</v>
      </c>
      <c r="W649" s="1" t="s">
        <v>29</v>
      </c>
      <c r="X649" s="1" t="str">
        <f t="shared" si="277"/>
        <v>Office Supplies</v>
      </c>
      <c r="Y649" s="1" t="s">
        <v>105</v>
      </c>
      <c r="Z649" s="1" t="str">
        <f t="shared" si="278"/>
        <v>Labels</v>
      </c>
      <c r="AA649" s="1" t="s">
        <v>1412</v>
      </c>
      <c r="AB649" s="1" t="s">
        <v>65</v>
      </c>
      <c r="AC649" s="1" t="str">
        <f t="shared" si="279"/>
        <v>Standard Class</v>
      </c>
      <c r="AD649" s="1" t="str">
        <f t="shared" si="280"/>
        <v>OK</v>
      </c>
      <c r="AE649" s="1">
        <v>9</v>
      </c>
      <c r="AF649" s="1">
        <v>847.76</v>
      </c>
      <c r="AG649" s="9">
        <v>0.15</v>
      </c>
      <c r="AH649" s="9">
        <f t="shared" si="281"/>
        <v>0.15</v>
      </c>
      <c r="AI649" s="1" t="str">
        <f t="shared" si="282"/>
        <v>OK</v>
      </c>
      <c r="AJ649" s="1">
        <v>6589.37</v>
      </c>
      <c r="AK649" s="1">
        <v>5376.17</v>
      </c>
      <c r="AL649" s="1">
        <v>1109.19</v>
      </c>
      <c r="AM649" s="13">
        <f t="shared" si="283"/>
        <v>6485.3639999999996</v>
      </c>
      <c r="AN649" s="9">
        <f t="shared" si="284"/>
        <v>1109.1939999999995</v>
      </c>
      <c r="AO649" s="9">
        <f t="shared" si="293"/>
        <v>0.17103033846673826</v>
      </c>
      <c r="AP649" s="1" t="s">
        <v>186</v>
      </c>
      <c r="AQ649" s="1" t="str">
        <f t="shared" si="285"/>
        <v>Failed</v>
      </c>
      <c r="AR649" s="1" t="str">
        <f t="shared" si="286"/>
        <v>EXCLUDE_FROM_SALES</v>
      </c>
      <c r="AS649" s="1" t="s">
        <v>34</v>
      </c>
      <c r="AT649" s="4" t="str">
        <f t="shared" si="287"/>
        <v>Completed</v>
      </c>
      <c r="AU649" s="3" t="str">
        <f t="shared" si="288"/>
        <v>OK</v>
      </c>
      <c r="AV649" s="3" t="str">
        <f t="shared" si="294"/>
        <v>CLEAN</v>
      </c>
      <c r="AW649" t="str">
        <f t="shared" si="295"/>
        <v>MISMATCH</v>
      </c>
      <c r="AX649" t="str">
        <f t="shared" si="296"/>
        <v>MATCH</v>
      </c>
    </row>
    <row r="650" spans="1:50" ht="15.6">
      <c r="A650" s="1" t="s">
        <v>1422</v>
      </c>
      <c r="B650" s="1">
        <f t="shared" si="270"/>
        <v>1</v>
      </c>
      <c r="C650" s="16">
        <v>45898</v>
      </c>
      <c r="D650" s="16">
        <v>45898</v>
      </c>
      <c r="E650" s="16" t="str">
        <f t="shared" si="289"/>
        <v>Aug</v>
      </c>
      <c r="F650" s="1">
        <f t="shared" si="290"/>
        <v>2025</v>
      </c>
      <c r="G650" t="s">
        <v>327</v>
      </c>
      <c r="H650" s="17">
        <v>45406</v>
      </c>
      <c r="I650" s="21">
        <f t="shared" si="291"/>
        <v>-492</v>
      </c>
      <c r="J650" s="6" t="str">
        <f t="shared" si="292"/>
        <v>INVALID_SHIPPING</v>
      </c>
      <c r="K650" s="1" t="s">
        <v>1424</v>
      </c>
      <c r="L650" s="1" t="s">
        <v>90</v>
      </c>
      <c r="M650" s="1" t="str">
        <f t="shared" si="271"/>
        <v>Neha Gupta</v>
      </c>
      <c r="N650" s="1" t="s">
        <v>104</v>
      </c>
      <c r="O650" s="1" t="str">
        <f t="shared" si="272"/>
        <v>Corporate</v>
      </c>
      <c r="P650" s="1" t="s">
        <v>60</v>
      </c>
      <c r="Q650" s="1" t="str">
        <f t="shared" si="273"/>
        <v>South</v>
      </c>
      <c r="R650" s="1" t="str">
        <f t="shared" si="274"/>
        <v>OK</v>
      </c>
      <c r="S650" s="1" t="s">
        <v>224</v>
      </c>
      <c r="T650" s="1" t="str">
        <f t="shared" si="275"/>
        <v>Kerala</v>
      </c>
      <c r="U650" s="1" t="s">
        <v>225</v>
      </c>
      <c r="V650" s="1" t="str">
        <f t="shared" si="276"/>
        <v>Kochi</v>
      </c>
      <c r="W650" s="1" t="s">
        <v>44</v>
      </c>
      <c r="X650" s="1" t="str">
        <f t="shared" si="277"/>
        <v>Furniture</v>
      </c>
      <c r="Y650" s="1" t="s">
        <v>45</v>
      </c>
      <c r="Z650" s="1" t="str">
        <f t="shared" si="278"/>
        <v>Tables</v>
      </c>
      <c r="AA650" s="1" t="s">
        <v>1425</v>
      </c>
      <c r="AB650" s="1" t="s">
        <v>55</v>
      </c>
      <c r="AC650" s="1" t="str">
        <f t="shared" si="279"/>
        <v>First Class</v>
      </c>
      <c r="AD650" s="1" t="str">
        <f t="shared" si="280"/>
        <v>OK</v>
      </c>
      <c r="AE650" s="1">
        <v>9</v>
      </c>
      <c r="AF650" s="1">
        <v>2996.97</v>
      </c>
      <c r="AG650" s="9">
        <v>0.15</v>
      </c>
      <c r="AH650" s="9">
        <f t="shared" si="281"/>
        <v>0.15</v>
      </c>
      <c r="AI650" s="1" t="str">
        <f t="shared" si="282"/>
        <v>OK</v>
      </c>
      <c r="AJ650" s="1">
        <v>22926.82</v>
      </c>
      <c r="AK650" s="1">
        <v>14621.59</v>
      </c>
      <c r="AL650" s="1">
        <v>8305.23</v>
      </c>
      <c r="AM650" s="13">
        <f t="shared" si="283"/>
        <v>22926.820499999998</v>
      </c>
      <c r="AN650" s="9">
        <f t="shared" si="284"/>
        <v>8305.2304999999978</v>
      </c>
      <c r="AO650" s="9">
        <f t="shared" si="293"/>
        <v>0.36224955396671765</v>
      </c>
      <c r="AP650" s="1" t="s">
        <v>33</v>
      </c>
      <c r="AQ650" s="1" t="str">
        <f t="shared" si="285"/>
        <v>Paid</v>
      </c>
      <c r="AR650" s="1" t="str">
        <f t="shared" si="286"/>
        <v>OK</v>
      </c>
      <c r="AS650" s="1" t="s">
        <v>34</v>
      </c>
      <c r="AT650" s="4" t="str">
        <f t="shared" si="287"/>
        <v>Completed</v>
      </c>
      <c r="AU650" s="3" t="str">
        <f t="shared" si="288"/>
        <v>OK</v>
      </c>
      <c r="AV650" s="3" t="str">
        <f t="shared" si="294"/>
        <v>INVALID</v>
      </c>
      <c r="AW650" t="str">
        <f t="shared" si="295"/>
        <v>MATCH</v>
      </c>
      <c r="AX650" t="str">
        <f t="shared" si="296"/>
        <v>MATCH</v>
      </c>
    </row>
    <row r="651" spans="1:50" ht="15.6" hidden="1">
      <c r="A651" s="1" t="s">
        <v>1451</v>
      </c>
      <c r="B651" s="1">
        <f t="shared" si="270"/>
        <v>1</v>
      </c>
      <c r="C651" s="16">
        <v>45869</v>
      </c>
      <c r="D651" s="16">
        <v>45869</v>
      </c>
      <c r="E651" s="16" t="str">
        <f t="shared" si="289"/>
        <v>Jul</v>
      </c>
      <c r="F651" s="1">
        <f t="shared" si="290"/>
        <v>2025</v>
      </c>
      <c r="G651" t="s">
        <v>2695</v>
      </c>
      <c r="H651" s="17">
        <v>45888</v>
      </c>
      <c r="I651" s="21">
        <f t="shared" si="291"/>
        <v>19</v>
      </c>
      <c r="J651" s="6" t="str">
        <f t="shared" si="292"/>
        <v>OK</v>
      </c>
      <c r="K651" s="1" t="s">
        <v>1452</v>
      </c>
      <c r="L651" s="1" t="s">
        <v>169</v>
      </c>
      <c r="M651" s="1" t="str">
        <f t="shared" si="271"/>
        <v>Rohan Mehta</v>
      </c>
      <c r="N651" s="1" t="s">
        <v>110</v>
      </c>
      <c r="O651" s="1" t="str">
        <f t="shared" si="272"/>
        <v>Home Office</v>
      </c>
      <c r="P651" s="1" t="s">
        <v>60</v>
      </c>
      <c r="Q651" s="1" t="str">
        <f t="shared" si="273"/>
        <v>South</v>
      </c>
      <c r="R651" s="1" t="str">
        <f t="shared" si="274"/>
        <v>OK</v>
      </c>
      <c r="S651" s="1" t="s">
        <v>97</v>
      </c>
      <c r="T651" s="1" t="str">
        <f t="shared" si="275"/>
        <v>Andhra Pradesh</v>
      </c>
      <c r="U651" s="1" t="s">
        <v>98</v>
      </c>
      <c r="V651" s="1" t="str">
        <f t="shared" si="276"/>
        <v>Vijayawada</v>
      </c>
      <c r="W651" s="1" t="s">
        <v>29</v>
      </c>
      <c r="X651" s="1" t="str">
        <f t="shared" si="277"/>
        <v>Office Supplies</v>
      </c>
      <c r="Y651" s="1" t="s">
        <v>105</v>
      </c>
      <c r="Z651" s="1" t="str">
        <f t="shared" si="278"/>
        <v>Labels</v>
      </c>
      <c r="AA651" s="1" t="s">
        <v>1453</v>
      </c>
      <c r="AB651" s="1" t="s">
        <v>47</v>
      </c>
      <c r="AC651" s="1" t="str">
        <f t="shared" si="279"/>
        <v>Same Day</v>
      </c>
      <c r="AD651" s="1" t="str">
        <f t="shared" si="280"/>
        <v>OK</v>
      </c>
      <c r="AE651" s="1">
        <v>1</v>
      </c>
      <c r="AF651" s="1">
        <v>1947.88</v>
      </c>
      <c r="AG651" s="9">
        <v>0.15</v>
      </c>
      <c r="AH651" s="9">
        <f t="shared" si="281"/>
        <v>0.15</v>
      </c>
      <c r="AI651" s="1" t="str">
        <f t="shared" si="282"/>
        <v>OK</v>
      </c>
      <c r="AJ651" s="1">
        <v>1655.7</v>
      </c>
      <c r="AK651" s="1">
        <v>1354.8</v>
      </c>
      <c r="AL651" s="1">
        <v>300.89999999999998</v>
      </c>
      <c r="AM651" s="13">
        <f t="shared" si="283"/>
        <v>1655.6980000000001</v>
      </c>
      <c r="AN651" s="9">
        <f t="shared" si="284"/>
        <v>300.89800000000014</v>
      </c>
      <c r="AO651" s="9">
        <f t="shared" si="293"/>
        <v>0.1817348332848141</v>
      </c>
      <c r="AP651" s="1" t="s">
        <v>33</v>
      </c>
      <c r="AQ651" s="1" t="str">
        <f t="shared" si="285"/>
        <v>Paid</v>
      </c>
      <c r="AR651" s="1" t="str">
        <f t="shared" si="286"/>
        <v>OK</v>
      </c>
      <c r="AS651" s="1" t="s">
        <v>120</v>
      </c>
      <c r="AT651" s="4" t="str">
        <f t="shared" si="287"/>
        <v>Returned</v>
      </c>
      <c r="AU651" s="3" t="str">
        <f t="shared" si="288"/>
        <v>RETURNED_ORDER</v>
      </c>
      <c r="AV651" s="3" t="str">
        <f t="shared" si="294"/>
        <v>CLEAN</v>
      </c>
      <c r="AW651" t="str">
        <f t="shared" si="295"/>
        <v>MATCH</v>
      </c>
      <c r="AX651" t="str">
        <f t="shared" si="296"/>
        <v>MATCH</v>
      </c>
    </row>
    <row r="652" spans="1:50" ht="15.6">
      <c r="A652" s="1" t="s">
        <v>1454</v>
      </c>
      <c r="B652" s="1">
        <f t="shared" si="270"/>
        <v>1</v>
      </c>
      <c r="C652" s="16">
        <v>45916</v>
      </c>
      <c r="D652" s="16">
        <v>45916</v>
      </c>
      <c r="E652" s="16" t="str">
        <f t="shared" si="289"/>
        <v>Sep</v>
      </c>
      <c r="F652" s="1">
        <f t="shared" si="290"/>
        <v>2025</v>
      </c>
      <c r="G652" t="s">
        <v>2699</v>
      </c>
      <c r="H652" s="17">
        <v>45403</v>
      </c>
      <c r="I652" s="21">
        <f t="shared" si="291"/>
        <v>-513</v>
      </c>
      <c r="J652" s="6" t="str">
        <f t="shared" si="292"/>
        <v>INVALID_SHIPPING</v>
      </c>
      <c r="K652" s="1" t="s">
        <v>1456</v>
      </c>
      <c r="L652" s="1" t="s">
        <v>158</v>
      </c>
      <c r="M652" s="1" t="str">
        <f t="shared" si="271"/>
        <v>Sneha Kapoor</v>
      </c>
      <c r="N652" s="1" t="s">
        <v>110</v>
      </c>
      <c r="O652" s="1" t="str">
        <f t="shared" si="272"/>
        <v>Home Office</v>
      </c>
      <c r="P652" s="1" t="s">
        <v>41</v>
      </c>
      <c r="Q652" s="1" t="str">
        <f t="shared" si="273"/>
        <v>East</v>
      </c>
      <c r="R652" s="1" t="str">
        <f t="shared" si="274"/>
        <v>OK</v>
      </c>
      <c r="S652" s="1" t="s">
        <v>116</v>
      </c>
      <c r="T652" s="1" t="str">
        <f t="shared" si="275"/>
        <v>West Bengal</v>
      </c>
      <c r="U652" s="1" t="s">
        <v>117</v>
      </c>
      <c r="V652" s="1" t="str">
        <f t="shared" si="276"/>
        <v>Kolkata</v>
      </c>
      <c r="W652" s="1" t="s">
        <v>83</v>
      </c>
      <c r="X652" s="1" t="str">
        <f t="shared" si="277"/>
        <v>Technology</v>
      </c>
      <c r="Y652" s="1" t="s">
        <v>91</v>
      </c>
      <c r="Z652" s="1" t="str">
        <f t="shared" si="278"/>
        <v>Copiers</v>
      </c>
      <c r="AA652" s="1" t="s">
        <v>1457</v>
      </c>
      <c r="AB652" s="1" t="s">
        <v>32</v>
      </c>
      <c r="AC652" s="1" t="str">
        <f t="shared" si="279"/>
        <v>Second Class</v>
      </c>
      <c r="AD652" s="1" t="str">
        <f t="shared" si="280"/>
        <v>OK</v>
      </c>
      <c r="AE652" s="1">
        <v>5</v>
      </c>
      <c r="AF652" s="1">
        <v>3671.2</v>
      </c>
      <c r="AG652" s="9">
        <v>0.15</v>
      </c>
      <c r="AH652" s="9">
        <f t="shared" si="281"/>
        <v>0.15</v>
      </c>
      <c r="AI652" s="1" t="str">
        <f t="shared" si="282"/>
        <v>OK</v>
      </c>
      <c r="AJ652" s="1">
        <v>15602.6</v>
      </c>
      <c r="AK652" s="1">
        <v>11908.52</v>
      </c>
      <c r="AL652" s="1">
        <v>3694.08</v>
      </c>
      <c r="AM652" s="13">
        <f t="shared" si="283"/>
        <v>15602.6</v>
      </c>
      <c r="AN652" s="9">
        <f t="shared" si="284"/>
        <v>3694.08</v>
      </c>
      <c r="AO652" s="9">
        <f t="shared" si="293"/>
        <v>0.236760539910015</v>
      </c>
      <c r="AP652" s="1" t="s">
        <v>33</v>
      </c>
      <c r="AQ652" s="1" t="str">
        <f t="shared" si="285"/>
        <v>Paid</v>
      </c>
      <c r="AR652" s="1" t="str">
        <f t="shared" si="286"/>
        <v>OK</v>
      </c>
      <c r="AS652" s="1" t="s">
        <v>34</v>
      </c>
      <c r="AT652" s="4" t="str">
        <f t="shared" si="287"/>
        <v>Completed</v>
      </c>
      <c r="AU652" s="3" t="str">
        <f t="shared" si="288"/>
        <v>OK</v>
      </c>
      <c r="AV652" s="3" t="str">
        <f t="shared" si="294"/>
        <v>INVALID</v>
      </c>
      <c r="AW652" t="str">
        <f t="shared" si="295"/>
        <v>MATCH</v>
      </c>
      <c r="AX652" t="str">
        <f t="shared" si="296"/>
        <v>MATCH</v>
      </c>
    </row>
    <row r="653" spans="1:50" ht="15.6" hidden="1">
      <c r="A653" s="1" t="s">
        <v>1458</v>
      </c>
      <c r="B653" s="1">
        <f t="shared" si="270"/>
        <v>1</v>
      </c>
      <c r="C653" s="16">
        <v>45860</v>
      </c>
      <c r="D653" s="16">
        <v>45860</v>
      </c>
      <c r="E653" s="16" t="str">
        <f t="shared" si="289"/>
        <v>Jul</v>
      </c>
      <c r="F653" s="1">
        <f t="shared" si="290"/>
        <v>2025</v>
      </c>
      <c r="G653" t="s">
        <v>2702</v>
      </c>
      <c r="H653" s="17">
        <v>45908</v>
      </c>
      <c r="I653" s="21">
        <f t="shared" si="291"/>
        <v>48</v>
      </c>
      <c r="J653" s="6" t="str">
        <f t="shared" si="292"/>
        <v>OK</v>
      </c>
      <c r="K653" s="1" t="s">
        <v>1459</v>
      </c>
      <c r="L653" s="1" t="s">
        <v>158</v>
      </c>
      <c r="M653" s="1" t="str">
        <f t="shared" si="271"/>
        <v>Sneha Kapoor</v>
      </c>
      <c r="N653" s="1" t="s">
        <v>104</v>
      </c>
      <c r="O653" s="1" t="str">
        <f t="shared" si="272"/>
        <v>Corporate</v>
      </c>
      <c r="P653" s="1" t="s">
        <v>41</v>
      </c>
      <c r="Q653" s="1" t="str">
        <f t="shared" si="273"/>
        <v>East</v>
      </c>
      <c r="R653" s="1" t="str">
        <f t="shared" si="274"/>
        <v>OK</v>
      </c>
      <c r="S653" s="1" t="s">
        <v>284</v>
      </c>
      <c r="T653" s="1" t="str">
        <f t="shared" si="275"/>
        <v>Jharkhand</v>
      </c>
      <c r="U653" s="1" t="s">
        <v>285</v>
      </c>
      <c r="V653" s="1" t="str">
        <f t="shared" si="276"/>
        <v>Ranchi</v>
      </c>
      <c r="W653" s="1" t="s">
        <v>44</v>
      </c>
      <c r="X653" s="1" t="str">
        <f t="shared" si="277"/>
        <v>Furniture</v>
      </c>
      <c r="Y653" s="1" t="s">
        <v>63</v>
      </c>
      <c r="Z653" s="1" t="str">
        <f t="shared" si="278"/>
        <v>Furnishings</v>
      </c>
      <c r="AA653" s="1" t="s">
        <v>1460</v>
      </c>
      <c r="AB653" s="1" t="s">
        <v>47</v>
      </c>
      <c r="AC653" s="1" t="str">
        <f t="shared" si="279"/>
        <v>Same Day</v>
      </c>
      <c r="AD653" s="1" t="str">
        <f t="shared" si="280"/>
        <v>OK</v>
      </c>
      <c r="AE653" s="1">
        <v>5</v>
      </c>
      <c r="AF653" s="1">
        <v>3187.05</v>
      </c>
      <c r="AG653" s="9">
        <v>0.05</v>
      </c>
      <c r="AH653" s="9">
        <f t="shared" si="281"/>
        <v>0.05</v>
      </c>
      <c r="AI653" s="1" t="str">
        <f t="shared" si="282"/>
        <v>OK</v>
      </c>
      <c r="AJ653" s="1">
        <v>15138.49</v>
      </c>
      <c r="AK653" s="1">
        <v>11235.72</v>
      </c>
      <c r="AL653" s="1">
        <v>3902.77</v>
      </c>
      <c r="AM653" s="13">
        <f t="shared" si="283"/>
        <v>15138.487499999999</v>
      </c>
      <c r="AN653" s="9">
        <f t="shared" si="284"/>
        <v>3902.7674999999999</v>
      </c>
      <c r="AO653" s="9">
        <f t="shared" si="293"/>
        <v>0.25780432160082045</v>
      </c>
      <c r="AP653" s="1" t="s">
        <v>33</v>
      </c>
      <c r="AQ653" s="1" t="str">
        <f t="shared" si="285"/>
        <v>Paid</v>
      </c>
      <c r="AR653" s="1" t="str">
        <f t="shared" si="286"/>
        <v>OK</v>
      </c>
      <c r="AS653" s="1" t="s">
        <v>34</v>
      </c>
      <c r="AT653" s="4" t="str">
        <f t="shared" si="287"/>
        <v>Completed</v>
      </c>
      <c r="AU653" s="3" t="str">
        <f t="shared" si="288"/>
        <v>OK</v>
      </c>
      <c r="AV653" s="3" t="str">
        <f t="shared" si="294"/>
        <v>CLEAN</v>
      </c>
      <c r="AW653" t="str">
        <f t="shared" si="295"/>
        <v>MATCH</v>
      </c>
      <c r="AX653" t="str">
        <f t="shared" si="296"/>
        <v>MATCH</v>
      </c>
    </row>
    <row r="654" spans="1:50" ht="15.6">
      <c r="A654" s="1" t="s">
        <v>1464</v>
      </c>
      <c r="B654" s="1">
        <f t="shared" si="270"/>
        <v>1</v>
      </c>
      <c r="C654" s="16">
        <v>45806</v>
      </c>
      <c r="D654" s="16">
        <v>45806</v>
      </c>
      <c r="E654" s="16" t="str">
        <f t="shared" si="289"/>
        <v>May</v>
      </c>
      <c r="F654" s="1">
        <f t="shared" si="290"/>
        <v>2025</v>
      </c>
      <c r="G654" t="s">
        <v>2706</v>
      </c>
      <c r="H654" s="17">
        <v>45737</v>
      </c>
      <c r="I654" s="21">
        <f t="shared" si="291"/>
        <v>-69</v>
      </c>
      <c r="J654" s="6" t="str">
        <f t="shared" si="292"/>
        <v>INVALID_SHIPPING</v>
      </c>
      <c r="K654" s="1" t="s">
        <v>1465</v>
      </c>
      <c r="L654" s="1" t="s">
        <v>196</v>
      </c>
      <c r="M654" s="1" t="str">
        <f t="shared" si="271"/>
        <v>Diya Patel</v>
      </c>
      <c r="N654" s="1" t="s">
        <v>25</v>
      </c>
      <c r="O654" s="1" t="str">
        <f t="shared" si="272"/>
        <v>Consumer</v>
      </c>
      <c r="P654" s="1" t="s">
        <v>71</v>
      </c>
      <c r="Q654" s="1" t="str">
        <f t="shared" si="273"/>
        <v>West</v>
      </c>
      <c r="R654" s="1" t="str">
        <f t="shared" si="274"/>
        <v>OK</v>
      </c>
      <c r="S654" s="1" t="s">
        <v>72</v>
      </c>
      <c r="T654" s="1" t="str">
        <f t="shared" si="275"/>
        <v>Maharashtra</v>
      </c>
      <c r="U654" s="1" t="s">
        <v>73</v>
      </c>
      <c r="V654" s="1" t="str">
        <f t="shared" si="276"/>
        <v>Mumbai</v>
      </c>
      <c r="W654" s="1" t="s">
        <v>29</v>
      </c>
      <c r="X654" s="1" t="str">
        <f t="shared" si="277"/>
        <v>Office Supplies</v>
      </c>
      <c r="Y654" s="1" t="s">
        <v>148</v>
      </c>
      <c r="Z654" s="1" t="str">
        <f t="shared" si="278"/>
        <v>Storage</v>
      </c>
      <c r="AA654" s="1" t="s">
        <v>1466</v>
      </c>
      <c r="AB654" s="1" t="s">
        <v>55</v>
      </c>
      <c r="AC654" s="1" t="str">
        <f t="shared" si="279"/>
        <v>First Class</v>
      </c>
      <c r="AD654" s="1" t="str">
        <f t="shared" si="280"/>
        <v>OK</v>
      </c>
      <c r="AE654" s="1">
        <v>6</v>
      </c>
      <c r="AF654" s="1">
        <v>3100.68</v>
      </c>
      <c r="AG654" s="9">
        <v>0</v>
      </c>
      <c r="AH654" s="9">
        <f t="shared" si="281"/>
        <v>0</v>
      </c>
      <c r="AI654" s="1" t="str">
        <f t="shared" si="282"/>
        <v>OK</v>
      </c>
      <c r="AJ654" s="1">
        <v>18604.080000000002</v>
      </c>
      <c r="AK654" s="1">
        <v>15834.3</v>
      </c>
      <c r="AL654" s="1">
        <v>2769.78</v>
      </c>
      <c r="AM654" s="13">
        <f t="shared" si="283"/>
        <v>18604.079999999998</v>
      </c>
      <c r="AN654" s="9">
        <f t="shared" si="284"/>
        <v>2769.7799999999988</v>
      </c>
      <c r="AO654" s="9">
        <f t="shared" si="293"/>
        <v>0.1488802456235406</v>
      </c>
      <c r="AP654" s="1" t="s">
        <v>33</v>
      </c>
      <c r="AQ654" s="1" t="str">
        <f t="shared" si="285"/>
        <v>Paid</v>
      </c>
      <c r="AR654" s="1" t="str">
        <f t="shared" si="286"/>
        <v>OK</v>
      </c>
      <c r="AS654" s="1" t="s">
        <v>34</v>
      </c>
      <c r="AT654" s="4" t="str">
        <f t="shared" si="287"/>
        <v>Completed</v>
      </c>
      <c r="AU654" s="3" t="str">
        <f t="shared" si="288"/>
        <v>OK</v>
      </c>
      <c r="AV654" s="3" t="str">
        <f t="shared" si="294"/>
        <v>INVALID</v>
      </c>
      <c r="AW654" t="str">
        <f t="shared" si="295"/>
        <v>MATCH</v>
      </c>
      <c r="AX654" t="str">
        <f t="shared" si="296"/>
        <v>MATCH</v>
      </c>
    </row>
    <row r="655" spans="1:50" ht="15.6">
      <c r="A655" s="1" t="s">
        <v>1467</v>
      </c>
      <c r="B655" s="1">
        <f t="shared" si="270"/>
        <v>1</v>
      </c>
      <c r="C655" s="16">
        <v>45996</v>
      </c>
      <c r="D655" s="16">
        <v>45996</v>
      </c>
      <c r="E655" s="16" t="str">
        <f t="shared" si="289"/>
        <v>Dec</v>
      </c>
      <c r="F655" s="1">
        <f t="shared" si="290"/>
        <v>2025</v>
      </c>
      <c r="G655" t="s">
        <v>2709</v>
      </c>
      <c r="H655" s="17">
        <v>45754</v>
      </c>
      <c r="I655" s="21">
        <f t="shared" si="291"/>
        <v>-242</v>
      </c>
      <c r="J655" s="6" t="str">
        <f t="shared" si="292"/>
        <v>INVALID_SHIPPING</v>
      </c>
      <c r="K655" s="1" t="s">
        <v>1469</v>
      </c>
      <c r="L655" s="1" t="s">
        <v>90</v>
      </c>
      <c r="M655" s="1" t="str">
        <f t="shared" si="271"/>
        <v>Neha Gupta</v>
      </c>
      <c r="N655" s="1" t="s">
        <v>40</v>
      </c>
      <c r="O655" s="1" t="str">
        <f t="shared" si="272"/>
        <v>Small Business</v>
      </c>
      <c r="P655" s="1" t="s">
        <v>71</v>
      </c>
      <c r="Q655" s="1" t="str">
        <f t="shared" si="273"/>
        <v>West</v>
      </c>
      <c r="R655" s="1" t="str">
        <f t="shared" si="274"/>
        <v>OK</v>
      </c>
      <c r="S655" s="1" t="s">
        <v>72</v>
      </c>
      <c r="T655" s="1" t="str">
        <f t="shared" si="275"/>
        <v>Maharashtra</v>
      </c>
      <c r="U655" s="1" t="s">
        <v>73</v>
      </c>
      <c r="V655" s="1" t="str">
        <f t="shared" si="276"/>
        <v>Mumbai</v>
      </c>
      <c r="W655" s="1" t="s">
        <v>29</v>
      </c>
      <c r="X655" s="1" t="str">
        <f t="shared" si="277"/>
        <v>Office Supplies</v>
      </c>
      <c r="Y655" s="1" t="s">
        <v>148</v>
      </c>
      <c r="Z655" s="1" t="str">
        <f t="shared" si="278"/>
        <v>Storage</v>
      </c>
      <c r="AA655" s="1" t="s">
        <v>1470</v>
      </c>
      <c r="AB655" s="1" t="s">
        <v>65</v>
      </c>
      <c r="AC655" s="1" t="str">
        <f t="shared" si="279"/>
        <v>Standard Class</v>
      </c>
      <c r="AD655" s="1" t="str">
        <f t="shared" si="280"/>
        <v>OK</v>
      </c>
      <c r="AE655" s="1">
        <v>4</v>
      </c>
      <c r="AF655" s="1">
        <v>4053.03</v>
      </c>
      <c r="AG655" s="9">
        <v>0.05</v>
      </c>
      <c r="AH655" s="9">
        <f t="shared" si="281"/>
        <v>0.05</v>
      </c>
      <c r="AI655" s="1" t="str">
        <f t="shared" si="282"/>
        <v>OK</v>
      </c>
      <c r="AJ655" s="1">
        <v>15401.51</v>
      </c>
      <c r="AK655" s="1">
        <v>8650.42</v>
      </c>
      <c r="AL655" s="1">
        <v>6751.09</v>
      </c>
      <c r="AM655" s="13">
        <f t="shared" si="283"/>
        <v>15401.513999999999</v>
      </c>
      <c r="AN655" s="9">
        <f t="shared" si="284"/>
        <v>6751.0939999999991</v>
      </c>
      <c r="AO655" s="9">
        <f t="shared" si="293"/>
        <v>0.43833963336331738</v>
      </c>
      <c r="AP655" s="1" t="s">
        <v>33</v>
      </c>
      <c r="AQ655" s="1" t="str">
        <f t="shared" si="285"/>
        <v>Paid</v>
      </c>
      <c r="AR655" s="1" t="str">
        <f t="shared" si="286"/>
        <v>OK</v>
      </c>
      <c r="AS655" s="1" t="s">
        <v>34</v>
      </c>
      <c r="AT655" s="4" t="str">
        <f t="shared" si="287"/>
        <v>Completed</v>
      </c>
      <c r="AU655" s="3" t="str">
        <f t="shared" si="288"/>
        <v>OK</v>
      </c>
      <c r="AV655" s="3" t="str">
        <f t="shared" si="294"/>
        <v>INVALID</v>
      </c>
      <c r="AW655" t="str">
        <f t="shared" si="295"/>
        <v>MATCH</v>
      </c>
      <c r="AX655" t="str">
        <f t="shared" si="296"/>
        <v>MATCH</v>
      </c>
    </row>
    <row r="656" spans="1:50" ht="15.6" hidden="1">
      <c r="A656" s="1" t="s">
        <v>1478</v>
      </c>
      <c r="B656" s="1">
        <f t="shared" si="270"/>
        <v>1</v>
      </c>
      <c r="C656" s="16">
        <v>45804</v>
      </c>
      <c r="D656" s="16">
        <v>45804</v>
      </c>
      <c r="E656" s="16" t="str">
        <f t="shared" si="289"/>
        <v>May</v>
      </c>
      <c r="F656" s="1">
        <f t="shared" si="290"/>
        <v>2025</v>
      </c>
      <c r="G656" t="s">
        <v>134</v>
      </c>
      <c r="H656" s="17">
        <v>45946</v>
      </c>
      <c r="I656" s="21">
        <f t="shared" si="291"/>
        <v>142</v>
      </c>
      <c r="J656" s="6" t="str">
        <f t="shared" si="292"/>
        <v>OK</v>
      </c>
      <c r="K656" s="1" t="s">
        <v>1481</v>
      </c>
      <c r="L656" s="1" t="s">
        <v>153</v>
      </c>
      <c r="M656" s="1" t="str">
        <f t="shared" si="271"/>
        <v>Aarav Sharma</v>
      </c>
      <c r="N656" s="1" t="s">
        <v>25</v>
      </c>
      <c r="O656" s="1" t="str">
        <f t="shared" si="272"/>
        <v>Consumer</v>
      </c>
      <c r="P656" s="1" t="s">
        <v>60</v>
      </c>
      <c r="Q656" s="1" t="str">
        <f t="shared" si="273"/>
        <v>South</v>
      </c>
      <c r="R656" s="1" t="str">
        <f t="shared" si="274"/>
        <v>OK</v>
      </c>
      <c r="S656" s="1" t="s">
        <v>97</v>
      </c>
      <c r="T656" s="1" t="str">
        <f t="shared" si="275"/>
        <v>Andhra Pradesh</v>
      </c>
      <c r="U656" s="1" t="s">
        <v>98</v>
      </c>
      <c r="V656" s="1" t="str">
        <f t="shared" si="276"/>
        <v>Vijayawada</v>
      </c>
      <c r="W656" s="1" t="s">
        <v>83</v>
      </c>
      <c r="X656" s="1" t="str">
        <f t="shared" si="277"/>
        <v>Technology</v>
      </c>
      <c r="Y656" s="1" t="s">
        <v>1482</v>
      </c>
      <c r="Z656" s="1" t="str">
        <f t="shared" si="278"/>
        <v>Machines</v>
      </c>
      <c r="AA656" s="1" t="s">
        <v>1483</v>
      </c>
      <c r="AB656" s="1" t="s">
        <v>32</v>
      </c>
      <c r="AC656" s="1" t="str">
        <f t="shared" si="279"/>
        <v>Second Class</v>
      </c>
      <c r="AD656" s="1" t="str">
        <f t="shared" si="280"/>
        <v>OK</v>
      </c>
      <c r="AE656" s="1">
        <v>2</v>
      </c>
      <c r="AF656" s="1">
        <v>3911.96</v>
      </c>
      <c r="AG656" s="9">
        <v>0</v>
      </c>
      <c r="AH656" s="9">
        <f t="shared" si="281"/>
        <v>0</v>
      </c>
      <c r="AI656" s="1" t="str">
        <f t="shared" si="282"/>
        <v>OK</v>
      </c>
      <c r="AJ656" s="1">
        <v>7823.92</v>
      </c>
      <c r="AK656" s="1">
        <v>6034.63</v>
      </c>
      <c r="AL656" s="1">
        <v>1789.29</v>
      </c>
      <c r="AM656" s="13">
        <f t="shared" si="283"/>
        <v>7823.92</v>
      </c>
      <c r="AN656" s="9">
        <f t="shared" si="284"/>
        <v>1789.29</v>
      </c>
      <c r="AO656" s="9">
        <f t="shared" si="293"/>
        <v>0.22869482305545047</v>
      </c>
      <c r="AP656" s="1" t="s">
        <v>33</v>
      </c>
      <c r="AQ656" s="1" t="str">
        <f t="shared" si="285"/>
        <v>Paid</v>
      </c>
      <c r="AR656" s="1" t="str">
        <f t="shared" si="286"/>
        <v>OK</v>
      </c>
      <c r="AS656" s="1" t="s">
        <v>34</v>
      </c>
      <c r="AT656" s="4" t="str">
        <f t="shared" si="287"/>
        <v>Completed</v>
      </c>
      <c r="AU656" s="3" t="str">
        <f t="shared" si="288"/>
        <v>OK</v>
      </c>
      <c r="AV656" s="3" t="str">
        <f t="shared" si="294"/>
        <v>CLEAN</v>
      </c>
      <c r="AW656" t="str">
        <f t="shared" si="295"/>
        <v>MATCH</v>
      </c>
      <c r="AX656" t="str">
        <f t="shared" si="296"/>
        <v>MATCH</v>
      </c>
    </row>
    <row r="657" spans="1:50" ht="15.6" hidden="1">
      <c r="A657" s="1" t="s">
        <v>1484</v>
      </c>
      <c r="B657" s="1">
        <f t="shared" si="270"/>
        <v>1</v>
      </c>
      <c r="C657" s="16">
        <v>45830</v>
      </c>
      <c r="D657" s="16">
        <v>45830</v>
      </c>
      <c r="E657" s="16" t="str">
        <f t="shared" si="289"/>
        <v>Jun</v>
      </c>
      <c r="F657" s="1">
        <f t="shared" si="290"/>
        <v>2025</v>
      </c>
      <c r="G657" t="s">
        <v>623</v>
      </c>
      <c r="H657" s="17">
        <v>45895</v>
      </c>
      <c r="I657" s="21">
        <f t="shared" si="291"/>
        <v>65</v>
      </c>
      <c r="J657" s="6" t="str">
        <f t="shared" si="292"/>
        <v>OK</v>
      </c>
      <c r="K657" s="1" t="s">
        <v>1486</v>
      </c>
      <c r="L657" s="1" t="s">
        <v>169</v>
      </c>
      <c r="M657" s="1" t="str">
        <f t="shared" si="271"/>
        <v>Rohan Mehta</v>
      </c>
      <c r="N657" s="1" t="s">
        <v>110</v>
      </c>
      <c r="O657" s="1" t="str">
        <f t="shared" si="272"/>
        <v>Home Office</v>
      </c>
      <c r="P657" s="1"/>
      <c r="Q657" s="1" t="str">
        <f t="shared" si="273"/>
        <v>Unknown</v>
      </c>
      <c r="R657" s="1" t="str">
        <f t="shared" si="274"/>
        <v>MISSING_REGION</v>
      </c>
      <c r="S657" s="1" t="s">
        <v>454</v>
      </c>
      <c r="T657" s="1" t="str">
        <f t="shared" si="275"/>
        <v>Delhi</v>
      </c>
      <c r="U657" s="1" t="s">
        <v>455</v>
      </c>
      <c r="V657" s="1" t="str">
        <f t="shared" si="276"/>
        <v>New Delhi</v>
      </c>
      <c r="W657" s="1" t="s">
        <v>83</v>
      </c>
      <c r="X657" s="1" t="str">
        <f t="shared" si="277"/>
        <v>Technology</v>
      </c>
      <c r="Y657" s="1" t="s">
        <v>207</v>
      </c>
      <c r="Z657" s="1" t="str">
        <f t="shared" si="278"/>
        <v>Phones</v>
      </c>
      <c r="AA657" s="1" t="s">
        <v>1487</v>
      </c>
      <c r="AB657" s="1" t="s">
        <v>55</v>
      </c>
      <c r="AC657" s="1" t="str">
        <f t="shared" si="279"/>
        <v>First Class</v>
      </c>
      <c r="AD657" s="1" t="str">
        <f t="shared" si="280"/>
        <v>OK</v>
      </c>
      <c r="AE657" s="1">
        <v>2</v>
      </c>
      <c r="AF657" s="1">
        <v>1468.05</v>
      </c>
      <c r="AG657" s="9">
        <v>0</v>
      </c>
      <c r="AH657" s="9">
        <f t="shared" si="281"/>
        <v>0</v>
      </c>
      <c r="AI657" s="1" t="str">
        <f t="shared" si="282"/>
        <v>OK</v>
      </c>
      <c r="AJ657" s="1">
        <v>2936.1</v>
      </c>
      <c r="AK657" s="1">
        <v>1923.1</v>
      </c>
      <c r="AL657" s="1">
        <v>1013</v>
      </c>
      <c r="AM657" s="13">
        <f t="shared" si="283"/>
        <v>2936.1</v>
      </c>
      <c r="AN657" s="9">
        <f t="shared" si="284"/>
        <v>1013</v>
      </c>
      <c r="AO657" s="9">
        <f t="shared" si="293"/>
        <v>0.34501549674738602</v>
      </c>
      <c r="AP657" s="1" t="s">
        <v>33</v>
      </c>
      <c r="AQ657" s="1" t="str">
        <f t="shared" si="285"/>
        <v>Paid</v>
      </c>
      <c r="AR657" s="1" t="str">
        <f t="shared" si="286"/>
        <v>OK</v>
      </c>
      <c r="AS657" s="1" t="s">
        <v>34</v>
      </c>
      <c r="AT657" s="4" t="str">
        <f t="shared" si="287"/>
        <v>Completed</v>
      </c>
      <c r="AU657" s="3" t="str">
        <f t="shared" si="288"/>
        <v>OK</v>
      </c>
      <c r="AV657" s="3" t="str">
        <f t="shared" si="294"/>
        <v>WARNING</v>
      </c>
      <c r="AW657" t="str">
        <f t="shared" si="295"/>
        <v>MATCH</v>
      </c>
      <c r="AX657" t="str">
        <f t="shared" si="296"/>
        <v>MATCH</v>
      </c>
    </row>
    <row r="658" spans="1:50" ht="15.6">
      <c r="A658" s="1" t="s">
        <v>1492</v>
      </c>
      <c r="B658" s="1">
        <f t="shared" si="270"/>
        <v>2</v>
      </c>
      <c r="C658" s="16">
        <v>45824</v>
      </c>
      <c r="D658" s="16">
        <v>45824</v>
      </c>
      <c r="E658" s="16" t="str">
        <f t="shared" si="289"/>
        <v>Jun</v>
      </c>
      <c r="F658" s="1">
        <f t="shared" si="290"/>
        <v>2025</v>
      </c>
      <c r="G658" t="s">
        <v>2042</v>
      </c>
      <c r="H658" s="17">
        <v>45426</v>
      </c>
      <c r="I658" s="21">
        <f t="shared" si="291"/>
        <v>-398</v>
      </c>
      <c r="J658" s="6" t="str">
        <f t="shared" si="292"/>
        <v>INVALID_SHIPPING</v>
      </c>
      <c r="K658" s="1" t="s">
        <v>1494</v>
      </c>
      <c r="L658" s="1" t="s">
        <v>141</v>
      </c>
      <c r="M658" s="1" t="str">
        <f t="shared" si="271"/>
        <v>Rahul Verma</v>
      </c>
      <c r="N658" s="1" t="s">
        <v>110</v>
      </c>
      <c r="O658" s="1" t="str">
        <f t="shared" si="272"/>
        <v>Home Office</v>
      </c>
      <c r="P658" s="1" t="s">
        <v>71</v>
      </c>
      <c r="Q658" s="1" t="str">
        <f t="shared" si="273"/>
        <v>West</v>
      </c>
      <c r="R658" s="1" t="str">
        <f t="shared" si="274"/>
        <v>OK</v>
      </c>
      <c r="S658" s="1" t="s">
        <v>81</v>
      </c>
      <c r="T658" s="1" t="str">
        <f t="shared" si="275"/>
        <v>Madhya Pradesh</v>
      </c>
      <c r="U658" s="1" t="s">
        <v>82</v>
      </c>
      <c r="V658" s="1" t="str">
        <f t="shared" si="276"/>
        <v>Indore</v>
      </c>
      <c r="W658" s="1" t="s">
        <v>29</v>
      </c>
      <c r="X658" s="1" t="str">
        <f t="shared" si="277"/>
        <v>Office Supplies</v>
      </c>
      <c r="Y658" s="1" t="s">
        <v>30</v>
      </c>
      <c r="Z658" s="1" t="str">
        <f t="shared" si="278"/>
        <v>Paper</v>
      </c>
      <c r="AA658" s="1" t="s">
        <v>1495</v>
      </c>
      <c r="AB658" s="1" t="s">
        <v>55</v>
      </c>
      <c r="AC658" s="1" t="str">
        <f t="shared" si="279"/>
        <v>First Class</v>
      </c>
      <c r="AD658" s="1" t="str">
        <f t="shared" si="280"/>
        <v>OK</v>
      </c>
      <c r="AE658" s="1">
        <v>3</v>
      </c>
      <c r="AF658" s="1">
        <v>4289.37</v>
      </c>
      <c r="AG658" s="9">
        <v>0.1</v>
      </c>
      <c r="AH658" s="9">
        <f t="shared" si="281"/>
        <v>0.1</v>
      </c>
      <c r="AI658" s="1" t="str">
        <f t="shared" si="282"/>
        <v>OK</v>
      </c>
      <c r="AJ658" s="1">
        <v>11581.3</v>
      </c>
      <c r="AK658" s="1">
        <v>6829.43</v>
      </c>
      <c r="AL658" s="1">
        <v>4751.87</v>
      </c>
      <c r="AM658" s="13">
        <f t="shared" si="283"/>
        <v>11581.299000000001</v>
      </c>
      <c r="AN658" s="9">
        <f t="shared" si="284"/>
        <v>4751.8690000000006</v>
      </c>
      <c r="AO658" s="9">
        <f t="shared" si="293"/>
        <v>0.41030535521101735</v>
      </c>
      <c r="AP658" s="1" t="s">
        <v>33</v>
      </c>
      <c r="AQ658" s="1" t="str">
        <f t="shared" si="285"/>
        <v>Paid</v>
      </c>
      <c r="AR658" s="1" t="str">
        <f t="shared" si="286"/>
        <v>OK</v>
      </c>
      <c r="AS658" s="1" t="s">
        <v>34</v>
      </c>
      <c r="AT658" s="4" t="str">
        <f t="shared" si="287"/>
        <v>Completed</v>
      </c>
      <c r="AU658" s="3" t="str">
        <f t="shared" si="288"/>
        <v>OK</v>
      </c>
      <c r="AV658" s="3" t="str">
        <f t="shared" si="294"/>
        <v>INVALID</v>
      </c>
      <c r="AW658" t="str">
        <f t="shared" si="295"/>
        <v>MATCH</v>
      </c>
      <c r="AX658" t="str">
        <f t="shared" si="296"/>
        <v>MATCH</v>
      </c>
    </row>
    <row r="659" spans="1:50" ht="15.6" hidden="1">
      <c r="A659" s="1" t="s">
        <v>1492</v>
      </c>
      <c r="B659" s="1">
        <f t="shared" si="270"/>
        <v>2</v>
      </c>
      <c r="C659" s="16">
        <v>45824</v>
      </c>
      <c r="D659" s="16">
        <v>45824</v>
      </c>
      <c r="E659" s="16" t="str">
        <f t="shared" si="289"/>
        <v>Jun</v>
      </c>
      <c r="F659" s="1">
        <f t="shared" si="290"/>
        <v>2025</v>
      </c>
      <c r="G659" t="s">
        <v>2721</v>
      </c>
      <c r="H659" s="17">
        <v>45879</v>
      </c>
      <c r="I659" s="21">
        <f t="shared" si="291"/>
        <v>55</v>
      </c>
      <c r="J659" s="6" t="str">
        <f t="shared" si="292"/>
        <v>OK</v>
      </c>
      <c r="K659" s="1" t="s">
        <v>1494</v>
      </c>
      <c r="L659" s="1" t="s">
        <v>141</v>
      </c>
      <c r="M659" s="1" t="str">
        <f t="shared" si="271"/>
        <v>Rahul Verma</v>
      </c>
      <c r="N659" s="1" t="s">
        <v>110</v>
      </c>
      <c r="O659" s="1" t="str">
        <f t="shared" si="272"/>
        <v>Home Office</v>
      </c>
      <c r="P659" s="1" t="s">
        <v>71</v>
      </c>
      <c r="Q659" s="1" t="str">
        <f t="shared" si="273"/>
        <v>West</v>
      </c>
      <c r="R659" s="1" t="str">
        <f t="shared" si="274"/>
        <v>OK</v>
      </c>
      <c r="S659" s="1" t="s">
        <v>81</v>
      </c>
      <c r="T659" s="1" t="str">
        <f t="shared" si="275"/>
        <v>Madhya Pradesh</v>
      </c>
      <c r="U659" s="1" t="s">
        <v>82</v>
      </c>
      <c r="V659" s="1" t="str">
        <f t="shared" si="276"/>
        <v>Indore</v>
      </c>
      <c r="W659" s="1" t="s">
        <v>29</v>
      </c>
      <c r="X659" s="1" t="str">
        <f t="shared" si="277"/>
        <v>Office Supplies</v>
      </c>
      <c r="Y659" s="1" t="s">
        <v>30</v>
      </c>
      <c r="Z659" s="1" t="str">
        <f t="shared" si="278"/>
        <v>Paper</v>
      </c>
      <c r="AA659" s="1" t="s">
        <v>1495</v>
      </c>
      <c r="AB659" s="1" t="s">
        <v>55</v>
      </c>
      <c r="AC659" s="1" t="str">
        <f t="shared" si="279"/>
        <v>First Class</v>
      </c>
      <c r="AD659" s="1" t="str">
        <f t="shared" si="280"/>
        <v>OK</v>
      </c>
      <c r="AE659" s="1">
        <v>3</v>
      </c>
      <c r="AF659" s="1">
        <v>4289.37</v>
      </c>
      <c r="AG659" s="9">
        <v>0.1</v>
      </c>
      <c r="AH659" s="9">
        <f t="shared" si="281"/>
        <v>0.1</v>
      </c>
      <c r="AI659" s="1" t="str">
        <f t="shared" si="282"/>
        <v>OK</v>
      </c>
      <c r="AJ659" s="1">
        <v>11778.71</v>
      </c>
      <c r="AK659" s="1">
        <v>6829.43</v>
      </c>
      <c r="AL659" s="1">
        <v>4751.87</v>
      </c>
      <c r="AM659" s="13">
        <f t="shared" si="283"/>
        <v>11581.299000000001</v>
      </c>
      <c r="AN659" s="9">
        <f t="shared" si="284"/>
        <v>4751.8690000000006</v>
      </c>
      <c r="AO659" s="9">
        <f t="shared" si="293"/>
        <v>0.41030535521101735</v>
      </c>
      <c r="AP659" s="1" t="s">
        <v>33</v>
      </c>
      <c r="AQ659" s="1" t="str">
        <f t="shared" si="285"/>
        <v>Paid</v>
      </c>
      <c r="AR659" s="1" t="str">
        <f t="shared" si="286"/>
        <v>OK</v>
      </c>
      <c r="AS659" s="1" t="s">
        <v>120</v>
      </c>
      <c r="AT659" s="4" t="str">
        <f t="shared" si="287"/>
        <v>Returned</v>
      </c>
      <c r="AU659" s="3" t="str">
        <f t="shared" si="288"/>
        <v>RETURNED_ORDER</v>
      </c>
      <c r="AV659" s="3" t="str">
        <f t="shared" si="294"/>
        <v>CLEAN</v>
      </c>
      <c r="AW659" t="str">
        <f t="shared" si="295"/>
        <v>MISMATCH</v>
      </c>
      <c r="AX659" t="str">
        <f t="shared" si="296"/>
        <v>MATCH</v>
      </c>
    </row>
    <row r="660" spans="1:50" ht="15.6" hidden="1">
      <c r="A660" s="1" t="s">
        <v>1506</v>
      </c>
      <c r="B660" s="1">
        <f t="shared" si="270"/>
        <v>1</v>
      </c>
      <c r="C660" s="16">
        <v>45708</v>
      </c>
      <c r="D660" s="16">
        <v>45708</v>
      </c>
      <c r="E660" s="16" t="str">
        <f t="shared" si="289"/>
        <v>Feb</v>
      </c>
      <c r="F660" s="1">
        <f t="shared" si="290"/>
        <v>2025</v>
      </c>
      <c r="G660" t="s">
        <v>1946</v>
      </c>
      <c r="H660" s="17">
        <v>45820</v>
      </c>
      <c r="I660" s="21">
        <f t="shared" si="291"/>
        <v>112</v>
      </c>
      <c r="J660" s="6" t="str">
        <f t="shared" si="292"/>
        <v>OK</v>
      </c>
      <c r="K660" s="1" t="s">
        <v>1508</v>
      </c>
      <c r="L660" s="1" t="s">
        <v>90</v>
      </c>
      <c r="M660" s="1" t="str">
        <f t="shared" si="271"/>
        <v>Neha Gupta</v>
      </c>
      <c r="N660" s="1" t="s">
        <v>104</v>
      </c>
      <c r="O660" s="1" t="str">
        <f t="shared" si="272"/>
        <v>Corporate</v>
      </c>
      <c r="P660" s="1" t="s">
        <v>41</v>
      </c>
      <c r="Q660" s="1" t="str">
        <f t="shared" si="273"/>
        <v>East</v>
      </c>
      <c r="R660" s="1" t="str">
        <f t="shared" si="274"/>
        <v>OK</v>
      </c>
      <c r="S660" s="1" t="s">
        <v>284</v>
      </c>
      <c r="T660" s="1" t="str">
        <f t="shared" si="275"/>
        <v>Jharkhand</v>
      </c>
      <c r="U660" s="1" t="s">
        <v>285</v>
      </c>
      <c r="V660" s="1" t="str">
        <f t="shared" si="276"/>
        <v>Ranchi</v>
      </c>
      <c r="W660" s="1" t="s">
        <v>44</v>
      </c>
      <c r="X660" s="1" t="str">
        <f t="shared" si="277"/>
        <v>Furniture</v>
      </c>
      <c r="Y660" s="1" t="s">
        <v>190</v>
      </c>
      <c r="Z660" s="1" t="str">
        <f t="shared" si="278"/>
        <v>Bookcases</v>
      </c>
      <c r="AA660" s="1" t="s">
        <v>1509</v>
      </c>
      <c r="AB660" s="1" t="s">
        <v>65</v>
      </c>
      <c r="AC660" s="1" t="str">
        <f t="shared" si="279"/>
        <v>Standard Class</v>
      </c>
      <c r="AD660" s="1" t="str">
        <f t="shared" si="280"/>
        <v>OK</v>
      </c>
      <c r="AE660" s="1">
        <v>8</v>
      </c>
      <c r="AF660" s="1">
        <v>3265.76</v>
      </c>
      <c r="AG660" s="9">
        <v>0.2</v>
      </c>
      <c r="AH660" s="9">
        <f t="shared" si="281"/>
        <v>0.2</v>
      </c>
      <c r="AI660" s="1" t="str">
        <f t="shared" si="282"/>
        <v>OK</v>
      </c>
      <c r="AJ660" s="1">
        <v>20900.86</v>
      </c>
      <c r="AK660" s="1">
        <v>12513.14</v>
      </c>
      <c r="AL660" s="1">
        <v>8387.7199999999993</v>
      </c>
      <c r="AM660" s="13">
        <f t="shared" si="283"/>
        <v>20900.864000000001</v>
      </c>
      <c r="AN660" s="9">
        <f t="shared" si="284"/>
        <v>8387.724000000002</v>
      </c>
      <c r="AO660" s="9">
        <f t="shared" si="293"/>
        <v>0.40130991714026759</v>
      </c>
      <c r="AP660" s="1" t="s">
        <v>33</v>
      </c>
      <c r="AQ660" s="1" t="str">
        <f t="shared" si="285"/>
        <v>Paid</v>
      </c>
      <c r="AR660" s="1" t="str">
        <f t="shared" si="286"/>
        <v>OK</v>
      </c>
      <c r="AS660" s="1" t="s">
        <v>34</v>
      </c>
      <c r="AT660" s="4" t="str">
        <f t="shared" si="287"/>
        <v>Completed</v>
      </c>
      <c r="AU660" s="3" t="str">
        <f t="shared" si="288"/>
        <v>OK</v>
      </c>
      <c r="AV660" s="3" t="str">
        <f t="shared" si="294"/>
        <v>CLEAN</v>
      </c>
      <c r="AW660" t="str">
        <f t="shared" si="295"/>
        <v>MATCH</v>
      </c>
      <c r="AX660" t="str">
        <f t="shared" si="296"/>
        <v>MATCH</v>
      </c>
    </row>
    <row r="661" spans="1:50" ht="15.6">
      <c r="A661" s="1" t="s">
        <v>1514</v>
      </c>
      <c r="B661" s="1">
        <f t="shared" si="270"/>
        <v>1</v>
      </c>
      <c r="C661" s="16">
        <v>45878</v>
      </c>
      <c r="D661" s="16">
        <v>45878</v>
      </c>
      <c r="E661" s="16" t="str">
        <f t="shared" si="289"/>
        <v>Aug</v>
      </c>
      <c r="F661" s="1">
        <f t="shared" si="290"/>
        <v>2025</v>
      </c>
      <c r="G661" t="s">
        <v>1615</v>
      </c>
      <c r="H661" s="17">
        <v>45679</v>
      </c>
      <c r="I661" s="21">
        <f t="shared" si="291"/>
        <v>-199</v>
      </c>
      <c r="J661" s="6" t="str">
        <f t="shared" si="292"/>
        <v>INVALID_SHIPPING</v>
      </c>
      <c r="K661" s="1" t="s">
        <v>1516</v>
      </c>
      <c r="L661" s="1" t="s">
        <v>169</v>
      </c>
      <c r="M661" s="1" t="str">
        <f t="shared" si="271"/>
        <v>Rohan Mehta</v>
      </c>
      <c r="N661" s="1" t="s">
        <v>110</v>
      </c>
      <c r="O661" s="1" t="str">
        <f t="shared" si="272"/>
        <v>Home Office</v>
      </c>
      <c r="P661" s="1" t="s">
        <v>71</v>
      </c>
      <c r="Q661" s="1" t="str">
        <f t="shared" si="273"/>
        <v>West</v>
      </c>
      <c r="R661" s="1" t="str">
        <f t="shared" si="274"/>
        <v>OK</v>
      </c>
      <c r="S661" s="1" t="s">
        <v>218</v>
      </c>
      <c r="T661" s="1" t="str">
        <f t="shared" si="275"/>
        <v>Gujarat</v>
      </c>
      <c r="U661" s="1" t="s">
        <v>219</v>
      </c>
      <c r="V661" s="1" t="str">
        <f t="shared" si="276"/>
        <v>Ahmedabad</v>
      </c>
      <c r="W661" s="1" t="s">
        <v>44</v>
      </c>
      <c r="X661" s="1" t="str">
        <f t="shared" si="277"/>
        <v>Furniture</v>
      </c>
      <c r="Y661" s="1" t="s">
        <v>74</v>
      </c>
      <c r="Z661" s="1" t="str">
        <f t="shared" si="278"/>
        <v>Chairs</v>
      </c>
      <c r="AA661" s="1" t="s">
        <v>1517</v>
      </c>
      <c r="AB661" s="1" t="s">
        <v>32</v>
      </c>
      <c r="AC661" s="1" t="str">
        <f t="shared" si="279"/>
        <v>Second Class</v>
      </c>
      <c r="AD661" s="1" t="str">
        <f t="shared" si="280"/>
        <v>OK</v>
      </c>
      <c r="AE661" s="1">
        <v>2</v>
      </c>
      <c r="AF661" s="1">
        <v>3960.33</v>
      </c>
      <c r="AG661" s="9">
        <v>0.05</v>
      </c>
      <c r="AH661" s="9">
        <f t="shared" si="281"/>
        <v>0.05</v>
      </c>
      <c r="AI661" s="1" t="str">
        <f t="shared" si="282"/>
        <v>OK</v>
      </c>
      <c r="AJ661" s="1">
        <v>7524.63</v>
      </c>
      <c r="AK661" s="1">
        <v>6229.6</v>
      </c>
      <c r="AL661" s="1">
        <v>1295.03</v>
      </c>
      <c r="AM661" s="13">
        <f t="shared" si="283"/>
        <v>7524.6269999999995</v>
      </c>
      <c r="AN661" s="9">
        <f t="shared" si="284"/>
        <v>1295.0269999999991</v>
      </c>
      <c r="AO661" s="9">
        <f t="shared" si="293"/>
        <v>0.17210514222166751</v>
      </c>
      <c r="AP661" s="1" t="s">
        <v>33</v>
      </c>
      <c r="AQ661" s="1" t="str">
        <f t="shared" si="285"/>
        <v>Paid</v>
      </c>
      <c r="AR661" s="1" t="str">
        <f t="shared" si="286"/>
        <v>OK</v>
      </c>
      <c r="AS661" s="1" t="s">
        <v>34</v>
      </c>
      <c r="AT661" s="4" t="str">
        <f t="shared" si="287"/>
        <v>Completed</v>
      </c>
      <c r="AU661" s="3" t="str">
        <f t="shared" si="288"/>
        <v>OK</v>
      </c>
      <c r="AV661" s="3" t="str">
        <f t="shared" si="294"/>
        <v>INVALID</v>
      </c>
      <c r="AW661" t="str">
        <f t="shared" si="295"/>
        <v>MATCH</v>
      </c>
      <c r="AX661" t="str">
        <f t="shared" si="296"/>
        <v>MATCH</v>
      </c>
    </row>
    <row r="662" spans="1:50" ht="15.6">
      <c r="A662" s="1" t="s">
        <v>1518</v>
      </c>
      <c r="B662" s="1">
        <f t="shared" si="270"/>
        <v>1</v>
      </c>
      <c r="C662" s="16">
        <v>45862</v>
      </c>
      <c r="D662" s="16">
        <v>45862</v>
      </c>
      <c r="E662" s="16" t="str">
        <f t="shared" si="289"/>
        <v>Jul</v>
      </c>
      <c r="F662" s="1">
        <f t="shared" si="290"/>
        <v>2025</v>
      </c>
      <c r="G662" t="s">
        <v>2731</v>
      </c>
      <c r="H662" s="17">
        <v>45853</v>
      </c>
      <c r="I662" s="21">
        <f t="shared" si="291"/>
        <v>-9</v>
      </c>
      <c r="J662" s="6" t="str">
        <f t="shared" si="292"/>
        <v>INVALID_SHIPPING</v>
      </c>
      <c r="K662" s="1" t="s">
        <v>1521</v>
      </c>
      <c r="L662" s="1" t="s">
        <v>334</v>
      </c>
      <c r="M662" s="1" t="str">
        <f t="shared" si="271"/>
        <v>Kabir Singh</v>
      </c>
      <c r="N662" s="1" t="s">
        <v>40</v>
      </c>
      <c r="O662" s="1" t="str">
        <f t="shared" si="272"/>
        <v>Small Business</v>
      </c>
      <c r="P662" s="1" t="s">
        <v>41</v>
      </c>
      <c r="Q662" s="1" t="str">
        <f t="shared" si="273"/>
        <v>East</v>
      </c>
      <c r="R662" s="1" t="str">
        <f t="shared" si="274"/>
        <v>OK</v>
      </c>
      <c r="S662" s="1" t="s">
        <v>284</v>
      </c>
      <c r="T662" s="1" t="str">
        <f t="shared" si="275"/>
        <v>Jharkhand</v>
      </c>
      <c r="U662" s="1" t="s">
        <v>285</v>
      </c>
      <c r="V662" s="1" t="str">
        <f t="shared" si="276"/>
        <v>Ranchi</v>
      </c>
      <c r="W662" s="1" t="s">
        <v>29</v>
      </c>
      <c r="X662" s="1" t="str">
        <f t="shared" si="277"/>
        <v>Office Supplies</v>
      </c>
      <c r="Y662" s="1" t="s">
        <v>184</v>
      </c>
      <c r="Z662" s="1" t="str">
        <f t="shared" si="278"/>
        <v>Binders</v>
      </c>
      <c r="AA662" s="1" t="s">
        <v>1522</v>
      </c>
      <c r="AB662" s="1" t="s">
        <v>55</v>
      </c>
      <c r="AC662" s="1" t="str">
        <f t="shared" si="279"/>
        <v>First Class</v>
      </c>
      <c r="AD662" s="1" t="str">
        <f t="shared" si="280"/>
        <v>OK</v>
      </c>
      <c r="AE662" s="1">
        <v>8</v>
      </c>
      <c r="AF662" s="1">
        <v>1528.92</v>
      </c>
      <c r="AG662" s="9">
        <v>0</v>
      </c>
      <c r="AH662" s="9">
        <f t="shared" si="281"/>
        <v>0</v>
      </c>
      <c r="AI662" s="1" t="str">
        <f t="shared" si="282"/>
        <v>OK</v>
      </c>
      <c r="AJ662" s="1">
        <v>12231.36</v>
      </c>
      <c r="AK662" s="1">
        <v>8766.9</v>
      </c>
      <c r="AL662" s="1">
        <v>3464.46</v>
      </c>
      <c r="AM662" s="13">
        <f t="shared" si="283"/>
        <v>12231.36</v>
      </c>
      <c r="AN662" s="9">
        <f t="shared" si="284"/>
        <v>3464.4600000000009</v>
      </c>
      <c r="AO662" s="9">
        <f t="shared" si="293"/>
        <v>0.28324405462679547</v>
      </c>
      <c r="AP662" s="1" t="s">
        <v>33</v>
      </c>
      <c r="AQ662" s="1" t="str">
        <f t="shared" si="285"/>
        <v>Paid</v>
      </c>
      <c r="AR662" s="1" t="str">
        <f t="shared" si="286"/>
        <v>OK</v>
      </c>
      <c r="AS662" s="1" t="s">
        <v>34</v>
      </c>
      <c r="AT662" s="4" t="str">
        <f t="shared" si="287"/>
        <v>Completed</v>
      </c>
      <c r="AU662" s="3" t="str">
        <f t="shared" si="288"/>
        <v>OK</v>
      </c>
      <c r="AV662" s="3" t="str">
        <f t="shared" si="294"/>
        <v>INVALID</v>
      </c>
      <c r="AW662" t="str">
        <f t="shared" si="295"/>
        <v>MATCH</v>
      </c>
      <c r="AX662" t="str">
        <f t="shared" si="296"/>
        <v>MATCH</v>
      </c>
    </row>
    <row r="663" spans="1:50" ht="15.6">
      <c r="A663" s="1" t="s">
        <v>1523</v>
      </c>
      <c r="B663" s="1">
        <f t="shared" si="270"/>
        <v>1</v>
      </c>
      <c r="C663" s="16">
        <v>45726</v>
      </c>
      <c r="D663" s="16">
        <v>45726</v>
      </c>
      <c r="E663" s="16" t="str">
        <f t="shared" si="289"/>
        <v>Mar</v>
      </c>
      <c r="F663" s="1">
        <f t="shared" si="290"/>
        <v>2025</v>
      </c>
      <c r="G663" t="s">
        <v>2735</v>
      </c>
      <c r="H663" s="17">
        <v>45434</v>
      </c>
      <c r="I663" s="21">
        <f t="shared" si="291"/>
        <v>-292</v>
      </c>
      <c r="J663" s="6" t="str">
        <f t="shared" si="292"/>
        <v>INVALID_SHIPPING</v>
      </c>
      <c r="K663" s="1" t="s">
        <v>1524</v>
      </c>
      <c r="L663" s="1" t="s">
        <v>153</v>
      </c>
      <c r="M663" s="1" t="str">
        <f t="shared" si="271"/>
        <v>Aarav Sharma</v>
      </c>
      <c r="N663" s="1" t="s">
        <v>104</v>
      </c>
      <c r="O663" s="1" t="str">
        <f t="shared" si="272"/>
        <v>Corporate</v>
      </c>
      <c r="P663" s="1" t="s">
        <v>71</v>
      </c>
      <c r="Q663" s="1" t="str">
        <f t="shared" si="273"/>
        <v>West</v>
      </c>
      <c r="R663" s="1" t="str">
        <f t="shared" si="274"/>
        <v>OK</v>
      </c>
      <c r="S663" s="1" t="s">
        <v>81</v>
      </c>
      <c r="T663" s="1" t="str">
        <f t="shared" si="275"/>
        <v>Madhya Pradesh</v>
      </c>
      <c r="U663" s="1" t="s">
        <v>82</v>
      </c>
      <c r="V663" s="1" t="str">
        <f t="shared" si="276"/>
        <v>Indore</v>
      </c>
      <c r="W663" s="1" t="s">
        <v>83</v>
      </c>
      <c r="X663" s="1" t="str">
        <f t="shared" si="277"/>
        <v>Technology</v>
      </c>
      <c r="Y663" s="1" t="s">
        <v>347</v>
      </c>
      <c r="Z663" s="1" t="str">
        <f t="shared" si="278"/>
        <v>Machines</v>
      </c>
      <c r="AA663" s="1" t="s">
        <v>1525</v>
      </c>
      <c r="AB663" s="1" t="s">
        <v>47</v>
      </c>
      <c r="AC663" s="1" t="str">
        <f t="shared" si="279"/>
        <v>Same Day</v>
      </c>
      <c r="AD663" s="1" t="str">
        <f t="shared" si="280"/>
        <v>OK</v>
      </c>
      <c r="AE663" s="1">
        <v>9</v>
      </c>
      <c r="AF663" s="1">
        <v>3837</v>
      </c>
      <c r="AG663" s="9">
        <v>0.1</v>
      </c>
      <c r="AH663" s="9">
        <f t="shared" si="281"/>
        <v>0.1</v>
      </c>
      <c r="AI663" s="1" t="str">
        <f t="shared" si="282"/>
        <v>OK</v>
      </c>
      <c r="AJ663" s="1">
        <v>31079.7</v>
      </c>
      <c r="AK663" s="1">
        <v>17758.25</v>
      </c>
      <c r="AL663" s="1">
        <v>13321.45</v>
      </c>
      <c r="AM663" s="13">
        <f t="shared" si="283"/>
        <v>31079.7</v>
      </c>
      <c r="AN663" s="9">
        <f t="shared" si="284"/>
        <v>13321.45</v>
      </c>
      <c r="AO663" s="9">
        <f t="shared" si="293"/>
        <v>0.4286222196481948</v>
      </c>
      <c r="AP663" s="1" t="s">
        <v>33</v>
      </c>
      <c r="AQ663" s="1" t="str">
        <f t="shared" si="285"/>
        <v>Paid</v>
      </c>
      <c r="AR663" s="1" t="str">
        <f t="shared" si="286"/>
        <v>OK</v>
      </c>
      <c r="AS663" s="1" t="s">
        <v>34</v>
      </c>
      <c r="AT663" s="4" t="str">
        <f t="shared" si="287"/>
        <v>Completed</v>
      </c>
      <c r="AU663" s="3" t="str">
        <f t="shared" si="288"/>
        <v>OK</v>
      </c>
      <c r="AV663" s="3" t="str">
        <f t="shared" si="294"/>
        <v>INVALID</v>
      </c>
      <c r="AW663" t="str">
        <f t="shared" si="295"/>
        <v>MATCH</v>
      </c>
      <c r="AX663" t="str">
        <f t="shared" si="296"/>
        <v>MATCH</v>
      </c>
    </row>
    <row r="664" spans="1:50" ht="15.6">
      <c r="A664" s="1" t="s">
        <v>1534</v>
      </c>
      <c r="B664" s="1">
        <f t="shared" si="270"/>
        <v>1</v>
      </c>
      <c r="C664" s="16">
        <v>45860</v>
      </c>
      <c r="D664" s="16">
        <v>45860</v>
      </c>
      <c r="E664" s="16" t="str">
        <f t="shared" si="289"/>
        <v>Jul</v>
      </c>
      <c r="F664" s="1">
        <f t="shared" si="290"/>
        <v>2025</v>
      </c>
      <c r="G664" t="s">
        <v>2739</v>
      </c>
      <c r="H664" s="17">
        <v>45309</v>
      </c>
      <c r="I664" s="21">
        <f t="shared" si="291"/>
        <v>-551</v>
      </c>
      <c r="J664" s="6" t="str">
        <f t="shared" si="292"/>
        <v>INVALID_SHIPPING</v>
      </c>
      <c r="K664" s="1" t="s">
        <v>1536</v>
      </c>
      <c r="L664" s="1" t="s">
        <v>141</v>
      </c>
      <c r="M664" s="1" t="str">
        <f t="shared" si="271"/>
        <v>Rahul Verma</v>
      </c>
      <c r="N664" s="1" t="s">
        <v>104</v>
      </c>
      <c r="O664" s="1" t="str">
        <f t="shared" si="272"/>
        <v>Corporate</v>
      </c>
      <c r="P664" s="1" t="s">
        <v>60</v>
      </c>
      <c r="Q664" s="1" t="str">
        <f t="shared" si="273"/>
        <v>South</v>
      </c>
      <c r="R664" s="1" t="str">
        <f t="shared" si="274"/>
        <v>OK</v>
      </c>
      <c r="S664" s="1" t="s">
        <v>224</v>
      </c>
      <c r="T664" s="1" t="str">
        <f t="shared" si="275"/>
        <v>Kerala</v>
      </c>
      <c r="U664" s="1" t="s">
        <v>225</v>
      </c>
      <c r="V664" s="1" t="str">
        <f t="shared" si="276"/>
        <v>Kochi</v>
      </c>
      <c r="W664" s="1" t="s">
        <v>44</v>
      </c>
      <c r="X664" s="1" t="str">
        <f t="shared" si="277"/>
        <v>Furniture</v>
      </c>
      <c r="Y664" s="1" t="s">
        <v>74</v>
      </c>
      <c r="Z664" s="1" t="str">
        <f t="shared" si="278"/>
        <v>Chairs</v>
      </c>
      <c r="AA664" s="1" t="s">
        <v>1537</v>
      </c>
      <c r="AB664" s="1" t="s">
        <v>32</v>
      </c>
      <c r="AC664" s="1" t="str">
        <f t="shared" si="279"/>
        <v>Second Class</v>
      </c>
      <c r="AD664" s="1" t="str">
        <f t="shared" si="280"/>
        <v>OK</v>
      </c>
      <c r="AE664" s="1">
        <v>6</v>
      </c>
      <c r="AF664" s="1">
        <v>1607.46</v>
      </c>
      <c r="AG664" s="9">
        <v>0.2</v>
      </c>
      <c r="AH664" s="9">
        <f t="shared" si="281"/>
        <v>0.2</v>
      </c>
      <c r="AI664" s="1" t="str">
        <f t="shared" si="282"/>
        <v>OK</v>
      </c>
      <c r="AJ664" s="1">
        <v>7715.81</v>
      </c>
      <c r="AK664" s="1">
        <v>4258.42</v>
      </c>
      <c r="AL664" s="1">
        <v>3457.39</v>
      </c>
      <c r="AM664" s="13">
        <f t="shared" si="283"/>
        <v>7715.8080000000009</v>
      </c>
      <c r="AN664" s="9">
        <f t="shared" si="284"/>
        <v>3457.3880000000008</v>
      </c>
      <c r="AO664" s="9">
        <f t="shared" si="293"/>
        <v>0.4480915025360922</v>
      </c>
      <c r="AP664" s="1" t="s">
        <v>33</v>
      </c>
      <c r="AQ664" s="1" t="str">
        <f t="shared" si="285"/>
        <v>Paid</v>
      </c>
      <c r="AR664" s="1" t="str">
        <f t="shared" si="286"/>
        <v>OK</v>
      </c>
      <c r="AS664" s="1" t="s">
        <v>34</v>
      </c>
      <c r="AT664" s="4" t="str">
        <f t="shared" si="287"/>
        <v>Completed</v>
      </c>
      <c r="AU664" s="3" t="str">
        <f t="shared" si="288"/>
        <v>OK</v>
      </c>
      <c r="AV664" s="3" t="str">
        <f t="shared" si="294"/>
        <v>INVALID</v>
      </c>
      <c r="AW664" t="str">
        <f t="shared" si="295"/>
        <v>MATCH</v>
      </c>
      <c r="AX664" t="str">
        <f t="shared" si="296"/>
        <v>MATCH</v>
      </c>
    </row>
    <row r="665" spans="1:50" ht="15.6">
      <c r="A665" s="1" t="s">
        <v>1546</v>
      </c>
      <c r="B665" s="1">
        <f t="shared" si="270"/>
        <v>1</v>
      </c>
      <c r="C665" s="16">
        <v>45927</v>
      </c>
      <c r="D665" s="16">
        <v>45927</v>
      </c>
      <c r="E665" s="16" t="str">
        <f t="shared" si="289"/>
        <v>Sep</v>
      </c>
      <c r="F665" s="1">
        <f t="shared" si="290"/>
        <v>2025</v>
      </c>
      <c r="G665" t="s">
        <v>2351</v>
      </c>
      <c r="H665" s="17">
        <v>45420</v>
      </c>
      <c r="I665" s="21">
        <f t="shared" si="291"/>
        <v>-507</v>
      </c>
      <c r="J665" s="6" t="str">
        <f t="shared" si="292"/>
        <v>INVALID_SHIPPING</v>
      </c>
      <c r="K665" s="1" t="s">
        <v>1547</v>
      </c>
      <c r="L665" s="1" t="s">
        <v>334</v>
      </c>
      <c r="M665" s="1" t="str">
        <f t="shared" si="271"/>
        <v>Kabir Singh</v>
      </c>
      <c r="N665" s="1" t="s">
        <v>110</v>
      </c>
      <c r="O665" s="1" t="str">
        <f t="shared" si="272"/>
        <v>Home Office</v>
      </c>
      <c r="P665" s="1" t="s">
        <v>41</v>
      </c>
      <c r="Q665" s="1" t="str">
        <f t="shared" si="273"/>
        <v>East</v>
      </c>
      <c r="R665" s="1" t="str">
        <f t="shared" si="274"/>
        <v>OK</v>
      </c>
      <c r="S665" s="1" t="s">
        <v>284</v>
      </c>
      <c r="T665" s="1" t="str">
        <f t="shared" si="275"/>
        <v>Jharkhand</v>
      </c>
      <c r="U665" s="1" t="s">
        <v>285</v>
      </c>
      <c r="V665" s="1" t="str">
        <f t="shared" si="276"/>
        <v>Ranchi</v>
      </c>
      <c r="W665" s="1" t="s">
        <v>44</v>
      </c>
      <c r="X665" s="1" t="str">
        <f t="shared" si="277"/>
        <v>Furniture</v>
      </c>
      <c r="Y665" s="1" t="s">
        <v>63</v>
      </c>
      <c r="Z665" s="1" t="str">
        <f t="shared" si="278"/>
        <v>Furnishings</v>
      </c>
      <c r="AA665" s="1" t="s">
        <v>1548</v>
      </c>
      <c r="AB665" s="1" t="s">
        <v>32</v>
      </c>
      <c r="AC665" s="1" t="str">
        <f t="shared" si="279"/>
        <v>Second Class</v>
      </c>
      <c r="AD665" s="1" t="str">
        <f t="shared" si="280"/>
        <v>OK</v>
      </c>
      <c r="AE665" s="1">
        <v>9</v>
      </c>
      <c r="AF665" s="1">
        <v>2867.55</v>
      </c>
      <c r="AG665" s="9">
        <v>0.25</v>
      </c>
      <c r="AH665" s="9">
        <f t="shared" si="281"/>
        <v>0.25</v>
      </c>
      <c r="AI665" s="1" t="str">
        <f t="shared" si="282"/>
        <v>OK</v>
      </c>
      <c r="AJ665" s="1">
        <v>19355.96</v>
      </c>
      <c r="AK665" s="1">
        <v>15012.45</v>
      </c>
      <c r="AL665" s="1">
        <v>4017.4</v>
      </c>
      <c r="AM665" s="13">
        <f t="shared" si="283"/>
        <v>19355.962500000001</v>
      </c>
      <c r="AN665" s="9">
        <f t="shared" si="284"/>
        <v>4343.5125000000007</v>
      </c>
      <c r="AO665" s="9">
        <f t="shared" si="293"/>
        <v>0.22440178317146461</v>
      </c>
      <c r="AP665" s="1" t="s">
        <v>33</v>
      </c>
      <c r="AQ665" s="1" t="str">
        <f t="shared" si="285"/>
        <v>Paid</v>
      </c>
      <c r="AR665" s="1" t="str">
        <f t="shared" si="286"/>
        <v>OK</v>
      </c>
      <c r="AS665" s="1" t="s">
        <v>34</v>
      </c>
      <c r="AT665" s="4" t="str">
        <f t="shared" si="287"/>
        <v>Completed</v>
      </c>
      <c r="AU665" s="3" t="str">
        <f t="shared" si="288"/>
        <v>OK</v>
      </c>
      <c r="AV665" s="3" t="str">
        <f t="shared" si="294"/>
        <v>INVALID</v>
      </c>
      <c r="AW665" t="str">
        <f t="shared" si="295"/>
        <v>MATCH</v>
      </c>
      <c r="AX665" t="str">
        <f t="shared" si="296"/>
        <v>MISMATCH</v>
      </c>
    </row>
    <row r="666" spans="1:50" ht="15.6">
      <c r="A666" s="1" t="s">
        <v>1554</v>
      </c>
      <c r="B666" s="1">
        <f t="shared" si="270"/>
        <v>1</v>
      </c>
      <c r="C666" s="16">
        <v>45800</v>
      </c>
      <c r="D666" s="16">
        <v>45800</v>
      </c>
      <c r="E666" s="16" t="str">
        <f t="shared" si="289"/>
        <v>May</v>
      </c>
      <c r="F666" s="1">
        <f t="shared" si="290"/>
        <v>2025</v>
      </c>
      <c r="G666" t="s">
        <v>2746</v>
      </c>
      <c r="H666" s="17">
        <v>45636</v>
      </c>
      <c r="I666" s="21">
        <f t="shared" si="291"/>
        <v>-164</v>
      </c>
      <c r="J666" s="6" t="str">
        <f t="shared" si="292"/>
        <v>INVALID_SHIPPING</v>
      </c>
      <c r="K666" s="1" t="s">
        <v>1555</v>
      </c>
      <c r="L666" s="1" t="s">
        <v>80</v>
      </c>
      <c r="M666" s="1" t="str">
        <f t="shared" si="271"/>
        <v>Vikram Iyer</v>
      </c>
      <c r="N666" s="1" t="s">
        <v>40</v>
      </c>
      <c r="O666" s="1" t="str">
        <f t="shared" si="272"/>
        <v>Small Business</v>
      </c>
      <c r="P666" s="1" t="s">
        <v>60</v>
      </c>
      <c r="Q666" s="1" t="str">
        <f t="shared" si="273"/>
        <v>South</v>
      </c>
      <c r="R666" s="1" t="str">
        <f t="shared" si="274"/>
        <v>OK</v>
      </c>
      <c r="S666" s="1" t="s">
        <v>61</v>
      </c>
      <c r="T666" s="1" t="str">
        <f t="shared" si="275"/>
        <v>Telangana</v>
      </c>
      <c r="U666" s="1" t="s">
        <v>62</v>
      </c>
      <c r="V666" s="1" t="str">
        <f t="shared" si="276"/>
        <v>Hyderabad</v>
      </c>
      <c r="W666" s="1" t="s">
        <v>29</v>
      </c>
      <c r="X666" s="1" t="str">
        <f t="shared" si="277"/>
        <v>Office Supplies</v>
      </c>
      <c r="Y666" s="1" t="s">
        <v>148</v>
      </c>
      <c r="Z666" s="1" t="str">
        <f t="shared" si="278"/>
        <v>Storage</v>
      </c>
      <c r="AA666" s="1" t="s">
        <v>1556</v>
      </c>
      <c r="AB666" s="1" t="s">
        <v>55</v>
      </c>
      <c r="AC666" s="1" t="str">
        <f t="shared" si="279"/>
        <v>First Class</v>
      </c>
      <c r="AD666" s="1" t="str">
        <f t="shared" si="280"/>
        <v>OK</v>
      </c>
      <c r="AE666" s="1">
        <v>6</v>
      </c>
      <c r="AF666" s="1">
        <v>719.44</v>
      </c>
      <c r="AG666" s="9">
        <v>0.25</v>
      </c>
      <c r="AH666" s="9">
        <f t="shared" si="281"/>
        <v>0.25</v>
      </c>
      <c r="AI666" s="1" t="str">
        <f t="shared" si="282"/>
        <v>OK</v>
      </c>
      <c r="AJ666" s="1">
        <v>3237.48</v>
      </c>
      <c r="AK666" s="1">
        <v>2118.34</v>
      </c>
      <c r="AL666" s="1">
        <v>1119.1400000000001</v>
      </c>
      <c r="AM666" s="13">
        <f t="shared" si="283"/>
        <v>3237.4800000000005</v>
      </c>
      <c r="AN666" s="9">
        <f t="shared" si="284"/>
        <v>1119.1400000000003</v>
      </c>
      <c r="AO666" s="9">
        <f t="shared" si="293"/>
        <v>0.34568244437031276</v>
      </c>
      <c r="AP666" s="1" t="s">
        <v>131</v>
      </c>
      <c r="AQ666" s="1" t="str">
        <f t="shared" si="285"/>
        <v>Pending</v>
      </c>
      <c r="AR666" s="1" t="str">
        <f t="shared" si="286"/>
        <v>OK</v>
      </c>
      <c r="AS666" s="1" t="s">
        <v>76</v>
      </c>
      <c r="AT666" s="4" t="str">
        <f t="shared" si="287"/>
        <v>Cancelled</v>
      </c>
      <c r="AU666" s="3" t="str">
        <f t="shared" si="288"/>
        <v>EXCLUDE_FROM_SALES</v>
      </c>
      <c r="AV666" s="3" t="str">
        <f t="shared" si="294"/>
        <v>INVALID</v>
      </c>
      <c r="AW666" t="str">
        <f t="shared" si="295"/>
        <v>MATCH</v>
      </c>
      <c r="AX666" t="str">
        <f t="shared" si="296"/>
        <v>MATCH</v>
      </c>
    </row>
    <row r="667" spans="1:50" ht="15.6">
      <c r="A667" s="1" t="s">
        <v>1557</v>
      </c>
      <c r="B667" s="1">
        <f t="shared" si="270"/>
        <v>1</v>
      </c>
      <c r="C667" s="16">
        <v>45884</v>
      </c>
      <c r="D667" s="16">
        <v>45884</v>
      </c>
      <c r="E667" s="16" t="str">
        <f t="shared" si="289"/>
        <v>Aug</v>
      </c>
      <c r="F667" s="1">
        <f t="shared" si="290"/>
        <v>2025</v>
      </c>
      <c r="G667" t="s">
        <v>2750</v>
      </c>
      <c r="H667" s="17">
        <v>45670</v>
      </c>
      <c r="I667" s="21">
        <f t="shared" si="291"/>
        <v>-214</v>
      </c>
      <c r="J667" s="6" t="str">
        <f t="shared" si="292"/>
        <v>INVALID_SHIPPING</v>
      </c>
      <c r="K667" s="1" t="s">
        <v>1558</v>
      </c>
      <c r="L667" s="1" t="s">
        <v>196</v>
      </c>
      <c r="M667" s="1" t="str">
        <f t="shared" si="271"/>
        <v>Diya Patel</v>
      </c>
      <c r="N667" s="1" t="s">
        <v>40</v>
      </c>
      <c r="O667" s="1" t="str">
        <f t="shared" si="272"/>
        <v>Small Business</v>
      </c>
      <c r="P667" s="1" t="s">
        <v>41</v>
      </c>
      <c r="Q667" s="1" t="str">
        <f t="shared" si="273"/>
        <v>East</v>
      </c>
      <c r="R667" s="1" t="str">
        <f t="shared" si="274"/>
        <v>OK</v>
      </c>
      <c r="S667" s="1" t="s">
        <v>201</v>
      </c>
      <c r="T667" s="1" t="str">
        <f t="shared" si="275"/>
        <v>Assam</v>
      </c>
      <c r="U667" s="1" t="s">
        <v>202</v>
      </c>
      <c r="V667" s="1" t="str">
        <f t="shared" si="276"/>
        <v>Guwahati</v>
      </c>
      <c r="W667" s="1" t="s">
        <v>83</v>
      </c>
      <c r="X667" s="1" t="str">
        <f t="shared" si="277"/>
        <v>Technology</v>
      </c>
      <c r="Y667" s="1" t="s">
        <v>91</v>
      </c>
      <c r="Z667" s="1" t="str">
        <f t="shared" si="278"/>
        <v>Copiers</v>
      </c>
      <c r="AA667" s="1" t="s">
        <v>1559</v>
      </c>
      <c r="AB667" s="1" t="s">
        <v>55</v>
      </c>
      <c r="AC667" s="1" t="str">
        <f t="shared" si="279"/>
        <v>First Class</v>
      </c>
      <c r="AD667" s="1" t="str">
        <f t="shared" si="280"/>
        <v>OK</v>
      </c>
      <c r="AE667" s="1">
        <v>5</v>
      </c>
      <c r="AF667" s="1">
        <v>2862.6</v>
      </c>
      <c r="AG667" s="9">
        <v>0.25</v>
      </c>
      <c r="AH667" s="9">
        <f t="shared" si="281"/>
        <v>0.25</v>
      </c>
      <c r="AI667" s="1" t="str">
        <f t="shared" si="282"/>
        <v>OK</v>
      </c>
      <c r="AJ667" s="1">
        <v>10734.75</v>
      </c>
      <c r="AK667" s="1">
        <v>6475.73</v>
      </c>
      <c r="AL667" s="1">
        <v>4259.0200000000004</v>
      </c>
      <c r="AM667" s="13">
        <f t="shared" si="283"/>
        <v>10734.75</v>
      </c>
      <c r="AN667" s="9">
        <f t="shared" si="284"/>
        <v>4259.0200000000004</v>
      </c>
      <c r="AO667" s="9">
        <f t="shared" si="293"/>
        <v>0.39675073942103917</v>
      </c>
      <c r="AP667" s="1" t="s">
        <v>33</v>
      </c>
      <c r="AQ667" s="1" t="str">
        <f t="shared" si="285"/>
        <v>Paid</v>
      </c>
      <c r="AR667" s="1" t="str">
        <f t="shared" si="286"/>
        <v>OK</v>
      </c>
      <c r="AS667" s="1" t="s">
        <v>34</v>
      </c>
      <c r="AT667" s="4" t="str">
        <f t="shared" si="287"/>
        <v>Completed</v>
      </c>
      <c r="AU667" s="3" t="str">
        <f t="shared" si="288"/>
        <v>OK</v>
      </c>
      <c r="AV667" s="3" t="str">
        <f t="shared" si="294"/>
        <v>INVALID</v>
      </c>
      <c r="AW667" t="str">
        <f t="shared" si="295"/>
        <v>MATCH</v>
      </c>
      <c r="AX667" t="str">
        <f t="shared" si="296"/>
        <v>MATCH</v>
      </c>
    </row>
    <row r="668" spans="1:50" ht="15.6">
      <c r="A668" s="1" t="s">
        <v>1560</v>
      </c>
      <c r="B668" s="1">
        <f t="shared" si="270"/>
        <v>1</v>
      </c>
      <c r="C668" s="16">
        <v>45709</v>
      </c>
      <c r="D668" s="16">
        <v>45709</v>
      </c>
      <c r="E668" s="16" t="str">
        <f t="shared" si="289"/>
        <v>Feb</v>
      </c>
      <c r="F668" s="1">
        <f t="shared" si="290"/>
        <v>2025</v>
      </c>
      <c r="G668" t="s">
        <v>1843</v>
      </c>
      <c r="H668" s="17">
        <v>45469</v>
      </c>
      <c r="I668" s="21">
        <f t="shared" si="291"/>
        <v>-240</v>
      </c>
      <c r="J668" s="6" t="str">
        <f t="shared" si="292"/>
        <v>INVALID_SHIPPING</v>
      </c>
      <c r="K668" s="1" t="s">
        <v>1562</v>
      </c>
      <c r="L668" s="1" t="s">
        <v>70</v>
      </c>
      <c r="M668" s="1" t="str">
        <f t="shared" si="271"/>
        <v>Ananya Rao</v>
      </c>
      <c r="N668" s="1" t="s">
        <v>25</v>
      </c>
      <c r="O668" s="1" t="str">
        <f t="shared" si="272"/>
        <v>Consumer</v>
      </c>
      <c r="P668" s="1" t="s">
        <v>26</v>
      </c>
      <c r="Q668" s="1" t="str">
        <f t="shared" si="273"/>
        <v>North</v>
      </c>
      <c r="R668" s="1" t="str">
        <f t="shared" si="274"/>
        <v>OK</v>
      </c>
      <c r="S668" s="1" t="s">
        <v>27</v>
      </c>
      <c r="T668" s="1" t="str">
        <f t="shared" si="275"/>
        <v>Rajasthan</v>
      </c>
      <c r="U668" s="1" t="s">
        <v>28</v>
      </c>
      <c r="V668" s="1" t="str">
        <f t="shared" si="276"/>
        <v>Jaipur</v>
      </c>
      <c r="W668" s="1" t="s">
        <v>29</v>
      </c>
      <c r="X668" s="1" t="str">
        <f t="shared" si="277"/>
        <v>Office Supplies</v>
      </c>
      <c r="Y668" s="1" t="s">
        <v>53</v>
      </c>
      <c r="Z668" s="1" t="str">
        <f t="shared" si="278"/>
        <v>Art</v>
      </c>
      <c r="AA668" s="1" t="s">
        <v>1563</v>
      </c>
      <c r="AB668" s="1" t="s">
        <v>47</v>
      </c>
      <c r="AC668" s="1" t="str">
        <f t="shared" si="279"/>
        <v>Same Day</v>
      </c>
      <c r="AD668" s="1" t="str">
        <f t="shared" si="280"/>
        <v>OK</v>
      </c>
      <c r="AE668" s="1">
        <v>9</v>
      </c>
      <c r="AF668" s="1">
        <v>1431.67</v>
      </c>
      <c r="AG668" s="9">
        <v>0.2</v>
      </c>
      <c r="AH668" s="9">
        <f t="shared" si="281"/>
        <v>0.2</v>
      </c>
      <c r="AI668" s="1" t="str">
        <f t="shared" si="282"/>
        <v>OK</v>
      </c>
      <c r="AJ668" s="1">
        <v>10308.02</v>
      </c>
      <c r="AK668" s="1">
        <v>5822.31</v>
      </c>
      <c r="AL668" s="1">
        <v>4485.71</v>
      </c>
      <c r="AM668" s="13">
        <f t="shared" si="283"/>
        <v>10308.024000000001</v>
      </c>
      <c r="AN668" s="9">
        <f t="shared" si="284"/>
        <v>4485.7140000000009</v>
      </c>
      <c r="AO668" s="9">
        <f t="shared" si="293"/>
        <v>0.4351672056642476</v>
      </c>
      <c r="AP668" s="1" t="s">
        <v>33</v>
      </c>
      <c r="AQ668" s="1" t="str">
        <f t="shared" si="285"/>
        <v>Paid</v>
      </c>
      <c r="AR668" s="1" t="str">
        <f t="shared" si="286"/>
        <v>OK</v>
      </c>
      <c r="AS668" s="1" t="s">
        <v>34</v>
      </c>
      <c r="AT668" s="4" t="str">
        <f t="shared" si="287"/>
        <v>Completed</v>
      </c>
      <c r="AU668" s="3" t="str">
        <f t="shared" si="288"/>
        <v>OK</v>
      </c>
      <c r="AV668" s="3" t="str">
        <f t="shared" si="294"/>
        <v>INVALID</v>
      </c>
      <c r="AW668" t="str">
        <f t="shared" si="295"/>
        <v>MATCH</v>
      </c>
      <c r="AX668" t="str">
        <f t="shared" si="296"/>
        <v>MATCH</v>
      </c>
    </row>
    <row r="669" spans="1:50" ht="15.6">
      <c r="A669" s="1" t="s">
        <v>1574</v>
      </c>
      <c r="B669" s="1">
        <f t="shared" si="270"/>
        <v>1</v>
      </c>
      <c r="C669" s="16">
        <v>45835</v>
      </c>
      <c r="D669" s="16">
        <v>45835</v>
      </c>
      <c r="E669" s="16" t="str">
        <f t="shared" si="289"/>
        <v>Jun</v>
      </c>
      <c r="F669" s="1">
        <f t="shared" si="290"/>
        <v>2025</v>
      </c>
      <c r="G669" t="s">
        <v>2757</v>
      </c>
      <c r="H669" s="17">
        <v>45804</v>
      </c>
      <c r="I669" s="21">
        <f t="shared" si="291"/>
        <v>-31</v>
      </c>
      <c r="J669" s="6" t="str">
        <f t="shared" si="292"/>
        <v>INVALID_SHIPPING</v>
      </c>
      <c r="K669" s="1" t="s">
        <v>1576</v>
      </c>
      <c r="L669" s="1" t="s">
        <v>169</v>
      </c>
      <c r="M669" s="1" t="str">
        <f t="shared" si="271"/>
        <v>Rohan Mehta</v>
      </c>
      <c r="N669" s="1" t="s">
        <v>110</v>
      </c>
      <c r="O669" s="1" t="str">
        <f t="shared" si="272"/>
        <v>Home Office</v>
      </c>
      <c r="P669" s="1" t="s">
        <v>60</v>
      </c>
      <c r="Q669" s="1" t="str">
        <f t="shared" si="273"/>
        <v>South</v>
      </c>
      <c r="R669" s="1" t="str">
        <f t="shared" si="274"/>
        <v>OK</v>
      </c>
      <c r="S669" s="1" t="s">
        <v>61</v>
      </c>
      <c r="T669" s="1" t="str">
        <f t="shared" si="275"/>
        <v>Telangana</v>
      </c>
      <c r="U669" s="1" t="s">
        <v>62</v>
      </c>
      <c r="V669" s="1" t="str">
        <f t="shared" si="276"/>
        <v>Hyderabad</v>
      </c>
      <c r="W669" s="1" t="s">
        <v>44</v>
      </c>
      <c r="X669" s="1" t="str">
        <f t="shared" si="277"/>
        <v>Furniture</v>
      </c>
      <c r="Y669" s="1" t="s">
        <v>74</v>
      </c>
      <c r="Z669" s="1" t="str">
        <f t="shared" si="278"/>
        <v>Chairs</v>
      </c>
      <c r="AA669" s="1" t="s">
        <v>1577</v>
      </c>
      <c r="AB669" s="1" t="s">
        <v>55</v>
      </c>
      <c r="AC669" s="1" t="str">
        <f t="shared" si="279"/>
        <v>First Class</v>
      </c>
      <c r="AD669" s="1" t="str">
        <f t="shared" si="280"/>
        <v>OK</v>
      </c>
      <c r="AE669" s="1">
        <v>5</v>
      </c>
      <c r="AF669" s="1">
        <v>621.70000000000005</v>
      </c>
      <c r="AG669" s="9">
        <v>0.2</v>
      </c>
      <c r="AH669" s="9">
        <f t="shared" si="281"/>
        <v>0.2</v>
      </c>
      <c r="AI669" s="1" t="str">
        <f t="shared" si="282"/>
        <v>OK</v>
      </c>
      <c r="AJ669" s="1">
        <v>2486.8000000000002</v>
      </c>
      <c r="AK669" s="1">
        <v>2131.73</v>
      </c>
      <c r="AL669" s="1">
        <v>355.07</v>
      </c>
      <c r="AM669" s="13">
        <f t="shared" si="283"/>
        <v>2486.8000000000002</v>
      </c>
      <c r="AN669" s="9">
        <f t="shared" si="284"/>
        <v>355.07000000000016</v>
      </c>
      <c r="AO669" s="9">
        <f t="shared" si="293"/>
        <v>0.1427818883705968</v>
      </c>
      <c r="AP669" s="1" t="s">
        <v>131</v>
      </c>
      <c r="AQ669" s="1" t="str">
        <f t="shared" si="285"/>
        <v>Pending</v>
      </c>
      <c r="AR669" s="1" t="str">
        <f t="shared" si="286"/>
        <v>OK</v>
      </c>
      <c r="AS669" s="1" t="s">
        <v>120</v>
      </c>
      <c r="AT669" s="4" t="str">
        <f t="shared" si="287"/>
        <v>Returned</v>
      </c>
      <c r="AU669" s="3" t="str">
        <f t="shared" si="288"/>
        <v>RETURNED_ORDER</v>
      </c>
      <c r="AV669" s="3" t="str">
        <f t="shared" si="294"/>
        <v>INVALID</v>
      </c>
      <c r="AW669" t="str">
        <f t="shared" si="295"/>
        <v>MATCH</v>
      </c>
      <c r="AX669" t="str">
        <f t="shared" si="296"/>
        <v>MATCH</v>
      </c>
    </row>
    <row r="670" spans="1:50" ht="15.6">
      <c r="A670" s="1" t="s">
        <v>1578</v>
      </c>
      <c r="B670" s="1">
        <f t="shared" si="270"/>
        <v>1</v>
      </c>
      <c r="C670" s="16">
        <v>45678</v>
      </c>
      <c r="D670" s="16">
        <v>45678</v>
      </c>
      <c r="E670" s="16" t="str">
        <f t="shared" si="289"/>
        <v>Jan</v>
      </c>
      <c r="F670" s="1">
        <f t="shared" si="290"/>
        <v>2025</v>
      </c>
      <c r="G670" t="s">
        <v>205</v>
      </c>
      <c r="H670" s="17">
        <v>45619</v>
      </c>
      <c r="I670" s="21">
        <f t="shared" si="291"/>
        <v>-59</v>
      </c>
      <c r="J670" s="6" t="str">
        <f t="shared" si="292"/>
        <v>INVALID_SHIPPING</v>
      </c>
      <c r="K670" s="1" t="s">
        <v>1580</v>
      </c>
      <c r="L670" s="1" t="s">
        <v>39</v>
      </c>
      <c r="M670" s="1" t="str">
        <f t="shared" si="271"/>
        <v>Mira Das</v>
      </c>
      <c r="N670" s="1" t="s">
        <v>110</v>
      </c>
      <c r="O670" s="1" t="str">
        <f t="shared" si="272"/>
        <v>Home Office</v>
      </c>
      <c r="P670" s="1" t="s">
        <v>60</v>
      </c>
      <c r="Q670" s="1" t="str">
        <f t="shared" si="273"/>
        <v>South</v>
      </c>
      <c r="R670" s="1" t="str">
        <f t="shared" si="274"/>
        <v>OK</v>
      </c>
      <c r="S670" s="1" t="s">
        <v>97</v>
      </c>
      <c r="T670" s="1" t="str">
        <f t="shared" si="275"/>
        <v>Andhra Pradesh</v>
      </c>
      <c r="U670" s="1" t="s">
        <v>98</v>
      </c>
      <c r="V670" s="1" t="str">
        <f t="shared" si="276"/>
        <v>Vijayawada</v>
      </c>
      <c r="W670" s="1" t="s">
        <v>83</v>
      </c>
      <c r="X670" s="1" t="str">
        <f t="shared" si="277"/>
        <v>Technology</v>
      </c>
      <c r="Y670" s="1" t="s">
        <v>347</v>
      </c>
      <c r="Z670" s="1" t="str">
        <f t="shared" si="278"/>
        <v>Machines</v>
      </c>
      <c r="AA670" s="1" t="s">
        <v>1581</v>
      </c>
      <c r="AB670" s="1" t="s">
        <v>32</v>
      </c>
      <c r="AC670" s="1" t="str">
        <f t="shared" si="279"/>
        <v>Second Class</v>
      </c>
      <c r="AD670" s="1" t="str">
        <f t="shared" si="280"/>
        <v>OK</v>
      </c>
      <c r="AE670" s="1">
        <v>8</v>
      </c>
      <c r="AF670" s="1">
        <v>546.13</v>
      </c>
      <c r="AG670" s="9">
        <v>0</v>
      </c>
      <c r="AH670" s="9">
        <f t="shared" si="281"/>
        <v>0</v>
      </c>
      <c r="AI670" s="1" t="str">
        <f t="shared" si="282"/>
        <v>OK</v>
      </c>
      <c r="AJ670" s="1">
        <v>4369.04</v>
      </c>
      <c r="AK670" s="1">
        <v>3716.88</v>
      </c>
      <c r="AL670" s="1">
        <v>652.16</v>
      </c>
      <c r="AM670" s="13">
        <f t="shared" si="283"/>
        <v>4369.04</v>
      </c>
      <c r="AN670" s="9">
        <f t="shared" si="284"/>
        <v>652.15999999999985</v>
      </c>
      <c r="AO670" s="9">
        <f t="shared" si="293"/>
        <v>0.14926848918755603</v>
      </c>
      <c r="AP670" s="1" t="s">
        <v>33</v>
      </c>
      <c r="AQ670" s="1" t="str">
        <f t="shared" si="285"/>
        <v>Paid</v>
      </c>
      <c r="AR670" s="1" t="str">
        <f t="shared" si="286"/>
        <v>OK</v>
      </c>
      <c r="AS670" s="1" t="s">
        <v>76</v>
      </c>
      <c r="AT670" s="4" t="str">
        <f t="shared" si="287"/>
        <v>Cancelled</v>
      </c>
      <c r="AU670" s="3" t="str">
        <f t="shared" si="288"/>
        <v>EXCLUDE_FROM_SALES</v>
      </c>
      <c r="AV670" s="3" t="str">
        <f t="shared" si="294"/>
        <v>INVALID</v>
      </c>
      <c r="AW670" t="str">
        <f t="shared" si="295"/>
        <v>MATCH</v>
      </c>
      <c r="AX670" t="str">
        <f t="shared" si="296"/>
        <v>MATCH</v>
      </c>
    </row>
    <row r="671" spans="1:50" ht="15.6">
      <c r="A671" s="1" t="s">
        <v>1582</v>
      </c>
      <c r="B671" s="1">
        <f t="shared" si="270"/>
        <v>1</v>
      </c>
      <c r="C671" s="16">
        <v>45908</v>
      </c>
      <c r="D671" s="16">
        <v>45908</v>
      </c>
      <c r="E671" s="16" t="str">
        <f t="shared" si="289"/>
        <v>Sep</v>
      </c>
      <c r="F671" s="1">
        <f t="shared" si="290"/>
        <v>2025</v>
      </c>
      <c r="G671" t="s">
        <v>2764</v>
      </c>
      <c r="H671" s="17">
        <v>45383</v>
      </c>
      <c r="I671" s="21">
        <f t="shared" si="291"/>
        <v>-525</v>
      </c>
      <c r="J671" s="6" t="str">
        <f t="shared" si="292"/>
        <v>INVALID_SHIPPING</v>
      </c>
      <c r="K671" s="1" t="s">
        <v>1584</v>
      </c>
      <c r="L671" s="1" t="s">
        <v>80</v>
      </c>
      <c r="M671" s="1" t="str">
        <f t="shared" si="271"/>
        <v>Vikram Iyer</v>
      </c>
      <c r="N671" s="1" t="s">
        <v>110</v>
      </c>
      <c r="O671" s="1" t="str">
        <f t="shared" si="272"/>
        <v>Home Office</v>
      </c>
      <c r="P671" s="1" t="s">
        <v>71</v>
      </c>
      <c r="Q671" s="1" t="str">
        <f t="shared" si="273"/>
        <v>West</v>
      </c>
      <c r="R671" s="1" t="str">
        <f t="shared" si="274"/>
        <v>OK</v>
      </c>
      <c r="S671" s="1" t="s">
        <v>218</v>
      </c>
      <c r="T671" s="1" t="str">
        <f t="shared" si="275"/>
        <v>Gujarat</v>
      </c>
      <c r="U671" s="1" t="s">
        <v>219</v>
      </c>
      <c r="V671" s="1" t="str">
        <f t="shared" si="276"/>
        <v>Ahmedabad</v>
      </c>
      <c r="W671" s="1" t="s">
        <v>44</v>
      </c>
      <c r="X671" s="1" t="str">
        <f t="shared" si="277"/>
        <v>Furniture</v>
      </c>
      <c r="Y671" s="1" t="s">
        <v>190</v>
      </c>
      <c r="Z671" s="1" t="str">
        <f t="shared" si="278"/>
        <v>Bookcases</v>
      </c>
      <c r="AA671" s="1" t="s">
        <v>1585</v>
      </c>
      <c r="AB671" s="1" t="s">
        <v>32</v>
      </c>
      <c r="AC671" s="1" t="str">
        <f t="shared" si="279"/>
        <v>Second Class</v>
      </c>
      <c r="AD671" s="1" t="str">
        <f t="shared" si="280"/>
        <v>OK</v>
      </c>
      <c r="AE671" s="1">
        <v>5</v>
      </c>
      <c r="AF671" s="1">
        <v>1253.92</v>
      </c>
      <c r="AG671" s="9">
        <v>0.05</v>
      </c>
      <c r="AH671" s="9">
        <f t="shared" si="281"/>
        <v>0.05</v>
      </c>
      <c r="AI671" s="1" t="str">
        <f t="shared" si="282"/>
        <v>OK</v>
      </c>
      <c r="AJ671" s="1">
        <v>5956.12</v>
      </c>
      <c r="AK671" s="1">
        <v>4379.18</v>
      </c>
      <c r="AL671" s="1">
        <v>1576.94</v>
      </c>
      <c r="AM671" s="13">
        <f t="shared" si="283"/>
        <v>5956.12</v>
      </c>
      <c r="AN671" s="9">
        <f t="shared" si="284"/>
        <v>1576.9399999999996</v>
      </c>
      <c r="AO671" s="9">
        <f t="shared" si="293"/>
        <v>0.26475960860425907</v>
      </c>
      <c r="AP671" s="1" t="s">
        <v>131</v>
      </c>
      <c r="AQ671" s="1" t="str">
        <f t="shared" si="285"/>
        <v>Pending</v>
      </c>
      <c r="AR671" s="1" t="str">
        <f t="shared" si="286"/>
        <v>OK</v>
      </c>
      <c r="AS671" s="1" t="s">
        <v>120</v>
      </c>
      <c r="AT671" s="4" t="str">
        <f t="shared" si="287"/>
        <v>Returned</v>
      </c>
      <c r="AU671" s="3" t="str">
        <f t="shared" si="288"/>
        <v>RETURNED_ORDER</v>
      </c>
      <c r="AV671" s="3" t="str">
        <f t="shared" si="294"/>
        <v>INVALID</v>
      </c>
      <c r="AW671" t="str">
        <f t="shared" si="295"/>
        <v>MATCH</v>
      </c>
      <c r="AX671" t="str">
        <f t="shared" si="296"/>
        <v>MATCH</v>
      </c>
    </row>
    <row r="672" spans="1:50" ht="15.6">
      <c r="A672" s="1" t="s">
        <v>1594</v>
      </c>
      <c r="B672" s="1">
        <f t="shared" si="270"/>
        <v>1</v>
      </c>
      <c r="C672" s="16">
        <v>45748</v>
      </c>
      <c r="D672" s="16">
        <v>45748</v>
      </c>
      <c r="E672" s="16" t="str">
        <f t="shared" si="289"/>
        <v>Apr</v>
      </c>
      <c r="F672" s="1">
        <f t="shared" si="290"/>
        <v>2025</v>
      </c>
      <c r="G672" t="s">
        <v>2595</v>
      </c>
      <c r="H672" s="17">
        <v>45694</v>
      </c>
      <c r="I672" s="21">
        <f t="shared" si="291"/>
        <v>-54</v>
      </c>
      <c r="J672" s="6" t="str">
        <f t="shared" si="292"/>
        <v>INVALID_SHIPPING</v>
      </c>
      <c r="K672" s="1" t="s">
        <v>1596</v>
      </c>
      <c r="L672" s="1" t="s">
        <v>169</v>
      </c>
      <c r="M672" s="1" t="str">
        <f t="shared" si="271"/>
        <v>Rohan Mehta</v>
      </c>
      <c r="N672" s="1" t="s">
        <v>104</v>
      </c>
      <c r="O672" s="1" t="str">
        <f t="shared" si="272"/>
        <v>Corporate</v>
      </c>
      <c r="P672" s="1" t="s">
        <v>41</v>
      </c>
      <c r="Q672" s="1" t="str">
        <f t="shared" si="273"/>
        <v>East</v>
      </c>
      <c r="R672" s="1" t="str">
        <f t="shared" si="274"/>
        <v>OK</v>
      </c>
      <c r="S672" s="1" t="s">
        <v>42</v>
      </c>
      <c r="T672" s="1" t="str">
        <f t="shared" si="275"/>
        <v>Odisha</v>
      </c>
      <c r="U672" s="1" t="s">
        <v>43</v>
      </c>
      <c r="V672" s="1" t="str">
        <f t="shared" si="276"/>
        <v>Bhubaneswar</v>
      </c>
      <c r="W672" s="1" t="s">
        <v>44</v>
      </c>
      <c r="X672" s="1" t="str">
        <f t="shared" si="277"/>
        <v>Furniture</v>
      </c>
      <c r="Y672" s="1" t="s">
        <v>74</v>
      </c>
      <c r="Z672" s="1" t="str">
        <f t="shared" si="278"/>
        <v>Chairs</v>
      </c>
      <c r="AA672" s="1" t="s">
        <v>1597</v>
      </c>
      <c r="AB672" s="1" t="s">
        <v>32</v>
      </c>
      <c r="AC672" s="1" t="str">
        <f t="shared" si="279"/>
        <v>Second Class</v>
      </c>
      <c r="AD672" s="1" t="str">
        <f t="shared" si="280"/>
        <v>OK</v>
      </c>
      <c r="AE672" s="1">
        <v>9</v>
      </c>
      <c r="AF672" s="1">
        <v>4165.58</v>
      </c>
      <c r="AG672" s="9">
        <v>0.05</v>
      </c>
      <c r="AH672" s="9">
        <f t="shared" si="281"/>
        <v>0.05</v>
      </c>
      <c r="AI672" s="1" t="str">
        <f t="shared" si="282"/>
        <v>OK</v>
      </c>
      <c r="AJ672" s="1">
        <v>35615.71</v>
      </c>
      <c r="AK672" s="1">
        <v>20389.71</v>
      </c>
      <c r="AL672" s="1">
        <v>15226</v>
      </c>
      <c r="AM672" s="13">
        <f t="shared" si="283"/>
        <v>35615.709000000003</v>
      </c>
      <c r="AN672" s="9">
        <f t="shared" si="284"/>
        <v>15225.999000000003</v>
      </c>
      <c r="AO672" s="9">
        <f t="shared" si="293"/>
        <v>0.42750795723314122</v>
      </c>
      <c r="AP672" s="1" t="s">
        <v>131</v>
      </c>
      <c r="AQ672" s="1" t="str">
        <f t="shared" si="285"/>
        <v>Pending</v>
      </c>
      <c r="AR672" s="1" t="str">
        <f t="shared" si="286"/>
        <v>OK</v>
      </c>
      <c r="AS672" s="1" t="s">
        <v>120</v>
      </c>
      <c r="AT672" s="4" t="str">
        <f t="shared" si="287"/>
        <v>Returned</v>
      </c>
      <c r="AU672" s="3" t="str">
        <f t="shared" si="288"/>
        <v>RETURNED_ORDER</v>
      </c>
      <c r="AV672" s="3" t="str">
        <f t="shared" si="294"/>
        <v>INVALID</v>
      </c>
      <c r="AW672" t="str">
        <f t="shared" si="295"/>
        <v>MATCH</v>
      </c>
      <c r="AX672" t="str">
        <f t="shared" si="296"/>
        <v>MATCH</v>
      </c>
    </row>
    <row r="673" spans="1:50" ht="15.6">
      <c r="A673" s="1" t="s">
        <v>1602</v>
      </c>
      <c r="B673" s="1">
        <f t="shared" si="270"/>
        <v>1</v>
      </c>
      <c r="C673" s="16">
        <v>45845</v>
      </c>
      <c r="D673" s="16">
        <v>45845</v>
      </c>
      <c r="E673" s="16" t="str">
        <f t="shared" si="289"/>
        <v>Jul</v>
      </c>
      <c r="F673" s="1">
        <f t="shared" si="290"/>
        <v>2025</v>
      </c>
      <c r="G673" t="s">
        <v>2770</v>
      </c>
      <c r="H673" s="17">
        <v>45378</v>
      </c>
      <c r="I673" s="21">
        <f t="shared" si="291"/>
        <v>-467</v>
      </c>
      <c r="J673" s="6" t="str">
        <f t="shared" si="292"/>
        <v>INVALID_SHIPPING</v>
      </c>
      <c r="K673" s="1" t="s">
        <v>1604</v>
      </c>
      <c r="L673" s="1" t="s">
        <v>196</v>
      </c>
      <c r="M673" s="1" t="str">
        <f t="shared" si="271"/>
        <v>Diya Patel</v>
      </c>
      <c r="N673" s="1" t="s">
        <v>104</v>
      </c>
      <c r="O673" s="1" t="str">
        <f t="shared" si="272"/>
        <v>Corporate</v>
      </c>
      <c r="P673" s="1" t="s">
        <v>41</v>
      </c>
      <c r="Q673" s="1" t="str">
        <f t="shared" si="273"/>
        <v>East</v>
      </c>
      <c r="R673" s="1" t="str">
        <f t="shared" si="274"/>
        <v>OK</v>
      </c>
      <c r="S673" s="1" t="s">
        <v>116</v>
      </c>
      <c r="T673" s="1" t="str">
        <f t="shared" si="275"/>
        <v>West Bengal</v>
      </c>
      <c r="U673" s="1" t="s">
        <v>117</v>
      </c>
      <c r="V673" s="1" t="str">
        <f t="shared" si="276"/>
        <v>Kolkata</v>
      </c>
      <c r="W673" s="1" t="s">
        <v>44</v>
      </c>
      <c r="X673" s="1" t="str">
        <f t="shared" si="277"/>
        <v>Furniture</v>
      </c>
      <c r="Y673" s="1" t="s">
        <v>45</v>
      </c>
      <c r="Z673" s="1" t="str">
        <f t="shared" si="278"/>
        <v>Tables</v>
      </c>
      <c r="AA673" s="1" t="s">
        <v>1605</v>
      </c>
      <c r="AB673" s="1" t="s">
        <v>32</v>
      </c>
      <c r="AC673" s="1" t="str">
        <f t="shared" si="279"/>
        <v>Second Class</v>
      </c>
      <c r="AD673" s="1" t="str">
        <f t="shared" si="280"/>
        <v>OK</v>
      </c>
      <c r="AE673" s="1">
        <v>5</v>
      </c>
      <c r="AF673" s="1">
        <v>1831.37</v>
      </c>
      <c r="AG673" s="9">
        <v>0.25</v>
      </c>
      <c r="AH673" s="9">
        <f t="shared" si="281"/>
        <v>0.25</v>
      </c>
      <c r="AI673" s="1" t="str">
        <f t="shared" si="282"/>
        <v>OK</v>
      </c>
      <c r="AJ673" s="1">
        <v>6867.64</v>
      </c>
      <c r="AK673" s="1">
        <v>5205.3599999999997</v>
      </c>
      <c r="AL673" s="1">
        <v>1662.28</v>
      </c>
      <c r="AM673" s="13">
        <f t="shared" si="283"/>
        <v>6867.6374999999989</v>
      </c>
      <c r="AN673" s="9">
        <f t="shared" si="284"/>
        <v>1662.2774999999992</v>
      </c>
      <c r="AO673" s="9">
        <f t="shared" si="293"/>
        <v>0.24204502640100028</v>
      </c>
      <c r="AP673" s="1" t="s">
        <v>33</v>
      </c>
      <c r="AQ673" s="1" t="str">
        <f t="shared" si="285"/>
        <v>Paid</v>
      </c>
      <c r="AR673" s="1" t="str">
        <f t="shared" si="286"/>
        <v>OK</v>
      </c>
      <c r="AS673" s="1" t="s">
        <v>34</v>
      </c>
      <c r="AT673" s="4" t="str">
        <f t="shared" si="287"/>
        <v>Completed</v>
      </c>
      <c r="AU673" s="3" t="str">
        <f t="shared" si="288"/>
        <v>OK</v>
      </c>
      <c r="AV673" s="3" t="str">
        <f t="shared" si="294"/>
        <v>INVALID</v>
      </c>
      <c r="AW673" t="str">
        <f t="shared" si="295"/>
        <v>MATCH</v>
      </c>
      <c r="AX673" t="str">
        <f t="shared" si="296"/>
        <v>MATCH</v>
      </c>
    </row>
    <row r="674" spans="1:50" ht="15.6">
      <c r="A674" s="1" t="s">
        <v>1606</v>
      </c>
      <c r="B674" s="1">
        <f t="shared" si="270"/>
        <v>1</v>
      </c>
      <c r="C674" s="16">
        <v>45737</v>
      </c>
      <c r="D674" s="16">
        <v>45737</v>
      </c>
      <c r="E674" s="16" t="str">
        <f t="shared" si="289"/>
        <v>Mar</v>
      </c>
      <c r="F674" s="1">
        <f t="shared" si="290"/>
        <v>2025</v>
      </c>
      <c r="G674" t="s">
        <v>2775</v>
      </c>
      <c r="H674" s="17">
        <v>45540</v>
      </c>
      <c r="I674" s="21">
        <f t="shared" si="291"/>
        <v>-197</v>
      </c>
      <c r="J674" s="6" t="str">
        <f t="shared" si="292"/>
        <v>INVALID_SHIPPING</v>
      </c>
      <c r="K674" s="1" t="s">
        <v>1608</v>
      </c>
      <c r="L674" s="1" t="s">
        <v>153</v>
      </c>
      <c r="M674" s="1" t="str">
        <f t="shared" si="271"/>
        <v>Aarav Sharma</v>
      </c>
      <c r="N674" s="1" t="s">
        <v>40</v>
      </c>
      <c r="O674" s="1" t="str">
        <f t="shared" si="272"/>
        <v>Small Business</v>
      </c>
      <c r="P674" s="1" t="s">
        <v>60</v>
      </c>
      <c r="Q674" s="1" t="str">
        <f t="shared" si="273"/>
        <v>South</v>
      </c>
      <c r="R674" s="1" t="str">
        <f t="shared" si="274"/>
        <v>OK</v>
      </c>
      <c r="S674" s="1" t="s">
        <v>97</v>
      </c>
      <c r="T674" s="1" t="str">
        <f t="shared" si="275"/>
        <v>Andhra Pradesh</v>
      </c>
      <c r="U674" s="1" t="s">
        <v>98</v>
      </c>
      <c r="V674" s="1" t="str">
        <f t="shared" si="276"/>
        <v>Vijayawada</v>
      </c>
      <c r="W674" s="1" t="s">
        <v>44</v>
      </c>
      <c r="X674" s="1" t="str">
        <f t="shared" si="277"/>
        <v>Furniture</v>
      </c>
      <c r="Y674" s="1" t="s">
        <v>74</v>
      </c>
      <c r="Z674" s="1" t="str">
        <f t="shared" si="278"/>
        <v>Chairs</v>
      </c>
      <c r="AA674" s="1" t="s">
        <v>1609</v>
      </c>
      <c r="AB674" s="1" t="s">
        <v>32</v>
      </c>
      <c r="AC674" s="1" t="str">
        <f t="shared" si="279"/>
        <v>Second Class</v>
      </c>
      <c r="AD674" s="1" t="str">
        <f t="shared" si="280"/>
        <v>OK</v>
      </c>
      <c r="AE674" s="1">
        <v>5</v>
      </c>
      <c r="AF674" s="1">
        <v>1239.1500000000001</v>
      </c>
      <c r="AG674" s="9">
        <v>0</v>
      </c>
      <c r="AH674" s="9">
        <f t="shared" si="281"/>
        <v>0</v>
      </c>
      <c r="AI674" s="1" t="str">
        <f t="shared" si="282"/>
        <v>OK</v>
      </c>
      <c r="AJ674" s="1">
        <v>6195.75</v>
      </c>
      <c r="AK674" s="1">
        <v>3967.02</v>
      </c>
      <c r="AL674" s="1">
        <v>2228.73</v>
      </c>
      <c r="AM674" s="13">
        <f t="shared" si="283"/>
        <v>6195.75</v>
      </c>
      <c r="AN674" s="9">
        <f t="shared" si="284"/>
        <v>2228.73</v>
      </c>
      <c r="AO674" s="9">
        <f t="shared" si="293"/>
        <v>0.35971916232901585</v>
      </c>
      <c r="AP674" s="1" t="s">
        <v>33</v>
      </c>
      <c r="AQ674" s="1" t="str">
        <f t="shared" si="285"/>
        <v>Paid</v>
      </c>
      <c r="AR674" s="1" t="str">
        <f t="shared" si="286"/>
        <v>OK</v>
      </c>
      <c r="AS674" s="1" t="s">
        <v>34</v>
      </c>
      <c r="AT674" s="4" t="str">
        <f t="shared" si="287"/>
        <v>Completed</v>
      </c>
      <c r="AU674" s="3" t="str">
        <f t="shared" si="288"/>
        <v>OK</v>
      </c>
      <c r="AV674" s="3" t="str">
        <f t="shared" si="294"/>
        <v>INVALID</v>
      </c>
      <c r="AW674" t="str">
        <f t="shared" si="295"/>
        <v>MATCH</v>
      </c>
      <c r="AX674" t="str">
        <f t="shared" si="296"/>
        <v>MATCH</v>
      </c>
    </row>
    <row r="675" spans="1:50" ht="15.6" hidden="1">
      <c r="A675" s="1" t="s">
        <v>1614</v>
      </c>
      <c r="B675" s="1">
        <f t="shared" si="270"/>
        <v>1</v>
      </c>
      <c r="C675" s="16">
        <v>45673</v>
      </c>
      <c r="D675" s="16">
        <v>45673</v>
      </c>
      <c r="E675" s="16" t="str">
        <f t="shared" si="289"/>
        <v>Jan</v>
      </c>
      <c r="F675" s="1">
        <f t="shared" si="290"/>
        <v>2025</v>
      </c>
      <c r="G675" t="s">
        <v>2779</v>
      </c>
      <c r="H675" s="17">
        <v>45704</v>
      </c>
      <c r="I675" s="21">
        <f t="shared" si="291"/>
        <v>31</v>
      </c>
      <c r="J675" s="6" t="str">
        <f t="shared" si="292"/>
        <v>OK</v>
      </c>
      <c r="K675" s="1" t="s">
        <v>1616</v>
      </c>
      <c r="L675" s="1" t="s">
        <v>158</v>
      </c>
      <c r="M675" s="1" t="str">
        <f t="shared" si="271"/>
        <v>Sneha Kapoor</v>
      </c>
      <c r="N675" s="1" t="s">
        <v>104</v>
      </c>
      <c r="O675" s="1" t="str">
        <f t="shared" si="272"/>
        <v>Corporate</v>
      </c>
      <c r="P675" s="1" t="s">
        <v>26</v>
      </c>
      <c r="Q675" s="1" t="str">
        <f t="shared" si="273"/>
        <v>North</v>
      </c>
      <c r="R675" s="1" t="str">
        <f t="shared" si="274"/>
        <v>OK</v>
      </c>
      <c r="S675" s="1" t="s">
        <v>27</v>
      </c>
      <c r="T675" s="1" t="str">
        <f t="shared" si="275"/>
        <v>Rajasthan</v>
      </c>
      <c r="U675" s="1" t="s">
        <v>28</v>
      </c>
      <c r="V675" s="1" t="str">
        <f t="shared" si="276"/>
        <v>Jaipur</v>
      </c>
      <c r="W675" s="1" t="s">
        <v>44</v>
      </c>
      <c r="X675" s="1" t="str">
        <f t="shared" si="277"/>
        <v>Furniture</v>
      </c>
      <c r="Y675" s="1" t="s">
        <v>45</v>
      </c>
      <c r="Z675" s="1" t="str">
        <f t="shared" si="278"/>
        <v>Tables</v>
      </c>
      <c r="AA675" s="1" t="s">
        <v>1617</v>
      </c>
      <c r="AB675" s="1" t="s">
        <v>47</v>
      </c>
      <c r="AC675" s="1" t="str">
        <f t="shared" si="279"/>
        <v>Same Day</v>
      </c>
      <c r="AD675" s="1" t="str">
        <f t="shared" si="280"/>
        <v>OK</v>
      </c>
      <c r="AE675" s="1">
        <v>2</v>
      </c>
      <c r="AF675" s="1">
        <v>4418.28</v>
      </c>
      <c r="AG675" s="9">
        <v>0</v>
      </c>
      <c r="AH675" s="9">
        <f t="shared" si="281"/>
        <v>0</v>
      </c>
      <c r="AI675" s="1" t="str">
        <f t="shared" si="282"/>
        <v>OK</v>
      </c>
      <c r="AJ675" s="1">
        <v>8836.56</v>
      </c>
      <c r="AK675" s="1">
        <v>5867.75</v>
      </c>
      <c r="AL675" s="1">
        <v>2968.81</v>
      </c>
      <c r="AM675" s="13">
        <f t="shared" si="283"/>
        <v>8836.56</v>
      </c>
      <c r="AN675" s="9">
        <f t="shared" si="284"/>
        <v>2968.8099999999995</v>
      </c>
      <c r="AO675" s="9">
        <f t="shared" si="293"/>
        <v>0.33596897435201023</v>
      </c>
      <c r="AP675" s="1" t="s">
        <v>33</v>
      </c>
      <c r="AQ675" s="1" t="str">
        <f t="shared" si="285"/>
        <v>Paid</v>
      </c>
      <c r="AR675" s="1" t="str">
        <f t="shared" si="286"/>
        <v>OK</v>
      </c>
      <c r="AS675" s="1" t="s">
        <v>34</v>
      </c>
      <c r="AT675" s="4" t="str">
        <f t="shared" si="287"/>
        <v>Completed</v>
      </c>
      <c r="AU675" s="3" t="str">
        <f t="shared" si="288"/>
        <v>OK</v>
      </c>
      <c r="AV675" s="3" t="str">
        <f t="shared" si="294"/>
        <v>CLEAN</v>
      </c>
      <c r="AW675" t="str">
        <f t="shared" si="295"/>
        <v>MATCH</v>
      </c>
      <c r="AX675" t="str">
        <f t="shared" si="296"/>
        <v>MATCH</v>
      </c>
    </row>
    <row r="676" spans="1:50" ht="15.6">
      <c r="A676" s="1" t="s">
        <v>1622</v>
      </c>
      <c r="B676" s="1">
        <f t="shared" si="270"/>
        <v>1</v>
      </c>
      <c r="C676" s="16">
        <v>45844</v>
      </c>
      <c r="D676" s="16">
        <v>45844</v>
      </c>
      <c r="E676" s="16" t="str">
        <f t="shared" si="289"/>
        <v>Jul</v>
      </c>
      <c r="F676" s="1">
        <f t="shared" si="290"/>
        <v>2025</v>
      </c>
      <c r="G676" t="s">
        <v>2783</v>
      </c>
      <c r="H676" s="17">
        <v>45433</v>
      </c>
      <c r="I676" s="21">
        <f t="shared" si="291"/>
        <v>-411</v>
      </c>
      <c r="J676" s="6" t="str">
        <f t="shared" si="292"/>
        <v>INVALID_SHIPPING</v>
      </c>
      <c r="K676" s="1" t="s">
        <v>1623</v>
      </c>
      <c r="L676" s="1" t="s">
        <v>153</v>
      </c>
      <c r="M676" s="1" t="str">
        <f t="shared" si="271"/>
        <v>Aarav Sharma</v>
      </c>
      <c r="N676" s="1" t="s">
        <v>110</v>
      </c>
      <c r="O676" s="1" t="str">
        <f t="shared" si="272"/>
        <v>Home Office</v>
      </c>
      <c r="P676" s="1" t="s">
        <v>26</v>
      </c>
      <c r="Q676" s="1" t="str">
        <f t="shared" si="273"/>
        <v>North</v>
      </c>
      <c r="R676" s="1" t="str">
        <f t="shared" si="274"/>
        <v>OK</v>
      </c>
      <c r="S676" s="1" t="s">
        <v>27</v>
      </c>
      <c r="T676" s="1" t="str">
        <f t="shared" si="275"/>
        <v>Rajasthan</v>
      </c>
      <c r="U676" s="1" t="s">
        <v>28</v>
      </c>
      <c r="V676" s="1" t="str">
        <f t="shared" si="276"/>
        <v>Jaipur</v>
      </c>
      <c r="W676" s="1" t="s">
        <v>83</v>
      </c>
      <c r="X676" s="1" t="str">
        <f t="shared" si="277"/>
        <v>Technology</v>
      </c>
      <c r="Y676" s="1" t="s">
        <v>84</v>
      </c>
      <c r="Z676" s="1" t="str">
        <f t="shared" si="278"/>
        <v>Accessories</v>
      </c>
      <c r="AA676" s="1" t="s">
        <v>1624</v>
      </c>
      <c r="AB676" s="1" t="s">
        <v>47</v>
      </c>
      <c r="AC676" s="1" t="str">
        <f t="shared" si="279"/>
        <v>Same Day</v>
      </c>
      <c r="AD676" s="1" t="str">
        <f t="shared" si="280"/>
        <v>OK</v>
      </c>
      <c r="AE676" s="1">
        <v>9</v>
      </c>
      <c r="AF676" s="1">
        <v>243.19</v>
      </c>
      <c r="AG676" s="9">
        <v>0.05</v>
      </c>
      <c r="AH676" s="9">
        <f t="shared" si="281"/>
        <v>0.05</v>
      </c>
      <c r="AI676" s="1" t="str">
        <f t="shared" si="282"/>
        <v>OK</v>
      </c>
      <c r="AJ676" s="1">
        <v>2079.27</v>
      </c>
      <c r="AK676" s="1">
        <v>1512.17</v>
      </c>
      <c r="AL676" s="1">
        <v>567.1</v>
      </c>
      <c r="AM676" s="13">
        <f t="shared" si="283"/>
        <v>2079.2745</v>
      </c>
      <c r="AN676" s="9">
        <f t="shared" si="284"/>
        <v>567.10449999999992</v>
      </c>
      <c r="AO676" s="9">
        <f t="shared" si="293"/>
        <v>0.27274152595051782</v>
      </c>
      <c r="AP676" s="1" t="s">
        <v>119</v>
      </c>
      <c r="AQ676" s="1" t="str">
        <f t="shared" si="285"/>
        <v>Refunded</v>
      </c>
      <c r="AR676" s="1" t="str">
        <f t="shared" si="286"/>
        <v>REFUNDED_PAYMENT</v>
      </c>
      <c r="AS676" s="1" t="s">
        <v>120</v>
      </c>
      <c r="AT676" s="4" t="str">
        <f t="shared" si="287"/>
        <v>Returned</v>
      </c>
      <c r="AU676" s="3" t="str">
        <f t="shared" si="288"/>
        <v>RETURNED_ORDER</v>
      </c>
      <c r="AV676" s="3" t="str">
        <f t="shared" si="294"/>
        <v>INVALID</v>
      </c>
      <c r="AW676" t="str">
        <f t="shared" si="295"/>
        <v>MATCH</v>
      </c>
      <c r="AX676" t="str">
        <f t="shared" si="296"/>
        <v>MATCH</v>
      </c>
    </row>
    <row r="677" spans="1:50" ht="15.6" hidden="1">
      <c r="A677" s="1" t="s">
        <v>1625</v>
      </c>
      <c r="B677" s="1">
        <f t="shared" si="270"/>
        <v>1</v>
      </c>
      <c r="C677" s="16">
        <v>45680</v>
      </c>
      <c r="D677" s="16">
        <v>45680</v>
      </c>
      <c r="E677" s="16" t="str">
        <f t="shared" si="289"/>
        <v>Jan</v>
      </c>
      <c r="F677" s="1">
        <f t="shared" si="290"/>
        <v>2025</v>
      </c>
      <c r="G677" t="s">
        <v>2787</v>
      </c>
      <c r="H677" s="17">
        <v>45818</v>
      </c>
      <c r="I677" s="21">
        <f t="shared" si="291"/>
        <v>138</v>
      </c>
      <c r="J677" s="6" t="str">
        <f t="shared" si="292"/>
        <v>OK</v>
      </c>
      <c r="K677" s="1" t="s">
        <v>1626</v>
      </c>
      <c r="L677" s="1" t="s">
        <v>136</v>
      </c>
      <c r="M677" s="1" t="str">
        <f t="shared" si="271"/>
        <v>Priya Menon</v>
      </c>
      <c r="N677" s="1" t="s">
        <v>25</v>
      </c>
      <c r="O677" s="1" t="str">
        <f t="shared" si="272"/>
        <v>Consumer</v>
      </c>
      <c r="P677" s="1" t="s">
        <v>26</v>
      </c>
      <c r="Q677" s="1" t="str">
        <f t="shared" si="273"/>
        <v>North</v>
      </c>
      <c r="R677" s="1" t="str">
        <f t="shared" si="274"/>
        <v>OK</v>
      </c>
      <c r="S677" s="1" t="s">
        <v>454</v>
      </c>
      <c r="T677" s="1" t="str">
        <f t="shared" si="275"/>
        <v>Delhi</v>
      </c>
      <c r="U677" s="1" t="s">
        <v>455</v>
      </c>
      <c r="V677" s="1" t="str">
        <f t="shared" si="276"/>
        <v>New Delhi</v>
      </c>
      <c r="W677" s="1" t="s">
        <v>29</v>
      </c>
      <c r="X677" s="1" t="str">
        <f t="shared" si="277"/>
        <v>Office Supplies</v>
      </c>
      <c r="Y677" s="1" t="s">
        <v>105</v>
      </c>
      <c r="Z677" s="1" t="str">
        <f t="shared" si="278"/>
        <v>Labels</v>
      </c>
      <c r="AA677" s="1" t="s">
        <v>1627</v>
      </c>
      <c r="AB677" s="1" t="s">
        <v>65</v>
      </c>
      <c r="AC677" s="1" t="str">
        <f t="shared" si="279"/>
        <v>Standard Class</v>
      </c>
      <c r="AD677" s="1" t="str">
        <f t="shared" si="280"/>
        <v>OK</v>
      </c>
      <c r="AE677" s="1">
        <v>9</v>
      </c>
      <c r="AF677" s="1">
        <v>1169.3699999999999</v>
      </c>
      <c r="AG677" s="9">
        <v>0.15</v>
      </c>
      <c r="AH677" s="9">
        <f t="shared" si="281"/>
        <v>0.15</v>
      </c>
      <c r="AI677" s="1" t="str">
        <f t="shared" si="282"/>
        <v>OK</v>
      </c>
      <c r="AJ677" s="1">
        <v>8945.68</v>
      </c>
      <c r="AK677" s="1">
        <v>6740.35</v>
      </c>
      <c r="AL677" s="1">
        <v>2205.33</v>
      </c>
      <c r="AM677" s="13">
        <f t="shared" si="283"/>
        <v>8945.6804999999986</v>
      </c>
      <c r="AN677" s="9">
        <f t="shared" si="284"/>
        <v>2205.3304999999982</v>
      </c>
      <c r="AO677" s="9">
        <f t="shared" si="293"/>
        <v>0.24652462157574245</v>
      </c>
      <c r="AP677" s="1" t="s">
        <v>33</v>
      </c>
      <c r="AQ677" s="1" t="str">
        <f t="shared" si="285"/>
        <v>Paid</v>
      </c>
      <c r="AR677" s="1" t="str">
        <f t="shared" si="286"/>
        <v>OK</v>
      </c>
      <c r="AS677" s="1" t="s">
        <v>34</v>
      </c>
      <c r="AT677" s="4" t="str">
        <f t="shared" si="287"/>
        <v>Completed</v>
      </c>
      <c r="AU677" s="3" t="str">
        <f t="shared" si="288"/>
        <v>OK</v>
      </c>
      <c r="AV677" s="3" t="str">
        <f t="shared" si="294"/>
        <v>CLEAN</v>
      </c>
      <c r="AW677" t="str">
        <f t="shared" si="295"/>
        <v>MATCH</v>
      </c>
      <c r="AX677" t="str">
        <f t="shared" si="296"/>
        <v>MATCH</v>
      </c>
    </row>
    <row r="678" spans="1:50" ht="15.6" hidden="1">
      <c r="A678" s="1" t="s">
        <v>1635</v>
      </c>
      <c r="B678" s="1">
        <f t="shared" si="270"/>
        <v>1</v>
      </c>
      <c r="C678" s="16">
        <v>45885</v>
      </c>
      <c r="D678" s="16">
        <v>45885</v>
      </c>
      <c r="E678" s="16" t="str">
        <f t="shared" si="289"/>
        <v>Aug</v>
      </c>
      <c r="F678" s="1">
        <f t="shared" si="290"/>
        <v>2025</v>
      </c>
      <c r="G678" t="s">
        <v>2790</v>
      </c>
      <c r="H678" s="17">
        <v>45918</v>
      </c>
      <c r="I678" s="21">
        <f t="shared" si="291"/>
        <v>33</v>
      </c>
      <c r="J678" s="6" t="str">
        <f t="shared" si="292"/>
        <v>OK</v>
      </c>
      <c r="K678" s="1" t="s">
        <v>860</v>
      </c>
      <c r="L678" s="1" t="s">
        <v>334</v>
      </c>
      <c r="M678" s="1" t="str">
        <f t="shared" si="271"/>
        <v>Kabir Singh</v>
      </c>
      <c r="N678" s="1" t="s">
        <v>25</v>
      </c>
      <c r="O678" s="1" t="str">
        <f t="shared" si="272"/>
        <v>Consumer</v>
      </c>
      <c r="P678" s="1" t="s">
        <v>41</v>
      </c>
      <c r="Q678" s="1" t="str">
        <f t="shared" si="273"/>
        <v>East</v>
      </c>
      <c r="R678" s="1" t="str">
        <f t="shared" si="274"/>
        <v>OK</v>
      </c>
      <c r="S678" s="1" t="s">
        <v>284</v>
      </c>
      <c r="T678" s="1" t="str">
        <f t="shared" si="275"/>
        <v>Jharkhand</v>
      </c>
      <c r="U678" s="1" t="s">
        <v>285</v>
      </c>
      <c r="V678" s="1" t="str">
        <f t="shared" si="276"/>
        <v>Ranchi</v>
      </c>
      <c r="W678" s="1" t="s">
        <v>44</v>
      </c>
      <c r="X678" s="1" t="str">
        <f t="shared" si="277"/>
        <v>Furniture</v>
      </c>
      <c r="Y678" s="1" t="s">
        <v>74</v>
      </c>
      <c r="Z678" s="1" t="str">
        <f t="shared" si="278"/>
        <v>Chairs</v>
      </c>
      <c r="AA678" s="1" t="s">
        <v>1637</v>
      </c>
      <c r="AB678" s="1" t="s">
        <v>47</v>
      </c>
      <c r="AC678" s="1" t="str">
        <f t="shared" si="279"/>
        <v>Same Day</v>
      </c>
      <c r="AD678" s="1" t="str">
        <f t="shared" si="280"/>
        <v>OK</v>
      </c>
      <c r="AE678" s="1">
        <v>5</v>
      </c>
      <c r="AF678" s="1">
        <v>1530.36</v>
      </c>
      <c r="AG678" s="9">
        <v>0</v>
      </c>
      <c r="AH678" s="9">
        <f t="shared" si="281"/>
        <v>0</v>
      </c>
      <c r="AI678" s="1" t="str">
        <f t="shared" si="282"/>
        <v>OK</v>
      </c>
      <c r="AJ678" s="1">
        <v>7651.8</v>
      </c>
      <c r="AK678" s="1">
        <v>5171.78</v>
      </c>
      <c r="AL678" s="1">
        <v>2480.02</v>
      </c>
      <c r="AM678" s="13">
        <f t="shared" si="283"/>
        <v>7651.7999999999993</v>
      </c>
      <c r="AN678" s="9">
        <f t="shared" si="284"/>
        <v>2480.0199999999995</v>
      </c>
      <c r="AO678" s="9">
        <f t="shared" si="293"/>
        <v>0.32410935988917638</v>
      </c>
      <c r="AP678" s="1" t="s">
        <v>33</v>
      </c>
      <c r="AQ678" s="1" t="str">
        <f t="shared" si="285"/>
        <v>Paid</v>
      </c>
      <c r="AR678" s="1" t="str">
        <f t="shared" si="286"/>
        <v>OK</v>
      </c>
      <c r="AS678" s="1" t="s">
        <v>34</v>
      </c>
      <c r="AT678" s="4" t="str">
        <f t="shared" si="287"/>
        <v>Completed</v>
      </c>
      <c r="AU678" s="3" t="str">
        <f t="shared" si="288"/>
        <v>OK</v>
      </c>
      <c r="AV678" s="3" t="str">
        <f t="shared" si="294"/>
        <v>CLEAN</v>
      </c>
      <c r="AW678" t="str">
        <f t="shared" si="295"/>
        <v>MATCH</v>
      </c>
      <c r="AX678" t="str">
        <f t="shared" si="296"/>
        <v>MATCH</v>
      </c>
    </row>
    <row r="679" spans="1:50" ht="15.6">
      <c r="A679" s="1" t="s">
        <v>1638</v>
      </c>
      <c r="B679" s="1">
        <f t="shared" si="270"/>
        <v>2</v>
      </c>
      <c r="C679" s="16">
        <v>45760</v>
      </c>
      <c r="D679" s="16">
        <v>45760</v>
      </c>
      <c r="E679" s="16" t="str">
        <f t="shared" si="289"/>
        <v>Apr</v>
      </c>
      <c r="F679" s="1">
        <f t="shared" si="290"/>
        <v>2025</v>
      </c>
      <c r="G679" t="s">
        <v>2794</v>
      </c>
      <c r="H679" s="17">
        <v>45470</v>
      </c>
      <c r="I679" s="21">
        <f t="shared" si="291"/>
        <v>-290</v>
      </c>
      <c r="J679" s="6" t="str">
        <f t="shared" si="292"/>
        <v>INVALID_SHIPPING</v>
      </c>
      <c r="K679" s="1" t="s">
        <v>1640</v>
      </c>
      <c r="L679" s="1" t="s">
        <v>158</v>
      </c>
      <c r="M679" s="1" t="str">
        <f t="shared" si="271"/>
        <v>Sneha Kapoor</v>
      </c>
      <c r="N679" s="1" t="s">
        <v>40</v>
      </c>
      <c r="O679" s="1" t="str">
        <f t="shared" si="272"/>
        <v>Small Business</v>
      </c>
      <c r="P679" s="1" t="s">
        <v>26</v>
      </c>
      <c r="Q679" s="1" t="str">
        <f t="shared" si="273"/>
        <v>North</v>
      </c>
      <c r="R679" s="1" t="str">
        <f t="shared" si="274"/>
        <v>OK</v>
      </c>
      <c r="S679" s="1" t="s">
        <v>163</v>
      </c>
      <c r="T679" s="1" t="str">
        <f t="shared" si="275"/>
        <v>Uttar Pradesh</v>
      </c>
      <c r="U679" s="1" t="s">
        <v>164</v>
      </c>
      <c r="V679" s="1" t="str">
        <f t="shared" si="276"/>
        <v>Noida</v>
      </c>
      <c r="W679" s="1" t="s">
        <v>29</v>
      </c>
      <c r="X679" s="1" t="str">
        <f t="shared" si="277"/>
        <v>Office Supplies</v>
      </c>
      <c r="Y679" s="1" t="s">
        <v>148</v>
      </c>
      <c r="Z679" s="1" t="str">
        <f t="shared" si="278"/>
        <v>Storage</v>
      </c>
      <c r="AA679" s="1" t="s">
        <v>1641</v>
      </c>
      <c r="AB679" s="1" t="s">
        <v>32</v>
      </c>
      <c r="AC679" s="1" t="str">
        <f t="shared" si="279"/>
        <v>Second Class</v>
      </c>
      <c r="AD679" s="1" t="str">
        <f t="shared" si="280"/>
        <v>OK</v>
      </c>
      <c r="AE679" s="1">
        <v>9</v>
      </c>
      <c r="AF679" s="1">
        <v>1118.68</v>
      </c>
      <c r="AG679" s="9">
        <v>0</v>
      </c>
      <c r="AH679" s="9">
        <f t="shared" si="281"/>
        <v>0</v>
      </c>
      <c r="AI679" s="1" t="str">
        <f t="shared" si="282"/>
        <v>OK</v>
      </c>
      <c r="AJ679" s="1">
        <v>10068.120000000001</v>
      </c>
      <c r="AK679" s="1">
        <v>8595.3700000000008</v>
      </c>
      <c r="AL679" s="1">
        <v>1472.75</v>
      </c>
      <c r="AM679" s="13">
        <f t="shared" si="283"/>
        <v>10068.120000000001</v>
      </c>
      <c r="AN679" s="9">
        <f t="shared" si="284"/>
        <v>1472.75</v>
      </c>
      <c r="AO679" s="9">
        <f t="shared" si="293"/>
        <v>0.14627855051389932</v>
      </c>
      <c r="AP679" s="1" t="s">
        <v>33</v>
      </c>
      <c r="AQ679" s="1" t="str">
        <f t="shared" si="285"/>
        <v>Paid</v>
      </c>
      <c r="AR679" s="1" t="str">
        <f t="shared" si="286"/>
        <v>OK</v>
      </c>
      <c r="AS679" s="1" t="s">
        <v>34</v>
      </c>
      <c r="AT679" s="4" t="str">
        <f t="shared" si="287"/>
        <v>Completed</v>
      </c>
      <c r="AU679" s="3" t="str">
        <f t="shared" si="288"/>
        <v>OK</v>
      </c>
      <c r="AV679" s="3" t="str">
        <f t="shared" si="294"/>
        <v>INVALID</v>
      </c>
      <c r="AW679" t="str">
        <f t="shared" si="295"/>
        <v>MATCH</v>
      </c>
      <c r="AX679" t="str">
        <f t="shared" si="296"/>
        <v>MATCH</v>
      </c>
    </row>
    <row r="680" spans="1:50" ht="15.6">
      <c r="A680" s="1" t="s">
        <v>1638</v>
      </c>
      <c r="B680" s="1">
        <f t="shared" si="270"/>
        <v>2</v>
      </c>
      <c r="C680" s="16">
        <v>45760</v>
      </c>
      <c r="D680" s="16">
        <v>45760</v>
      </c>
      <c r="E680" s="16" t="str">
        <f t="shared" si="289"/>
        <v>Apr</v>
      </c>
      <c r="F680" s="1">
        <f t="shared" si="290"/>
        <v>2025</v>
      </c>
      <c r="G680" t="s">
        <v>2797</v>
      </c>
      <c r="H680" s="17">
        <v>45627</v>
      </c>
      <c r="I680" s="21">
        <f t="shared" si="291"/>
        <v>-133</v>
      </c>
      <c r="J680" s="6" t="str">
        <f t="shared" si="292"/>
        <v>INVALID_SHIPPING</v>
      </c>
      <c r="K680" s="1" t="s">
        <v>1640</v>
      </c>
      <c r="L680" s="1" t="s">
        <v>158</v>
      </c>
      <c r="M680" s="1" t="str">
        <f t="shared" si="271"/>
        <v>Sneha Kapoor</v>
      </c>
      <c r="N680" s="1" t="s">
        <v>40</v>
      </c>
      <c r="O680" s="1" t="str">
        <f t="shared" si="272"/>
        <v>Small Business</v>
      </c>
      <c r="P680" s="1" t="s">
        <v>26</v>
      </c>
      <c r="Q680" s="1" t="str">
        <f t="shared" si="273"/>
        <v>North</v>
      </c>
      <c r="R680" s="1" t="str">
        <f t="shared" si="274"/>
        <v>OK</v>
      </c>
      <c r="S680" s="1" t="s">
        <v>163</v>
      </c>
      <c r="T680" s="1" t="str">
        <f t="shared" si="275"/>
        <v>Uttar Pradesh</v>
      </c>
      <c r="U680" s="1" t="s">
        <v>164</v>
      </c>
      <c r="V680" s="1" t="str">
        <f t="shared" si="276"/>
        <v>Noida</v>
      </c>
      <c r="W680" s="1" t="s">
        <v>29</v>
      </c>
      <c r="X680" s="1" t="str">
        <f t="shared" si="277"/>
        <v>Office Supplies</v>
      </c>
      <c r="Y680" s="1" t="s">
        <v>148</v>
      </c>
      <c r="Z680" s="1" t="str">
        <f t="shared" si="278"/>
        <v>Storage</v>
      </c>
      <c r="AA680" s="1" t="s">
        <v>1641</v>
      </c>
      <c r="AB680" s="1" t="s">
        <v>32</v>
      </c>
      <c r="AC680" s="1" t="str">
        <f t="shared" si="279"/>
        <v>Second Class</v>
      </c>
      <c r="AD680" s="1" t="str">
        <f t="shared" si="280"/>
        <v>OK</v>
      </c>
      <c r="AE680" s="1">
        <v>9</v>
      </c>
      <c r="AF680" s="1">
        <v>1118.68</v>
      </c>
      <c r="AG680" s="9">
        <v>0</v>
      </c>
      <c r="AH680" s="9">
        <f t="shared" si="281"/>
        <v>0</v>
      </c>
      <c r="AI680" s="1" t="str">
        <f t="shared" si="282"/>
        <v>OK</v>
      </c>
      <c r="AJ680" s="1">
        <v>10348.43</v>
      </c>
      <c r="AK680" s="1">
        <v>8595.3700000000008</v>
      </c>
      <c r="AL680" s="1">
        <v>1472.75</v>
      </c>
      <c r="AM680" s="13">
        <f t="shared" si="283"/>
        <v>10068.120000000001</v>
      </c>
      <c r="AN680" s="9">
        <f t="shared" si="284"/>
        <v>1472.75</v>
      </c>
      <c r="AO680" s="9">
        <f t="shared" si="293"/>
        <v>0.14627855051389932</v>
      </c>
      <c r="AP680" s="1" t="s">
        <v>33</v>
      </c>
      <c r="AQ680" s="1" t="str">
        <f t="shared" si="285"/>
        <v>Paid</v>
      </c>
      <c r="AR680" s="1" t="str">
        <f t="shared" si="286"/>
        <v>OK</v>
      </c>
      <c r="AS680" s="1" t="s">
        <v>120</v>
      </c>
      <c r="AT680" s="4" t="str">
        <f t="shared" si="287"/>
        <v>Returned</v>
      </c>
      <c r="AU680" s="3" t="str">
        <f t="shared" si="288"/>
        <v>RETURNED_ORDER</v>
      </c>
      <c r="AV680" s="3" t="str">
        <f t="shared" si="294"/>
        <v>INVALID</v>
      </c>
      <c r="AW680" t="str">
        <f t="shared" si="295"/>
        <v>MISMATCH</v>
      </c>
      <c r="AX680" t="str">
        <f t="shared" si="296"/>
        <v>MATCH</v>
      </c>
    </row>
    <row r="681" spans="1:50" ht="15.6" hidden="1">
      <c r="A681" s="1" t="s">
        <v>1642</v>
      </c>
      <c r="B681" s="1">
        <f t="shared" si="270"/>
        <v>1</v>
      </c>
      <c r="C681" s="16">
        <v>45715</v>
      </c>
      <c r="D681" s="16">
        <v>45715</v>
      </c>
      <c r="E681" s="16" t="str">
        <f t="shared" si="289"/>
        <v>Feb</v>
      </c>
      <c r="F681" s="1">
        <f t="shared" si="290"/>
        <v>2025</v>
      </c>
      <c r="G681" t="s">
        <v>572</v>
      </c>
      <c r="H681" s="17">
        <v>45892</v>
      </c>
      <c r="I681" s="21">
        <f t="shared" si="291"/>
        <v>177</v>
      </c>
      <c r="J681" s="6" t="str">
        <f t="shared" si="292"/>
        <v>OK</v>
      </c>
      <c r="K681" s="1" t="s">
        <v>1644</v>
      </c>
      <c r="L681" s="1" t="s">
        <v>103</v>
      </c>
      <c r="M681" s="1" t="str">
        <f t="shared" si="271"/>
        <v>Aditi Sen</v>
      </c>
      <c r="N681" s="1" t="s">
        <v>40</v>
      </c>
      <c r="O681" s="1" t="str">
        <f t="shared" si="272"/>
        <v>Small Business</v>
      </c>
      <c r="P681" s="1" t="s">
        <v>26</v>
      </c>
      <c r="Q681" s="1" t="str">
        <f t="shared" si="273"/>
        <v>North</v>
      </c>
      <c r="R681" s="1" t="str">
        <f t="shared" si="274"/>
        <v>OK</v>
      </c>
      <c r="S681" s="1" t="s">
        <v>163</v>
      </c>
      <c r="T681" s="1" t="str">
        <f t="shared" si="275"/>
        <v>Uttar Pradesh</v>
      </c>
      <c r="U681" s="1" t="s">
        <v>164</v>
      </c>
      <c r="V681" s="1" t="str">
        <f t="shared" si="276"/>
        <v>Noida</v>
      </c>
      <c r="W681" s="1" t="s">
        <v>29</v>
      </c>
      <c r="X681" s="1" t="str">
        <f t="shared" si="277"/>
        <v>Office Supplies</v>
      </c>
      <c r="Y681" s="1" t="s">
        <v>105</v>
      </c>
      <c r="Z681" s="1" t="str">
        <f t="shared" si="278"/>
        <v>Labels</v>
      </c>
      <c r="AA681" s="1" t="s">
        <v>1645</v>
      </c>
      <c r="AB681" s="1" t="s">
        <v>65</v>
      </c>
      <c r="AC681" s="1" t="str">
        <f t="shared" si="279"/>
        <v>Standard Class</v>
      </c>
      <c r="AD681" s="1" t="str">
        <f t="shared" si="280"/>
        <v>OK</v>
      </c>
      <c r="AE681" s="1">
        <v>6</v>
      </c>
      <c r="AF681" s="1">
        <v>2393.25</v>
      </c>
      <c r="AG681" s="9">
        <v>0</v>
      </c>
      <c r="AH681" s="9">
        <f t="shared" si="281"/>
        <v>0</v>
      </c>
      <c r="AI681" s="1" t="str">
        <f t="shared" si="282"/>
        <v>OK</v>
      </c>
      <c r="AJ681" s="1">
        <v>14359.5</v>
      </c>
      <c r="AK681" s="1">
        <v>8117.71</v>
      </c>
      <c r="AL681" s="1">
        <v>6241.79</v>
      </c>
      <c r="AM681" s="13">
        <f t="shared" si="283"/>
        <v>14359.5</v>
      </c>
      <c r="AN681" s="9">
        <f t="shared" si="284"/>
        <v>6241.79</v>
      </c>
      <c r="AO681" s="9">
        <f t="shared" si="293"/>
        <v>0.43468017688638183</v>
      </c>
      <c r="AP681" s="1" t="s">
        <v>33</v>
      </c>
      <c r="AQ681" s="1" t="str">
        <f t="shared" si="285"/>
        <v>Paid</v>
      </c>
      <c r="AR681" s="1" t="str">
        <f t="shared" si="286"/>
        <v>OK</v>
      </c>
      <c r="AS681" s="1" t="s">
        <v>34</v>
      </c>
      <c r="AT681" s="4" t="str">
        <f t="shared" si="287"/>
        <v>Completed</v>
      </c>
      <c r="AU681" s="3" t="str">
        <f t="shared" si="288"/>
        <v>OK</v>
      </c>
      <c r="AV681" s="3" t="str">
        <f t="shared" si="294"/>
        <v>CLEAN</v>
      </c>
      <c r="AW681" t="str">
        <f t="shared" si="295"/>
        <v>MATCH</v>
      </c>
      <c r="AX681" t="str">
        <f t="shared" si="296"/>
        <v>MATCH</v>
      </c>
    </row>
    <row r="682" spans="1:50" ht="15.6">
      <c r="A682" s="1" t="s">
        <v>1654</v>
      </c>
      <c r="B682" s="1">
        <f t="shared" si="270"/>
        <v>2</v>
      </c>
      <c r="C682" s="16">
        <v>45801</v>
      </c>
      <c r="D682" s="16">
        <v>45801</v>
      </c>
      <c r="E682" s="16" t="str">
        <f t="shared" si="289"/>
        <v>May</v>
      </c>
      <c r="F682" s="1">
        <f t="shared" si="290"/>
        <v>2025</v>
      </c>
      <c r="G682" t="s">
        <v>519</v>
      </c>
      <c r="H682" s="17">
        <v>45448</v>
      </c>
      <c r="I682" s="21">
        <f t="shared" si="291"/>
        <v>-353</v>
      </c>
      <c r="J682" s="6" t="str">
        <f t="shared" si="292"/>
        <v>INVALID_SHIPPING</v>
      </c>
      <c r="K682" s="1" t="s">
        <v>1656</v>
      </c>
      <c r="L682" s="1" t="s">
        <v>334</v>
      </c>
      <c r="M682" s="1" t="str">
        <f t="shared" si="271"/>
        <v>Kabir Singh</v>
      </c>
      <c r="N682" s="1" t="s">
        <v>40</v>
      </c>
      <c r="O682" s="1" t="str">
        <f t="shared" si="272"/>
        <v>Small Business</v>
      </c>
      <c r="P682" s="1" t="s">
        <v>41</v>
      </c>
      <c r="Q682" s="1" t="str">
        <f t="shared" si="273"/>
        <v>East</v>
      </c>
      <c r="R682" s="1" t="str">
        <f t="shared" si="274"/>
        <v>OK</v>
      </c>
      <c r="S682" s="1" t="s">
        <v>42</v>
      </c>
      <c r="T682" s="1" t="str">
        <f t="shared" si="275"/>
        <v>Odisha</v>
      </c>
      <c r="U682" s="1" t="s">
        <v>43</v>
      </c>
      <c r="V682" s="1" t="str">
        <f t="shared" si="276"/>
        <v>Bhubaneswar</v>
      </c>
      <c r="W682" s="1" t="s">
        <v>29</v>
      </c>
      <c r="X682" s="1" t="str">
        <f t="shared" si="277"/>
        <v>Office Supplies</v>
      </c>
      <c r="Y682" s="1" t="s">
        <v>1657</v>
      </c>
      <c r="Z682" s="1" t="str">
        <f t="shared" si="278"/>
        <v>Storage</v>
      </c>
      <c r="AA682" s="1" t="s">
        <v>1658</v>
      </c>
      <c r="AB682" s="1" t="s">
        <v>47</v>
      </c>
      <c r="AC682" s="1" t="str">
        <f t="shared" si="279"/>
        <v>Same Day</v>
      </c>
      <c r="AD682" s="1" t="str">
        <f t="shared" si="280"/>
        <v>OK</v>
      </c>
      <c r="AE682" s="1">
        <v>1</v>
      </c>
      <c r="AF682" s="1">
        <v>2564.7399999999998</v>
      </c>
      <c r="AG682" s="9">
        <v>0</v>
      </c>
      <c r="AH682" s="9">
        <f t="shared" si="281"/>
        <v>0</v>
      </c>
      <c r="AI682" s="1" t="str">
        <f t="shared" si="282"/>
        <v>OK</v>
      </c>
      <c r="AJ682" s="1">
        <v>2564.7399999999998</v>
      </c>
      <c r="AK682" s="1">
        <v>1754.58</v>
      </c>
      <c r="AL682" s="1">
        <v>810.16</v>
      </c>
      <c r="AM682" s="13">
        <f t="shared" si="283"/>
        <v>2564.7399999999998</v>
      </c>
      <c r="AN682" s="9">
        <f t="shared" si="284"/>
        <v>810.15999999999985</v>
      </c>
      <c r="AO682" s="9">
        <f t="shared" si="293"/>
        <v>0.31588387126960232</v>
      </c>
      <c r="AP682" s="1" t="s">
        <v>33</v>
      </c>
      <c r="AQ682" s="1" t="str">
        <f t="shared" si="285"/>
        <v>Paid</v>
      </c>
      <c r="AR682" s="1" t="str">
        <f t="shared" si="286"/>
        <v>OK</v>
      </c>
      <c r="AS682" s="1" t="s">
        <v>34</v>
      </c>
      <c r="AT682" s="4" t="str">
        <f t="shared" si="287"/>
        <v>Completed</v>
      </c>
      <c r="AU682" s="3" t="str">
        <f t="shared" si="288"/>
        <v>OK</v>
      </c>
      <c r="AV682" s="3" t="str">
        <f t="shared" si="294"/>
        <v>INVALID</v>
      </c>
      <c r="AW682" t="str">
        <f t="shared" si="295"/>
        <v>MATCH</v>
      </c>
      <c r="AX682" t="str">
        <f t="shared" si="296"/>
        <v>MATCH</v>
      </c>
    </row>
    <row r="683" spans="1:50" ht="15.6">
      <c r="A683" s="1" t="s">
        <v>1654</v>
      </c>
      <c r="B683" s="1">
        <f t="shared" si="270"/>
        <v>2</v>
      </c>
      <c r="C683" s="16">
        <v>45801</v>
      </c>
      <c r="D683" s="16">
        <v>45801</v>
      </c>
      <c r="E683" s="16" t="str">
        <f t="shared" si="289"/>
        <v>May</v>
      </c>
      <c r="F683" s="1">
        <f t="shared" si="290"/>
        <v>2025</v>
      </c>
      <c r="G683" t="s">
        <v>2807</v>
      </c>
      <c r="H683" s="17">
        <v>45483</v>
      </c>
      <c r="I683" s="21">
        <f t="shared" si="291"/>
        <v>-318</v>
      </c>
      <c r="J683" s="6" t="str">
        <f t="shared" si="292"/>
        <v>INVALID_SHIPPING</v>
      </c>
      <c r="K683" s="1" t="s">
        <v>1656</v>
      </c>
      <c r="L683" s="1" t="s">
        <v>334</v>
      </c>
      <c r="M683" s="1" t="str">
        <f t="shared" si="271"/>
        <v>Kabir Singh</v>
      </c>
      <c r="N683" s="1" t="s">
        <v>40</v>
      </c>
      <c r="O683" s="1" t="str">
        <f t="shared" si="272"/>
        <v>Small Business</v>
      </c>
      <c r="P683" s="1" t="s">
        <v>41</v>
      </c>
      <c r="Q683" s="1" t="str">
        <f t="shared" si="273"/>
        <v>East</v>
      </c>
      <c r="R683" s="1" t="str">
        <f t="shared" si="274"/>
        <v>OK</v>
      </c>
      <c r="S683" s="1" t="s">
        <v>42</v>
      </c>
      <c r="T683" s="1" t="str">
        <f t="shared" si="275"/>
        <v>Odisha</v>
      </c>
      <c r="U683" s="1" t="s">
        <v>43</v>
      </c>
      <c r="V683" s="1" t="str">
        <f t="shared" si="276"/>
        <v>Bhubaneswar</v>
      </c>
      <c r="W683" s="1" t="s">
        <v>29</v>
      </c>
      <c r="X683" s="1" t="str">
        <f t="shared" si="277"/>
        <v>Office Supplies</v>
      </c>
      <c r="Y683" s="1" t="s">
        <v>1657</v>
      </c>
      <c r="Z683" s="1" t="str">
        <f t="shared" si="278"/>
        <v>Storage</v>
      </c>
      <c r="AA683" s="1" t="s">
        <v>1658</v>
      </c>
      <c r="AB683" s="1" t="s">
        <v>47</v>
      </c>
      <c r="AC683" s="1" t="str">
        <f t="shared" si="279"/>
        <v>Same Day</v>
      </c>
      <c r="AD683" s="1" t="str">
        <f t="shared" si="280"/>
        <v>OK</v>
      </c>
      <c r="AE683" s="1">
        <v>1</v>
      </c>
      <c r="AF683" s="1">
        <v>2564.7399999999998</v>
      </c>
      <c r="AG683" s="9">
        <v>0</v>
      </c>
      <c r="AH683" s="9">
        <f t="shared" si="281"/>
        <v>0</v>
      </c>
      <c r="AI683" s="1" t="str">
        <f t="shared" si="282"/>
        <v>OK</v>
      </c>
      <c r="AJ683" s="1">
        <v>2564.7399999999998</v>
      </c>
      <c r="AK683" s="1">
        <v>1754.58</v>
      </c>
      <c r="AL683" s="1">
        <v>810.16</v>
      </c>
      <c r="AM683" s="13">
        <f t="shared" si="283"/>
        <v>2564.7399999999998</v>
      </c>
      <c r="AN683" s="9">
        <f t="shared" si="284"/>
        <v>810.15999999999985</v>
      </c>
      <c r="AO683" s="9">
        <f t="shared" si="293"/>
        <v>0.31588387126960232</v>
      </c>
      <c r="AP683" s="1" t="s">
        <v>33</v>
      </c>
      <c r="AQ683" s="1" t="str">
        <f t="shared" si="285"/>
        <v>Paid</v>
      </c>
      <c r="AR683" s="1" t="str">
        <f t="shared" si="286"/>
        <v>OK</v>
      </c>
      <c r="AS683" s="1" t="s">
        <v>34</v>
      </c>
      <c r="AT683" s="4" t="str">
        <f t="shared" si="287"/>
        <v>Completed</v>
      </c>
      <c r="AU683" s="3" t="str">
        <f t="shared" si="288"/>
        <v>OK</v>
      </c>
      <c r="AV683" s="3" t="str">
        <f t="shared" si="294"/>
        <v>INVALID</v>
      </c>
      <c r="AW683" t="str">
        <f t="shared" si="295"/>
        <v>MATCH</v>
      </c>
      <c r="AX683" t="str">
        <f t="shared" si="296"/>
        <v>MATCH</v>
      </c>
    </row>
    <row r="684" spans="1:50" ht="15.6">
      <c r="A684" s="1" t="s">
        <v>1659</v>
      </c>
      <c r="B684" s="1">
        <f t="shared" si="270"/>
        <v>1</v>
      </c>
      <c r="C684" s="16">
        <v>45799</v>
      </c>
      <c r="D684" s="16">
        <v>45799</v>
      </c>
      <c r="E684" s="16" t="str">
        <f t="shared" si="289"/>
        <v>May</v>
      </c>
      <c r="F684" s="1">
        <f t="shared" si="290"/>
        <v>2025</v>
      </c>
      <c r="G684" t="s">
        <v>2530</v>
      </c>
      <c r="H684" s="17">
        <v>45779</v>
      </c>
      <c r="I684" s="21">
        <f t="shared" si="291"/>
        <v>-20</v>
      </c>
      <c r="J684" s="6" t="str">
        <f t="shared" si="292"/>
        <v>INVALID_SHIPPING</v>
      </c>
      <c r="K684" s="1" t="s">
        <v>1661</v>
      </c>
      <c r="L684" s="1" t="s">
        <v>39</v>
      </c>
      <c r="M684" s="1" t="str">
        <f t="shared" si="271"/>
        <v>Mira Das</v>
      </c>
      <c r="N684" s="1" t="s">
        <v>25</v>
      </c>
      <c r="O684" s="1" t="str">
        <f t="shared" si="272"/>
        <v>Consumer</v>
      </c>
      <c r="P684" s="1" t="s">
        <v>71</v>
      </c>
      <c r="Q684" s="1" t="str">
        <f t="shared" si="273"/>
        <v>West</v>
      </c>
      <c r="R684" s="1" t="str">
        <f t="shared" si="274"/>
        <v>OK</v>
      </c>
      <c r="S684" s="1" t="s">
        <v>230</v>
      </c>
      <c r="T684" s="1" t="str">
        <f t="shared" si="275"/>
        <v>Goa</v>
      </c>
      <c r="U684" s="1" t="s">
        <v>231</v>
      </c>
      <c r="V684" s="1" t="str">
        <f t="shared" si="276"/>
        <v>Panaji</v>
      </c>
      <c r="W684" s="1" t="s">
        <v>83</v>
      </c>
      <c r="X684" s="1" t="str">
        <f t="shared" si="277"/>
        <v>Technology</v>
      </c>
      <c r="Y684" s="1" t="s">
        <v>84</v>
      </c>
      <c r="Z684" s="1" t="str">
        <f t="shared" si="278"/>
        <v>Accessories</v>
      </c>
      <c r="AA684" s="1" t="s">
        <v>1662</v>
      </c>
      <c r="AB684" s="1" t="s">
        <v>65</v>
      </c>
      <c r="AC684" s="1" t="str">
        <f t="shared" si="279"/>
        <v>Standard Class</v>
      </c>
      <c r="AD684" s="1" t="str">
        <f t="shared" si="280"/>
        <v>OK</v>
      </c>
      <c r="AE684" s="1">
        <v>2</v>
      </c>
      <c r="AF684" s="1">
        <v>3910.61</v>
      </c>
      <c r="AG684" s="9">
        <v>0</v>
      </c>
      <c r="AH684" s="9">
        <f t="shared" si="281"/>
        <v>0</v>
      </c>
      <c r="AI684" s="1" t="str">
        <f t="shared" si="282"/>
        <v>OK</v>
      </c>
      <c r="AJ684" s="1">
        <v>7821.22</v>
      </c>
      <c r="AK684" s="1">
        <v>4994.46</v>
      </c>
      <c r="AL684" s="1">
        <v>2826.76</v>
      </c>
      <c r="AM684" s="13">
        <f t="shared" si="283"/>
        <v>7821.22</v>
      </c>
      <c r="AN684" s="9">
        <f t="shared" si="284"/>
        <v>2826.76</v>
      </c>
      <c r="AO684" s="9">
        <f t="shared" si="293"/>
        <v>0.36142187535959863</v>
      </c>
      <c r="AP684" s="1" t="s">
        <v>33</v>
      </c>
      <c r="AQ684" s="1" t="str">
        <f t="shared" si="285"/>
        <v>Paid</v>
      </c>
      <c r="AR684" s="1" t="str">
        <f t="shared" si="286"/>
        <v>OK</v>
      </c>
      <c r="AS684" s="1" t="s">
        <v>34</v>
      </c>
      <c r="AT684" s="4" t="str">
        <f t="shared" si="287"/>
        <v>Completed</v>
      </c>
      <c r="AU684" s="3" t="str">
        <f t="shared" si="288"/>
        <v>OK</v>
      </c>
      <c r="AV684" s="3" t="str">
        <f t="shared" si="294"/>
        <v>INVALID</v>
      </c>
      <c r="AW684" t="str">
        <f t="shared" si="295"/>
        <v>MATCH</v>
      </c>
      <c r="AX684" t="str">
        <f t="shared" si="296"/>
        <v>MATCH</v>
      </c>
    </row>
    <row r="685" spans="1:50" ht="15.6">
      <c r="A685" s="1" t="s">
        <v>1672</v>
      </c>
      <c r="B685" s="1">
        <f t="shared" si="270"/>
        <v>1</v>
      </c>
      <c r="C685" s="16">
        <v>45919</v>
      </c>
      <c r="D685" s="16">
        <v>45919</v>
      </c>
      <c r="E685" s="16" t="str">
        <f t="shared" si="289"/>
        <v>Sep</v>
      </c>
      <c r="F685" s="1">
        <f t="shared" si="290"/>
        <v>2025</v>
      </c>
      <c r="G685" t="s">
        <v>1519</v>
      </c>
      <c r="H685" s="17">
        <v>45862</v>
      </c>
      <c r="I685" s="21">
        <f t="shared" si="291"/>
        <v>-57</v>
      </c>
      <c r="J685" s="6" t="str">
        <f t="shared" si="292"/>
        <v>INVALID_SHIPPING</v>
      </c>
      <c r="K685" s="1" t="s">
        <v>1674</v>
      </c>
      <c r="L685" s="1" t="s">
        <v>59</v>
      </c>
      <c r="M685" s="1" t="str">
        <f t="shared" si="271"/>
        <v>Arjun Bose</v>
      </c>
      <c r="N685" s="1" t="s">
        <v>1675</v>
      </c>
      <c r="O685" s="1" t="str">
        <f t="shared" si="272"/>
        <v>Home Office</v>
      </c>
      <c r="P685" s="1" t="s">
        <v>26</v>
      </c>
      <c r="Q685" s="1" t="str">
        <f t="shared" si="273"/>
        <v>North</v>
      </c>
      <c r="R685" s="1" t="str">
        <f t="shared" si="274"/>
        <v>OK</v>
      </c>
      <c r="S685" s="1" t="s">
        <v>454</v>
      </c>
      <c r="T685" s="1" t="str">
        <f t="shared" si="275"/>
        <v>Delhi</v>
      </c>
      <c r="U685" s="1" t="s">
        <v>455</v>
      </c>
      <c r="V685" s="1" t="str">
        <f t="shared" si="276"/>
        <v>New Delhi</v>
      </c>
      <c r="W685" s="1" t="s">
        <v>29</v>
      </c>
      <c r="X685" s="1" t="str">
        <f t="shared" si="277"/>
        <v>Office Supplies</v>
      </c>
      <c r="Y685" s="1" t="s">
        <v>184</v>
      </c>
      <c r="Z685" s="1" t="str">
        <f t="shared" si="278"/>
        <v>Binders</v>
      </c>
      <c r="AA685" s="1" t="s">
        <v>1676</v>
      </c>
      <c r="AB685" s="1" t="s">
        <v>65</v>
      </c>
      <c r="AC685" s="1" t="str">
        <f t="shared" si="279"/>
        <v>Standard Class</v>
      </c>
      <c r="AD685" s="1" t="str">
        <f t="shared" si="280"/>
        <v>OK</v>
      </c>
      <c r="AE685" s="1">
        <v>4</v>
      </c>
      <c r="AF685" s="1">
        <v>4387.1499999999996</v>
      </c>
      <c r="AG685" s="9">
        <v>0.05</v>
      </c>
      <c r="AH685" s="9">
        <f t="shared" si="281"/>
        <v>0.05</v>
      </c>
      <c r="AI685" s="1" t="str">
        <f t="shared" si="282"/>
        <v>OK</v>
      </c>
      <c r="AJ685" s="1">
        <v>16671.169999999998</v>
      </c>
      <c r="AK685" s="1">
        <v>10833.19</v>
      </c>
      <c r="AL685" s="1">
        <v>5837.98</v>
      </c>
      <c r="AM685" s="13">
        <f t="shared" si="283"/>
        <v>16671.169999999998</v>
      </c>
      <c r="AN685" s="9">
        <f t="shared" si="284"/>
        <v>5837.9799999999977</v>
      </c>
      <c r="AO685" s="9">
        <f t="shared" si="293"/>
        <v>0.35018418023450054</v>
      </c>
      <c r="AP685" s="1" t="s">
        <v>186</v>
      </c>
      <c r="AQ685" s="1" t="str">
        <f t="shared" si="285"/>
        <v>Failed</v>
      </c>
      <c r="AR685" s="1" t="str">
        <f t="shared" si="286"/>
        <v>EXCLUDE_FROM_SALES</v>
      </c>
      <c r="AS685" s="1" t="s">
        <v>76</v>
      </c>
      <c r="AT685" s="4" t="str">
        <f t="shared" si="287"/>
        <v>Cancelled</v>
      </c>
      <c r="AU685" s="3" t="str">
        <f t="shared" si="288"/>
        <v>EXCLUDE_FROM_SALES</v>
      </c>
      <c r="AV685" s="3" t="str">
        <f t="shared" si="294"/>
        <v>INVALID</v>
      </c>
      <c r="AW685" t="str">
        <f t="shared" si="295"/>
        <v>MATCH</v>
      </c>
      <c r="AX685" t="str">
        <f t="shared" si="296"/>
        <v>MATCH</v>
      </c>
    </row>
    <row r="686" spans="1:50" ht="15.6" hidden="1">
      <c r="A686" s="1" t="s">
        <v>1677</v>
      </c>
      <c r="B686" s="1">
        <f t="shared" si="270"/>
        <v>1</v>
      </c>
      <c r="C686" s="16">
        <v>45750</v>
      </c>
      <c r="D686" s="16">
        <v>45750</v>
      </c>
      <c r="E686" s="16" t="str">
        <f t="shared" si="289"/>
        <v>Apr</v>
      </c>
      <c r="F686" s="1">
        <f t="shared" si="290"/>
        <v>2025</v>
      </c>
      <c r="G686" t="s">
        <v>444</v>
      </c>
      <c r="H686" s="17">
        <v>45859</v>
      </c>
      <c r="I686" s="21">
        <f t="shared" si="291"/>
        <v>109</v>
      </c>
      <c r="J686" s="6" t="str">
        <f t="shared" si="292"/>
        <v>OK</v>
      </c>
      <c r="K686" s="1" t="s">
        <v>189</v>
      </c>
      <c r="L686" s="1" t="s">
        <v>59</v>
      </c>
      <c r="M686" s="1" t="str">
        <f t="shared" si="271"/>
        <v>Arjun Bose</v>
      </c>
      <c r="N686" s="1" t="s">
        <v>40</v>
      </c>
      <c r="O686" s="1" t="str">
        <f t="shared" si="272"/>
        <v>Small Business</v>
      </c>
      <c r="P686" s="1" t="s">
        <v>41</v>
      </c>
      <c r="Q686" s="1" t="str">
        <f t="shared" si="273"/>
        <v>East</v>
      </c>
      <c r="R686" s="1" t="str">
        <f t="shared" si="274"/>
        <v>OK</v>
      </c>
      <c r="S686" s="1" t="s">
        <v>174</v>
      </c>
      <c r="T686" s="1" t="str">
        <f t="shared" si="275"/>
        <v>Bihar</v>
      </c>
      <c r="U686" s="1" t="s">
        <v>175</v>
      </c>
      <c r="V686" s="1" t="str">
        <f t="shared" si="276"/>
        <v>Patna</v>
      </c>
      <c r="W686" s="1" t="s">
        <v>1678</v>
      </c>
      <c r="X686" s="1" t="str">
        <f t="shared" si="277"/>
        <v>Technology</v>
      </c>
      <c r="Y686" s="1" t="s">
        <v>207</v>
      </c>
      <c r="Z686" s="1" t="str">
        <f t="shared" si="278"/>
        <v>Phones</v>
      </c>
      <c r="AA686" s="1" t="s">
        <v>1679</v>
      </c>
      <c r="AB686" s="1" t="s">
        <v>55</v>
      </c>
      <c r="AC686" s="1" t="str">
        <f t="shared" si="279"/>
        <v>First Class</v>
      </c>
      <c r="AD686" s="1" t="str">
        <f t="shared" si="280"/>
        <v>OK</v>
      </c>
      <c r="AE686" s="1">
        <v>3</v>
      </c>
      <c r="AF686" s="1">
        <v>4361.8500000000004</v>
      </c>
      <c r="AG686" s="9">
        <v>0.2</v>
      </c>
      <c r="AH686" s="9">
        <f t="shared" si="281"/>
        <v>0.2</v>
      </c>
      <c r="AI686" s="1" t="str">
        <f t="shared" si="282"/>
        <v>OK</v>
      </c>
      <c r="AJ686" s="1">
        <v>10468.44</v>
      </c>
      <c r="AK686" s="1">
        <v>8399.8700000000008</v>
      </c>
      <c r="AL686" s="1">
        <v>2068.5700000000002</v>
      </c>
      <c r="AM686" s="13">
        <f t="shared" si="283"/>
        <v>10468.440000000002</v>
      </c>
      <c r="AN686" s="9">
        <f t="shared" si="284"/>
        <v>2068.5700000000015</v>
      </c>
      <c r="AO686" s="9">
        <f t="shared" si="293"/>
        <v>0.19760059760575607</v>
      </c>
      <c r="AP686" s="1" t="s">
        <v>33</v>
      </c>
      <c r="AQ686" s="1" t="str">
        <f t="shared" si="285"/>
        <v>Paid</v>
      </c>
      <c r="AR686" s="1" t="str">
        <f t="shared" si="286"/>
        <v>OK</v>
      </c>
      <c r="AS686" s="1" t="s">
        <v>34</v>
      </c>
      <c r="AT686" s="4" t="str">
        <f t="shared" si="287"/>
        <v>Completed</v>
      </c>
      <c r="AU686" s="3" t="str">
        <f t="shared" si="288"/>
        <v>OK</v>
      </c>
      <c r="AV686" s="3" t="str">
        <f t="shared" si="294"/>
        <v>CLEAN</v>
      </c>
      <c r="AW686" t="str">
        <f t="shared" si="295"/>
        <v>MATCH</v>
      </c>
      <c r="AX686" t="str">
        <f t="shared" si="296"/>
        <v>MATCH</v>
      </c>
    </row>
    <row r="687" spans="1:50" ht="15.6" hidden="1">
      <c r="A687" s="1" t="s">
        <v>1680</v>
      </c>
      <c r="B687" s="1">
        <f t="shared" si="270"/>
        <v>1</v>
      </c>
      <c r="C687" s="16">
        <v>45836</v>
      </c>
      <c r="D687" s="16">
        <v>45836</v>
      </c>
      <c r="E687" s="16" t="str">
        <f t="shared" si="289"/>
        <v>Jun</v>
      </c>
      <c r="F687" s="1">
        <f t="shared" si="290"/>
        <v>2025</v>
      </c>
      <c r="G687" t="s">
        <v>448</v>
      </c>
      <c r="H687" s="17">
        <v>45933</v>
      </c>
      <c r="I687" s="21">
        <f t="shared" si="291"/>
        <v>97</v>
      </c>
      <c r="J687" s="6" t="str">
        <f t="shared" si="292"/>
        <v>OK</v>
      </c>
      <c r="K687" s="1" t="s">
        <v>1681</v>
      </c>
      <c r="L687" s="1" t="s">
        <v>80</v>
      </c>
      <c r="M687" s="1" t="str">
        <f t="shared" si="271"/>
        <v>Vikram Iyer</v>
      </c>
      <c r="N687" s="1" t="s">
        <v>104</v>
      </c>
      <c r="O687" s="1" t="str">
        <f t="shared" si="272"/>
        <v>Corporate</v>
      </c>
      <c r="P687" s="1" t="s">
        <v>41</v>
      </c>
      <c r="Q687" s="1" t="str">
        <f t="shared" si="273"/>
        <v>East</v>
      </c>
      <c r="R687" s="1" t="str">
        <f t="shared" si="274"/>
        <v>OK</v>
      </c>
      <c r="S687" s="1" t="s">
        <v>116</v>
      </c>
      <c r="T687" s="1" t="str">
        <f t="shared" si="275"/>
        <v>West Bengal</v>
      </c>
      <c r="U687" s="1" t="s">
        <v>117</v>
      </c>
      <c r="V687" s="1" t="str">
        <f t="shared" si="276"/>
        <v>Kolkata</v>
      </c>
      <c r="W687" s="1" t="s">
        <v>29</v>
      </c>
      <c r="X687" s="1" t="str">
        <f t="shared" si="277"/>
        <v>Office Supplies</v>
      </c>
      <c r="Y687" s="1" t="s">
        <v>53</v>
      </c>
      <c r="Z687" s="1" t="str">
        <f t="shared" si="278"/>
        <v>Art</v>
      </c>
      <c r="AA687" s="1" t="s">
        <v>1682</v>
      </c>
      <c r="AB687" s="1" t="s">
        <v>55</v>
      </c>
      <c r="AC687" s="1" t="str">
        <f t="shared" si="279"/>
        <v>First Class</v>
      </c>
      <c r="AD687" s="1" t="str">
        <f t="shared" si="280"/>
        <v>OK</v>
      </c>
      <c r="AE687" s="1">
        <v>2</v>
      </c>
      <c r="AF687" s="1">
        <v>2242.75</v>
      </c>
      <c r="AG687" s="9">
        <v>0</v>
      </c>
      <c r="AH687" s="9">
        <f t="shared" si="281"/>
        <v>0</v>
      </c>
      <c r="AI687" s="1" t="str">
        <f t="shared" si="282"/>
        <v>OK</v>
      </c>
      <c r="AJ687" s="1">
        <v>4485.5</v>
      </c>
      <c r="AK687" s="1">
        <v>3131.86</v>
      </c>
      <c r="AL687" s="1">
        <v>1353.64</v>
      </c>
      <c r="AM687" s="13">
        <f t="shared" si="283"/>
        <v>4485.5</v>
      </c>
      <c r="AN687" s="9">
        <f t="shared" si="284"/>
        <v>1353.6399999999999</v>
      </c>
      <c r="AO687" s="9">
        <f t="shared" si="293"/>
        <v>0.30178129528480657</v>
      </c>
      <c r="AP687" s="1" t="s">
        <v>33</v>
      </c>
      <c r="AQ687" s="1" t="str">
        <f t="shared" si="285"/>
        <v>Paid</v>
      </c>
      <c r="AR687" s="1" t="str">
        <f t="shared" si="286"/>
        <v>OK</v>
      </c>
      <c r="AS687" s="1" t="s">
        <v>76</v>
      </c>
      <c r="AT687" s="4" t="str">
        <f t="shared" si="287"/>
        <v>Cancelled</v>
      </c>
      <c r="AU687" s="3" t="str">
        <f t="shared" si="288"/>
        <v>EXCLUDE_FROM_SALES</v>
      </c>
      <c r="AV687" s="3" t="str">
        <f t="shared" si="294"/>
        <v>CLEAN</v>
      </c>
      <c r="AW687" t="str">
        <f t="shared" si="295"/>
        <v>MATCH</v>
      </c>
      <c r="AX687" t="str">
        <f t="shared" si="296"/>
        <v>MATCH</v>
      </c>
    </row>
    <row r="688" spans="1:50" ht="15.6">
      <c r="A688" s="1" t="s">
        <v>1687</v>
      </c>
      <c r="B688" s="1">
        <f t="shared" si="270"/>
        <v>1</v>
      </c>
      <c r="C688" s="16">
        <v>45832</v>
      </c>
      <c r="D688" s="16">
        <v>45832</v>
      </c>
      <c r="E688" s="16" t="str">
        <f t="shared" si="289"/>
        <v>Jun</v>
      </c>
      <c r="F688" s="1">
        <f t="shared" si="290"/>
        <v>2025</v>
      </c>
      <c r="G688" t="s">
        <v>1908</v>
      </c>
      <c r="H688" s="17">
        <v>45384</v>
      </c>
      <c r="I688" s="21">
        <f t="shared" si="291"/>
        <v>-448</v>
      </c>
      <c r="J688" s="6" t="str">
        <f t="shared" si="292"/>
        <v>INVALID_SHIPPING</v>
      </c>
      <c r="K688" s="1" t="s">
        <v>1689</v>
      </c>
      <c r="L688" s="1" t="s">
        <v>59</v>
      </c>
      <c r="M688" s="1" t="str">
        <f t="shared" si="271"/>
        <v>Arjun Bose</v>
      </c>
      <c r="N688" s="1" t="s">
        <v>25</v>
      </c>
      <c r="O688" s="1" t="str">
        <f t="shared" si="272"/>
        <v>Consumer</v>
      </c>
      <c r="P688" s="1" t="s">
        <v>26</v>
      </c>
      <c r="Q688" s="1" t="str">
        <f t="shared" si="273"/>
        <v>North</v>
      </c>
      <c r="R688" s="1" t="str">
        <f t="shared" si="274"/>
        <v>OK</v>
      </c>
      <c r="S688" s="1" t="s">
        <v>294</v>
      </c>
      <c r="T688" s="1" t="str">
        <f t="shared" si="275"/>
        <v>Haryana</v>
      </c>
      <c r="U688" s="1" t="s">
        <v>295</v>
      </c>
      <c r="V688" s="1" t="str">
        <f t="shared" si="276"/>
        <v>Gurugram</v>
      </c>
      <c r="W688" s="1" t="s">
        <v>29</v>
      </c>
      <c r="X688" s="1" t="str">
        <f t="shared" si="277"/>
        <v>Office Supplies</v>
      </c>
      <c r="Y688" s="1" t="s">
        <v>105</v>
      </c>
      <c r="Z688" s="1" t="str">
        <f t="shared" si="278"/>
        <v>Labels</v>
      </c>
      <c r="AA688" s="1" t="s">
        <v>1690</v>
      </c>
      <c r="AB688" s="1" t="s">
        <v>65</v>
      </c>
      <c r="AC688" s="1" t="str">
        <f t="shared" si="279"/>
        <v>Standard Class</v>
      </c>
      <c r="AD688" s="1" t="str">
        <f t="shared" si="280"/>
        <v>OK</v>
      </c>
      <c r="AE688" s="1">
        <v>6</v>
      </c>
      <c r="AF688" s="1">
        <v>365.76</v>
      </c>
      <c r="AG688" s="9">
        <v>0.1</v>
      </c>
      <c r="AH688" s="9">
        <f t="shared" si="281"/>
        <v>0.1</v>
      </c>
      <c r="AI688" s="1" t="str">
        <f t="shared" si="282"/>
        <v>OK</v>
      </c>
      <c r="AJ688" s="1">
        <v>1975.1</v>
      </c>
      <c r="AK688" s="1">
        <v>1115.3499999999999</v>
      </c>
      <c r="AL688" s="1">
        <v>859.75</v>
      </c>
      <c r="AM688" s="13">
        <f t="shared" si="283"/>
        <v>1975.104</v>
      </c>
      <c r="AN688" s="9">
        <f t="shared" si="284"/>
        <v>859.75400000000013</v>
      </c>
      <c r="AO688" s="9">
        <f t="shared" si="293"/>
        <v>0.4352955591199249</v>
      </c>
      <c r="AP688" s="1" t="s">
        <v>33</v>
      </c>
      <c r="AQ688" s="1" t="str">
        <f t="shared" si="285"/>
        <v>Paid</v>
      </c>
      <c r="AR688" s="1" t="str">
        <f t="shared" si="286"/>
        <v>OK</v>
      </c>
      <c r="AS688" s="1" t="s">
        <v>34</v>
      </c>
      <c r="AT688" s="4" t="str">
        <f t="shared" si="287"/>
        <v>Completed</v>
      </c>
      <c r="AU688" s="3" t="str">
        <f t="shared" si="288"/>
        <v>OK</v>
      </c>
      <c r="AV688" s="3" t="str">
        <f t="shared" si="294"/>
        <v>INVALID</v>
      </c>
      <c r="AW688" t="str">
        <f t="shared" si="295"/>
        <v>MATCH</v>
      </c>
      <c r="AX688" t="str">
        <f t="shared" si="296"/>
        <v>MATCH</v>
      </c>
    </row>
    <row r="689" spans="1:50" ht="15.6">
      <c r="A689" s="1" t="s">
        <v>1691</v>
      </c>
      <c r="B689" s="1">
        <f t="shared" si="270"/>
        <v>1</v>
      </c>
      <c r="C689" s="16">
        <v>45993</v>
      </c>
      <c r="D689" s="16">
        <v>45993</v>
      </c>
      <c r="E689" s="16" t="str">
        <f t="shared" si="289"/>
        <v>Dec</v>
      </c>
      <c r="F689" s="1">
        <f t="shared" si="290"/>
        <v>2025</v>
      </c>
      <c r="G689" t="s">
        <v>2826</v>
      </c>
      <c r="H689" s="17">
        <v>45943</v>
      </c>
      <c r="I689" s="21">
        <f t="shared" si="291"/>
        <v>-50</v>
      </c>
      <c r="J689" s="6" t="str">
        <f t="shared" si="292"/>
        <v>INVALID_SHIPPING</v>
      </c>
      <c r="K689" s="1" t="s">
        <v>1693</v>
      </c>
      <c r="L689" s="1" t="s">
        <v>158</v>
      </c>
      <c r="M689" s="1" t="str">
        <f t="shared" si="271"/>
        <v>Sneha Kapoor</v>
      </c>
      <c r="N689" s="1" t="s">
        <v>25</v>
      </c>
      <c r="O689" s="1" t="str">
        <f t="shared" si="272"/>
        <v>Consumer</v>
      </c>
      <c r="P689" s="1" t="s">
        <v>71</v>
      </c>
      <c r="Q689" s="1" t="str">
        <f t="shared" si="273"/>
        <v>West</v>
      </c>
      <c r="R689" s="1" t="str">
        <f t="shared" si="274"/>
        <v>OK</v>
      </c>
      <c r="S689" s="1" t="s">
        <v>72</v>
      </c>
      <c r="T689" s="1" t="str">
        <f t="shared" si="275"/>
        <v>Maharashtra</v>
      </c>
      <c r="U689" s="1" t="s">
        <v>73</v>
      </c>
      <c r="V689" s="1" t="str">
        <f t="shared" si="276"/>
        <v>Mumbai</v>
      </c>
      <c r="W689" s="1" t="s">
        <v>44</v>
      </c>
      <c r="X689" s="1" t="str">
        <f t="shared" si="277"/>
        <v>Furniture</v>
      </c>
      <c r="Y689" s="1" t="s">
        <v>63</v>
      </c>
      <c r="Z689" s="1" t="str">
        <f t="shared" si="278"/>
        <v>Furnishings</v>
      </c>
      <c r="AA689" s="1" t="s">
        <v>1694</v>
      </c>
      <c r="AB689" s="1" t="s">
        <v>32</v>
      </c>
      <c r="AC689" s="1" t="str">
        <f t="shared" si="279"/>
        <v>Second Class</v>
      </c>
      <c r="AD689" s="1" t="str">
        <f t="shared" si="280"/>
        <v>OK</v>
      </c>
      <c r="AE689" s="1">
        <v>8</v>
      </c>
      <c r="AF689" s="1">
        <v>2786.66</v>
      </c>
      <c r="AG689" s="9">
        <v>0.1</v>
      </c>
      <c r="AH689" s="9">
        <f t="shared" si="281"/>
        <v>0.1</v>
      </c>
      <c r="AI689" s="1" t="str">
        <f t="shared" si="282"/>
        <v>OK</v>
      </c>
      <c r="AJ689" s="1">
        <v>20063.95</v>
      </c>
      <c r="AK689" s="1">
        <v>14363.38</v>
      </c>
      <c r="AL689" s="1">
        <v>5700.57</v>
      </c>
      <c r="AM689" s="13">
        <f t="shared" si="283"/>
        <v>20063.952000000001</v>
      </c>
      <c r="AN689" s="9">
        <f t="shared" si="284"/>
        <v>5700.5720000000019</v>
      </c>
      <c r="AO689" s="9">
        <f t="shared" si="293"/>
        <v>0.2841200975759911</v>
      </c>
      <c r="AP689" s="1" t="s">
        <v>33</v>
      </c>
      <c r="AQ689" s="1" t="str">
        <f t="shared" si="285"/>
        <v>Paid</v>
      </c>
      <c r="AR689" s="1" t="str">
        <f t="shared" si="286"/>
        <v>OK</v>
      </c>
      <c r="AS689" s="1" t="s">
        <v>34</v>
      </c>
      <c r="AT689" s="4" t="str">
        <f t="shared" si="287"/>
        <v>Completed</v>
      </c>
      <c r="AU689" s="3" t="str">
        <f t="shared" si="288"/>
        <v>OK</v>
      </c>
      <c r="AV689" s="3" t="str">
        <f t="shared" si="294"/>
        <v>INVALID</v>
      </c>
      <c r="AW689" t="str">
        <f t="shared" si="295"/>
        <v>MATCH</v>
      </c>
      <c r="AX689" t="str">
        <f t="shared" si="296"/>
        <v>MATCH</v>
      </c>
    </row>
    <row r="690" spans="1:50" ht="15.6">
      <c r="A690" s="1" t="s">
        <v>1695</v>
      </c>
      <c r="B690" s="1">
        <f t="shared" si="270"/>
        <v>1</v>
      </c>
      <c r="C690" s="16">
        <v>45879</v>
      </c>
      <c r="D690" s="16">
        <v>45879</v>
      </c>
      <c r="E690" s="16" t="str">
        <f t="shared" si="289"/>
        <v>Aug</v>
      </c>
      <c r="F690" s="1">
        <f t="shared" si="290"/>
        <v>2025</v>
      </c>
      <c r="G690" t="s">
        <v>2830</v>
      </c>
      <c r="H690" s="17">
        <v>45715</v>
      </c>
      <c r="I690" s="21">
        <f t="shared" si="291"/>
        <v>-164</v>
      </c>
      <c r="J690" s="6" t="str">
        <f t="shared" si="292"/>
        <v>INVALID_SHIPPING</v>
      </c>
      <c r="K690" s="1" t="s">
        <v>1696</v>
      </c>
      <c r="L690" s="1" t="s">
        <v>136</v>
      </c>
      <c r="M690" s="1" t="str">
        <f t="shared" si="271"/>
        <v>Priya Menon</v>
      </c>
      <c r="N690" s="1" t="s">
        <v>40</v>
      </c>
      <c r="O690" s="1" t="str">
        <f t="shared" si="272"/>
        <v>Small Business</v>
      </c>
      <c r="P690" s="1" t="s">
        <v>71</v>
      </c>
      <c r="Q690" s="1" t="str">
        <f t="shared" si="273"/>
        <v>West</v>
      </c>
      <c r="R690" s="1" t="str">
        <f t="shared" si="274"/>
        <v>OK</v>
      </c>
      <c r="S690" s="1" t="s">
        <v>81</v>
      </c>
      <c r="T690" s="1" t="str">
        <f t="shared" si="275"/>
        <v>Madhya Pradesh</v>
      </c>
      <c r="U690" s="1" t="s">
        <v>82</v>
      </c>
      <c r="V690" s="1" t="str">
        <f t="shared" si="276"/>
        <v>Indore</v>
      </c>
      <c r="W690" s="1" t="s">
        <v>44</v>
      </c>
      <c r="X690" s="1" t="str">
        <f t="shared" si="277"/>
        <v>Furniture</v>
      </c>
      <c r="Y690" s="1" t="s">
        <v>74</v>
      </c>
      <c r="Z690" s="1" t="str">
        <f t="shared" si="278"/>
        <v>Chairs</v>
      </c>
      <c r="AA690" s="1" t="s">
        <v>1697</v>
      </c>
      <c r="AB690" s="1" t="s">
        <v>65</v>
      </c>
      <c r="AC690" s="1" t="str">
        <f t="shared" si="279"/>
        <v>Standard Class</v>
      </c>
      <c r="AD690" s="1" t="str">
        <f t="shared" si="280"/>
        <v>OK</v>
      </c>
      <c r="AE690" s="1">
        <v>5</v>
      </c>
      <c r="AF690" s="1">
        <v>352.86</v>
      </c>
      <c r="AG690" s="9">
        <v>0</v>
      </c>
      <c r="AH690" s="9">
        <f t="shared" si="281"/>
        <v>0</v>
      </c>
      <c r="AI690" s="1" t="str">
        <f t="shared" si="282"/>
        <v>OK</v>
      </c>
      <c r="AJ690" s="1">
        <v>1764.3</v>
      </c>
      <c r="AK690" s="1">
        <v>1332.49</v>
      </c>
      <c r="AL690" s="1">
        <v>431.81</v>
      </c>
      <c r="AM690" s="13">
        <f t="shared" si="283"/>
        <v>1764.3000000000002</v>
      </c>
      <c r="AN690" s="9">
        <f t="shared" si="284"/>
        <v>431.81000000000017</v>
      </c>
      <c r="AO690" s="9">
        <f t="shared" si="293"/>
        <v>0.24474862551720236</v>
      </c>
      <c r="AP690" s="1" t="s">
        <v>131</v>
      </c>
      <c r="AQ690" s="1" t="str">
        <f t="shared" si="285"/>
        <v>Pending</v>
      </c>
      <c r="AR690" s="1" t="str">
        <f t="shared" si="286"/>
        <v>OK</v>
      </c>
      <c r="AS690" s="1" t="s">
        <v>76</v>
      </c>
      <c r="AT690" s="4" t="str">
        <f t="shared" si="287"/>
        <v>Cancelled</v>
      </c>
      <c r="AU690" s="3" t="str">
        <f t="shared" si="288"/>
        <v>EXCLUDE_FROM_SALES</v>
      </c>
      <c r="AV690" s="3" t="str">
        <f t="shared" si="294"/>
        <v>INVALID</v>
      </c>
      <c r="AW690" t="str">
        <f t="shared" si="295"/>
        <v>MATCH</v>
      </c>
      <c r="AX690" t="str">
        <f t="shared" si="296"/>
        <v>MATCH</v>
      </c>
    </row>
    <row r="691" spans="1:50" ht="15.6">
      <c r="A691" s="1" t="s">
        <v>1708</v>
      </c>
      <c r="B691" s="1">
        <f t="shared" si="270"/>
        <v>1</v>
      </c>
      <c r="C691" s="16">
        <v>45702</v>
      </c>
      <c r="D691" s="16">
        <v>45702</v>
      </c>
      <c r="E691" s="16" t="str">
        <f t="shared" si="289"/>
        <v>Feb</v>
      </c>
      <c r="F691" s="1">
        <f t="shared" si="290"/>
        <v>2025</v>
      </c>
      <c r="G691" t="s">
        <v>2835</v>
      </c>
      <c r="H691" s="17">
        <v>45571</v>
      </c>
      <c r="I691" s="21">
        <f t="shared" si="291"/>
        <v>-131</v>
      </c>
      <c r="J691" s="6" t="str">
        <f t="shared" si="292"/>
        <v>INVALID_SHIPPING</v>
      </c>
      <c r="K691" s="1" t="s">
        <v>1710</v>
      </c>
      <c r="L691" s="1" t="s">
        <v>196</v>
      </c>
      <c r="M691" s="1" t="str">
        <f t="shared" si="271"/>
        <v>Diya Patel</v>
      </c>
      <c r="N691" s="1" t="s">
        <v>25</v>
      </c>
      <c r="O691" s="1" t="str">
        <f t="shared" si="272"/>
        <v>Consumer</v>
      </c>
      <c r="P691" s="1" t="s">
        <v>60</v>
      </c>
      <c r="Q691" s="1" t="str">
        <f t="shared" si="273"/>
        <v>South</v>
      </c>
      <c r="R691" s="1" t="str">
        <f t="shared" si="274"/>
        <v>OK</v>
      </c>
      <c r="S691" s="1" t="s">
        <v>212</v>
      </c>
      <c r="T691" s="1" t="str">
        <f t="shared" si="275"/>
        <v>Karnataka</v>
      </c>
      <c r="U691" s="1" t="s">
        <v>213</v>
      </c>
      <c r="V691" s="1" t="str">
        <f t="shared" si="276"/>
        <v>Bengaluru</v>
      </c>
      <c r="W691" s="1" t="s">
        <v>29</v>
      </c>
      <c r="X691" s="1" t="str">
        <f t="shared" si="277"/>
        <v>Office Supplies</v>
      </c>
      <c r="Y691" s="1" t="s">
        <v>148</v>
      </c>
      <c r="Z691" s="1" t="str">
        <f t="shared" si="278"/>
        <v>Storage</v>
      </c>
      <c r="AA691" s="1" t="s">
        <v>1711</v>
      </c>
      <c r="AB691" s="1" t="s">
        <v>55</v>
      </c>
      <c r="AC691" s="1" t="str">
        <f t="shared" si="279"/>
        <v>First Class</v>
      </c>
      <c r="AD691" s="1" t="str">
        <f t="shared" si="280"/>
        <v>OK</v>
      </c>
      <c r="AE691" s="1">
        <v>1</v>
      </c>
      <c r="AF691" s="1">
        <v>714.43</v>
      </c>
      <c r="AG691" s="9">
        <v>0</v>
      </c>
      <c r="AH691" s="9">
        <f t="shared" si="281"/>
        <v>0</v>
      </c>
      <c r="AI691" s="1" t="str">
        <f t="shared" si="282"/>
        <v>OK</v>
      </c>
      <c r="AJ691" s="1">
        <v>714.43</v>
      </c>
      <c r="AK691" s="1">
        <v>565.44000000000005</v>
      </c>
      <c r="AL691" s="1">
        <v>148.99</v>
      </c>
      <c r="AM691" s="13">
        <f t="shared" si="283"/>
        <v>714.43</v>
      </c>
      <c r="AN691" s="9">
        <f t="shared" si="284"/>
        <v>148.9899999999999</v>
      </c>
      <c r="AO691" s="9">
        <f t="shared" si="293"/>
        <v>0.20854387413742412</v>
      </c>
      <c r="AP691" s="1" t="s">
        <v>33</v>
      </c>
      <c r="AQ691" s="1" t="str">
        <f t="shared" si="285"/>
        <v>Paid</v>
      </c>
      <c r="AR691" s="1" t="str">
        <f t="shared" si="286"/>
        <v>OK</v>
      </c>
      <c r="AS691" s="1" t="s">
        <v>34</v>
      </c>
      <c r="AT691" s="4" t="str">
        <f t="shared" si="287"/>
        <v>Completed</v>
      </c>
      <c r="AU691" s="3" t="str">
        <f t="shared" si="288"/>
        <v>OK</v>
      </c>
      <c r="AV691" s="3" t="str">
        <f t="shared" si="294"/>
        <v>INVALID</v>
      </c>
      <c r="AW691" t="str">
        <f t="shared" si="295"/>
        <v>MATCH</v>
      </c>
      <c r="AX691" t="str">
        <f t="shared" si="296"/>
        <v>MATCH</v>
      </c>
    </row>
    <row r="692" spans="1:50" ht="15.6">
      <c r="A692" s="1" t="s">
        <v>1727</v>
      </c>
      <c r="B692" s="1">
        <f t="shared" si="270"/>
        <v>1</v>
      </c>
      <c r="C692" s="16">
        <v>45761</v>
      </c>
      <c r="D692" s="16">
        <v>45761</v>
      </c>
      <c r="E692" s="16" t="str">
        <f t="shared" si="289"/>
        <v>Apr</v>
      </c>
      <c r="F692" s="1">
        <f t="shared" si="290"/>
        <v>2025</v>
      </c>
      <c r="G692" t="s">
        <v>2839</v>
      </c>
      <c r="H692" s="17">
        <v>45550</v>
      </c>
      <c r="I692" s="21">
        <f t="shared" si="291"/>
        <v>-211</v>
      </c>
      <c r="J692" s="6" t="str">
        <f t="shared" si="292"/>
        <v>INVALID_SHIPPING</v>
      </c>
      <c r="K692" s="1" t="s">
        <v>1730</v>
      </c>
      <c r="L692" s="1" t="s">
        <v>103</v>
      </c>
      <c r="M692" s="1" t="str">
        <f t="shared" si="271"/>
        <v>Aditi Sen</v>
      </c>
      <c r="N692" s="1" t="s">
        <v>40</v>
      </c>
      <c r="O692" s="1" t="str">
        <f t="shared" si="272"/>
        <v>Small Business</v>
      </c>
      <c r="P692" s="1" t="s">
        <v>60</v>
      </c>
      <c r="Q692" s="1" t="str">
        <f t="shared" si="273"/>
        <v>South</v>
      </c>
      <c r="R692" s="1" t="str">
        <f t="shared" si="274"/>
        <v>OK</v>
      </c>
      <c r="S692" s="1" t="s">
        <v>212</v>
      </c>
      <c r="T692" s="1" t="str">
        <f t="shared" si="275"/>
        <v>Karnataka</v>
      </c>
      <c r="U692" s="1" t="s">
        <v>213</v>
      </c>
      <c r="V692" s="1" t="str">
        <f t="shared" si="276"/>
        <v>Bengaluru</v>
      </c>
      <c r="W692" s="1" t="s">
        <v>83</v>
      </c>
      <c r="X692" s="1" t="str">
        <f t="shared" si="277"/>
        <v>Technology</v>
      </c>
      <c r="Y692" s="1" t="s">
        <v>347</v>
      </c>
      <c r="Z692" s="1" t="str">
        <f t="shared" si="278"/>
        <v>Machines</v>
      </c>
      <c r="AA692" s="1" t="s">
        <v>1731</v>
      </c>
      <c r="AB692" s="1" t="s">
        <v>65</v>
      </c>
      <c r="AC692" s="1" t="str">
        <f t="shared" si="279"/>
        <v>Standard Class</v>
      </c>
      <c r="AD692" s="1" t="str">
        <f t="shared" si="280"/>
        <v>OK</v>
      </c>
      <c r="AE692" s="1">
        <v>2</v>
      </c>
      <c r="AF692" s="1">
        <v>638.73</v>
      </c>
      <c r="AG692" s="9">
        <v>0.05</v>
      </c>
      <c r="AH692" s="9">
        <f t="shared" si="281"/>
        <v>0.05</v>
      </c>
      <c r="AI692" s="1" t="str">
        <f t="shared" si="282"/>
        <v>OK</v>
      </c>
      <c r="AJ692" s="1">
        <v>1213.5899999999999</v>
      </c>
      <c r="AK692" s="1">
        <v>956.22</v>
      </c>
      <c r="AL692" s="1">
        <v>257.37</v>
      </c>
      <c r="AM692" s="13">
        <f t="shared" si="283"/>
        <v>1213.587</v>
      </c>
      <c r="AN692" s="9">
        <f t="shared" si="284"/>
        <v>257.36699999999996</v>
      </c>
      <c r="AO692" s="9">
        <f t="shared" si="293"/>
        <v>0.21207132245154239</v>
      </c>
      <c r="AP692" s="1" t="s">
        <v>33</v>
      </c>
      <c r="AQ692" s="1" t="str">
        <f t="shared" si="285"/>
        <v>Paid</v>
      </c>
      <c r="AR692" s="1" t="str">
        <f t="shared" si="286"/>
        <v>OK</v>
      </c>
      <c r="AS692" s="1" t="s">
        <v>34</v>
      </c>
      <c r="AT692" s="4" t="str">
        <f t="shared" si="287"/>
        <v>Completed</v>
      </c>
      <c r="AU692" s="3" t="str">
        <f t="shared" si="288"/>
        <v>OK</v>
      </c>
      <c r="AV692" s="3" t="str">
        <f t="shared" si="294"/>
        <v>INVALID</v>
      </c>
      <c r="AW692" t="str">
        <f t="shared" si="295"/>
        <v>MATCH</v>
      </c>
      <c r="AX692" t="str">
        <f t="shared" si="296"/>
        <v>MATCH</v>
      </c>
    </row>
    <row r="693" spans="1:50" ht="15.6">
      <c r="A693" s="1" t="s">
        <v>1732</v>
      </c>
      <c r="B693" s="1">
        <f t="shared" si="270"/>
        <v>1</v>
      </c>
      <c r="C693" s="16">
        <v>45906</v>
      </c>
      <c r="D693" s="16">
        <v>45906</v>
      </c>
      <c r="E693" s="16" t="str">
        <f t="shared" si="289"/>
        <v>Sep</v>
      </c>
      <c r="F693" s="1">
        <f t="shared" si="290"/>
        <v>2025</v>
      </c>
      <c r="G693" t="s">
        <v>2843</v>
      </c>
      <c r="H693" s="17">
        <v>45642</v>
      </c>
      <c r="I693" s="21">
        <f t="shared" si="291"/>
        <v>-264</v>
      </c>
      <c r="J693" s="6" t="str">
        <f t="shared" si="292"/>
        <v>INVALID_SHIPPING</v>
      </c>
      <c r="K693" s="1" t="s">
        <v>1734</v>
      </c>
      <c r="L693" s="1" t="s">
        <v>158</v>
      </c>
      <c r="M693" s="1" t="str">
        <f t="shared" si="271"/>
        <v>Sneha Kapoor</v>
      </c>
      <c r="N693" s="1" t="s">
        <v>40</v>
      </c>
      <c r="O693" s="1" t="str">
        <f t="shared" si="272"/>
        <v>Small Business</v>
      </c>
      <c r="P693" s="1" t="s">
        <v>26</v>
      </c>
      <c r="Q693" s="1" t="str">
        <f t="shared" si="273"/>
        <v>North</v>
      </c>
      <c r="R693" s="1" t="str">
        <f t="shared" si="274"/>
        <v>OK</v>
      </c>
      <c r="S693" s="1" t="s">
        <v>163</v>
      </c>
      <c r="T693" s="1" t="str">
        <f t="shared" si="275"/>
        <v>Uttar Pradesh</v>
      </c>
      <c r="U693" s="1" t="s">
        <v>164</v>
      </c>
      <c r="V693" s="1" t="str">
        <f t="shared" si="276"/>
        <v>Noida</v>
      </c>
      <c r="W693" s="1" t="s">
        <v>44</v>
      </c>
      <c r="X693" s="1" t="str">
        <f t="shared" si="277"/>
        <v>Furniture</v>
      </c>
      <c r="Y693" s="1" t="s">
        <v>45</v>
      </c>
      <c r="Z693" s="1" t="str">
        <f t="shared" si="278"/>
        <v>Tables</v>
      </c>
      <c r="AA693" s="1" t="s">
        <v>1735</v>
      </c>
      <c r="AB693" s="1" t="s">
        <v>32</v>
      </c>
      <c r="AC693" s="1" t="str">
        <f t="shared" si="279"/>
        <v>Second Class</v>
      </c>
      <c r="AD693" s="1" t="str">
        <f t="shared" si="280"/>
        <v>OK</v>
      </c>
      <c r="AE693" s="1">
        <v>2</v>
      </c>
      <c r="AF693" s="1">
        <v>1731.88</v>
      </c>
      <c r="AG693" s="9">
        <v>0</v>
      </c>
      <c r="AH693" s="9">
        <f t="shared" si="281"/>
        <v>0</v>
      </c>
      <c r="AI693" s="1" t="str">
        <f t="shared" si="282"/>
        <v>OK</v>
      </c>
      <c r="AJ693" s="1">
        <v>3463.76</v>
      </c>
      <c r="AK693" s="1">
        <v>2143.7399999999998</v>
      </c>
      <c r="AL693" s="1">
        <v>1320.02</v>
      </c>
      <c r="AM693" s="13">
        <f t="shared" si="283"/>
        <v>3463.76</v>
      </c>
      <c r="AN693" s="9">
        <f t="shared" si="284"/>
        <v>1320.0200000000004</v>
      </c>
      <c r="AO693" s="9">
        <f t="shared" si="293"/>
        <v>0.38109453310852959</v>
      </c>
      <c r="AP693" s="1" t="s">
        <v>33</v>
      </c>
      <c r="AQ693" s="1" t="str">
        <f t="shared" si="285"/>
        <v>Paid</v>
      </c>
      <c r="AR693" s="1" t="str">
        <f t="shared" si="286"/>
        <v>OK</v>
      </c>
      <c r="AS693" s="1" t="s">
        <v>34</v>
      </c>
      <c r="AT693" s="4" t="str">
        <f t="shared" si="287"/>
        <v>Completed</v>
      </c>
      <c r="AU693" s="3" t="str">
        <f t="shared" si="288"/>
        <v>OK</v>
      </c>
      <c r="AV693" s="3" t="str">
        <f t="shared" si="294"/>
        <v>INVALID</v>
      </c>
      <c r="AW693" t="str">
        <f t="shared" si="295"/>
        <v>MATCH</v>
      </c>
      <c r="AX693" t="str">
        <f t="shared" si="296"/>
        <v>MATCH</v>
      </c>
    </row>
    <row r="694" spans="1:50" ht="15.6" hidden="1">
      <c r="A694" s="1" t="s">
        <v>1740</v>
      </c>
      <c r="B694" s="1">
        <f t="shared" si="270"/>
        <v>2</v>
      </c>
      <c r="C694" s="16">
        <v>45771</v>
      </c>
      <c r="D694" s="16">
        <v>45771</v>
      </c>
      <c r="E694" s="16" t="str">
        <f t="shared" si="289"/>
        <v>Apr</v>
      </c>
      <c r="F694" s="1">
        <f t="shared" si="290"/>
        <v>2025</v>
      </c>
      <c r="G694" t="s">
        <v>2847</v>
      </c>
      <c r="H694" s="17">
        <v>45940</v>
      </c>
      <c r="I694" s="21">
        <f t="shared" si="291"/>
        <v>169</v>
      </c>
      <c r="J694" s="6" t="str">
        <f t="shared" si="292"/>
        <v>OK</v>
      </c>
      <c r="K694" s="1" t="s">
        <v>1742</v>
      </c>
      <c r="L694" s="1" t="s">
        <v>196</v>
      </c>
      <c r="M694" s="1" t="str">
        <f t="shared" si="271"/>
        <v>Diya Patel</v>
      </c>
      <c r="N694" s="1" t="s">
        <v>40</v>
      </c>
      <c r="O694" s="1" t="str">
        <f t="shared" si="272"/>
        <v>Small Business</v>
      </c>
      <c r="P694" s="1" t="s">
        <v>60</v>
      </c>
      <c r="Q694" s="1" t="str">
        <f t="shared" si="273"/>
        <v>South</v>
      </c>
      <c r="R694" s="1" t="str">
        <f t="shared" si="274"/>
        <v>OK</v>
      </c>
      <c r="S694" s="1" t="s">
        <v>97</v>
      </c>
      <c r="T694" s="1" t="str">
        <f t="shared" si="275"/>
        <v>Andhra Pradesh</v>
      </c>
      <c r="U694" s="1" t="s">
        <v>98</v>
      </c>
      <c r="V694" s="1" t="str">
        <f t="shared" si="276"/>
        <v>Vijayawada</v>
      </c>
      <c r="W694" s="1" t="s">
        <v>29</v>
      </c>
      <c r="X694" s="1" t="str">
        <f t="shared" si="277"/>
        <v>Office Supplies</v>
      </c>
      <c r="Y694" s="1" t="s">
        <v>30</v>
      </c>
      <c r="Z694" s="1" t="str">
        <f t="shared" si="278"/>
        <v>Paper</v>
      </c>
      <c r="AA694" s="1" t="s">
        <v>1743</v>
      </c>
      <c r="AB694" s="1" t="s">
        <v>47</v>
      </c>
      <c r="AC694" s="1" t="str">
        <f t="shared" si="279"/>
        <v>Same Day</v>
      </c>
      <c r="AD694" s="1" t="str">
        <f t="shared" si="280"/>
        <v>OK</v>
      </c>
      <c r="AE694" s="1">
        <v>1</v>
      </c>
      <c r="AF694" s="1">
        <v>4358.5</v>
      </c>
      <c r="AG694" s="9">
        <v>0.25</v>
      </c>
      <c r="AH694" s="9">
        <f t="shared" si="281"/>
        <v>0.25</v>
      </c>
      <c r="AI694" s="1" t="str">
        <f t="shared" si="282"/>
        <v>OK</v>
      </c>
      <c r="AJ694" s="1">
        <v>3268.88</v>
      </c>
      <c r="AK694" s="1">
        <v>1993.74</v>
      </c>
      <c r="AL694" s="1">
        <v>1275.1400000000001</v>
      </c>
      <c r="AM694" s="13">
        <f t="shared" si="283"/>
        <v>3268.875</v>
      </c>
      <c r="AN694" s="9">
        <f t="shared" si="284"/>
        <v>1275.135</v>
      </c>
      <c r="AO694" s="9">
        <f t="shared" si="293"/>
        <v>0.39008374440747962</v>
      </c>
      <c r="AP694" s="1" t="s">
        <v>33</v>
      </c>
      <c r="AQ694" s="1" t="str">
        <f t="shared" si="285"/>
        <v>Paid</v>
      </c>
      <c r="AR694" s="1" t="str">
        <f t="shared" si="286"/>
        <v>OK</v>
      </c>
      <c r="AS694" s="1" t="s">
        <v>34</v>
      </c>
      <c r="AT694" s="4" t="str">
        <f t="shared" si="287"/>
        <v>Completed</v>
      </c>
      <c r="AU694" s="3" t="str">
        <f t="shared" si="288"/>
        <v>OK</v>
      </c>
      <c r="AV694" s="3" t="str">
        <f t="shared" si="294"/>
        <v>CLEAN</v>
      </c>
      <c r="AW694" t="str">
        <f t="shared" si="295"/>
        <v>MATCH</v>
      </c>
      <c r="AX694" t="str">
        <f t="shared" si="296"/>
        <v>MATCH</v>
      </c>
    </row>
    <row r="695" spans="1:50" ht="15.6">
      <c r="A695" s="1" t="s">
        <v>1740</v>
      </c>
      <c r="B695" s="1">
        <f t="shared" si="270"/>
        <v>2</v>
      </c>
      <c r="C695" s="16">
        <v>45771</v>
      </c>
      <c r="D695" s="16">
        <v>45771</v>
      </c>
      <c r="E695" s="16" t="str">
        <f t="shared" si="289"/>
        <v>Apr</v>
      </c>
      <c r="F695" s="1">
        <f t="shared" si="290"/>
        <v>2025</v>
      </c>
      <c r="G695" t="s">
        <v>2190</v>
      </c>
      <c r="H695" s="17">
        <v>45758</v>
      </c>
      <c r="I695" s="21">
        <f t="shared" si="291"/>
        <v>-13</v>
      </c>
      <c r="J695" s="6" t="str">
        <f t="shared" si="292"/>
        <v>INVALID_SHIPPING</v>
      </c>
      <c r="K695" s="1" t="s">
        <v>1742</v>
      </c>
      <c r="L695" s="1" t="s">
        <v>196</v>
      </c>
      <c r="M695" s="1" t="str">
        <f t="shared" si="271"/>
        <v>Diya Patel</v>
      </c>
      <c r="N695" s="1" t="s">
        <v>40</v>
      </c>
      <c r="O695" s="1" t="str">
        <f t="shared" si="272"/>
        <v>Small Business</v>
      </c>
      <c r="P695" s="1" t="s">
        <v>60</v>
      </c>
      <c r="Q695" s="1" t="str">
        <f t="shared" si="273"/>
        <v>South</v>
      </c>
      <c r="R695" s="1" t="str">
        <f t="shared" si="274"/>
        <v>OK</v>
      </c>
      <c r="S695" s="1" t="s">
        <v>97</v>
      </c>
      <c r="T695" s="1" t="str">
        <f t="shared" si="275"/>
        <v>Andhra Pradesh</v>
      </c>
      <c r="U695" s="1" t="s">
        <v>98</v>
      </c>
      <c r="V695" s="1" t="str">
        <f t="shared" si="276"/>
        <v>Vijayawada</v>
      </c>
      <c r="W695" s="1" t="s">
        <v>29</v>
      </c>
      <c r="X695" s="1" t="str">
        <f t="shared" si="277"/>
        <v>Office Supplies</v>
      </c>
      <c r="Y695" s="1" t="s">
        <v>30</v>
      </c>
      <c r="Z695" s="1" t="str">
        <f t="shared" si="278"/>
        <v>Paper</v>
      </c>
      <c r="AA695" s="1" t="s">
        <v>1743</v>
      </c>
      <c r="AB695" s="1" t="s">
        <v>47</v>
      </c>
      <c r="AC695" s="1" t="str">
        <f t="shared" si="279"/>
        <v>Same Day</v>
      </c>
      <c r="AD695" s="1" t="str">
        <f t="shared" si="280"/>
        <v>OK</v>
      </c>
      <c r="AE695" s="1">
        <v>1</v>
      </c>
      <c r="AF695" s="1">
        <v>4358.5</v>
      </c>
      <c r="AG695" s="9">
        <v>0.25</v>
      </c>
      <c r="AH695" s="9">
        <f t="shared" si="281"/>
        <v>0.25</v>
      </c>
      <c r="AI695" s="1" t="str">
        <f t="shared" si="282"/>
        <v>OK</v>
      </c>
      <c r="AJ695" s="1">
        <v>3268.88</v>
      </c>
      <c r="AK695" s="1">
        <v>1993.74</v>
      </c>
      <c r="AL695" s="1">
        <v>1275.1400000000001</v>
      </c>
      <c r="AM695" s="13">
        <f t="shared" si="283"/>
        <v>3268.875</v>
      </c>
      <c r="AN695" s="9">
        <f t="shared" si="284"/>
        <v>1275.135</v>
      </c>
      <c r="AO695" s="9">
        <f t="shared" si="293"/>
        <v>0.39008374440747962</v>
      </c>
      <c r="AP695" s="1" t="s">
        <v>33</v>
      </c>
      <c r="AQ695" s="1" t="str">
        <f t="shared" si="285"/>
        <v>Paid</v>
      </c>
      <c r="AR695" s="1" t="str">
        <f t="shared" si="286"/>
        <v>OK</v>
      </c>
      <c r="AS695" s="1" t="s">
        <v>34</v>
      </c>
      <c r="AT695" s="4" t="str">
        <f t="shared" si="287"/>
        <v>Completed</v>
      </c>
      <c r="AU695" s="3" t="str">
        <f t="shared" si="288"/>
        <v>OK</v>
      </c>
      <c r="AV695" s="3" t="str">
        <f t="shared" si="294"/>
        <v>INVALID</v>
      </c>
      <c r="AW695" t="str">
        <f t="shared" si="295"/>
        <v>MATCH</v>
      </c>
      <c r="AX695" t="str">
        <f t="shared" si="296"/>
        <v>MATCH</v>
      </c>
    </row>
    <row r="696" spans="1:50" ht="15.6">
      <c r="A696" s="1" t="s">
        <v>1744</v>
      </c>
      <c r="B696" s="1">
        <f t="shared" si="270"/>
        <v>1</v>
      </c>
      <c r="C696" s="16">
        <v>45814</v>
      </c>
      <c r="D696" s="16">
        <v>45814</v>
      </c>
      <c r="E696" s="16" t="str">
        <f t="shared" si="289"/>
        <v>Jun</v>
      </c>
      <c r="F696" s="1">
        <f t="shared" si="290"/>
        <v>2025</v>
      </c>
      <c r="G696" t="s">
        <v>2702</v>
      </c>
      <c r="H696" s="17">
        <v>45908</v>
      </c>
      <c r="I696" s="21">
        <f t="shared" si="291"/>
        <v>94</v>
      </c>
      <c r="J696" s="6" t="str">
        <f t="shared" si="292"/>
        <v>OK</v>
      </c>
      <c r="K696" s="1" t="s">
        <v>1746</v>
      </c>
      <c r="L696" s="1" t="s">
        <v>158</v>
      </c>
      <c r="M696" s="1" t="str">
        <f t="shared" si="271"/>
        <v>Sneha Kapoor</v>
      </c>
      <c r="N696" s="1" t="s">
        <v>40</v>
      </c>
      <c r="O696" s="1" t="str">
        <f t="shared" si="272"/>
        <v>Small Business</v>
      </c>
      <c r="P696" s="1" t="s">
        <v>26</v>
      </c>
      <c r="Q696" s="1" t="str">
        <f t="shared" si="273"/>
        <v>North</v>
      </c>
      <c r="R696" s="1" t="str">
        <f t="shared" si="274"/>
        <v>OK</v>
      </c>
      <c r="S696" s="1" t="s">
        <v>163</v>
      </c>
      <c r="T696" s="1" t="str">
        <f t="shared" si="275"/>
        <v>Uttar Pradesh</v>
      </c>
      <c r="U696" s="1" t="s">
        <v>164</v>
      </c>
      <c r="V696" s="1" t="str">
        <f t="shared" si="276"/>
        <v>Noida</v>
      </c>
      <c r="W696" s="1" t="s">
        <v>29</v>
      </c>
      <c r="X696" s="1" t="str">
        <f t="shared" si="277"/>
        <v>Office Supplies</v>
      </c>
      <c r="Y696" s="1" t="s">
        <v>30</v>
      </c>
      <c r="Z696" s="1" t="str">
        <f t="shared" si="278"/>
        <v>Paper</v>
      </c>
      <c r="AA696" s="1" t="s">
        <v>1747</v>
      </c>
      <c r="AB696" s="1" t="s">
        <v>47</v>
      </c>
      <c r="AC696" s="1" t="str">
        <f t="shared" si="279"/>
        <v>Same Day</v>
      </c>
      <c r="AD696" s="1" t="str">
        <f t="shared" si="280"/>
        <v>OK</v>
      </c>
      <c r="AE696" s="1">
        <v>7</v>
      </c>
      <c r="AF696" s="1">
        <v>878.09</v>
      </c>
      <c r="AG696" s="9">
        <v>-0.1</v>
      </c>
      <c r="AH696" s="9">
        <f t="shared" si="281"/>
        <v>-0.1</v>
      </c>
      <c r="AI696" s="1" t="str">
        <f t="shared" si="282"/>
        <v>Invalid Negative Discount</v>
      </c>
      <c r="AJ696" s="1">
        <v>5839.3</v>
      </c>
      <c r="AK696" s="1">
        <v>4877.38</v>
      </c>
      <c r="AL696" s="1">
        <v>961.92</v>
      </c>
      <c r="AM696" s="13" t="str">
        <f t="shared" si="283"/>
        <v>INVALID</v>
      </c>
      <c r="AN696" s="9" t="str">
        <f t="shared" si="284"/>
        <v>INVALID</v>
      </c>
      <c r="AO696" s="9" t="str">
        <f t="shared" si="293"/>
        <v/>
      </c>
      <c r="AP696" s="1" t="s">
        <v>33</v>
      </c>
      <c r="AQ696" s="1" t="str">
        <f t="shared" si="285"/>
        <v>Paid</v>
      </c>
      <c r="AR696" s="1" t="str">
        <f t="shared" si="286"/>
        <v>OK</v>
      </c>
      <c r="AS696" s="1" t="s">
        <v>34</v>
      </c>
      <c r="AT696" s="4" t="str">
        <f t="shared" si="287"/>
        <v>Completed</v>
      </c>
      <c r="AU696" s="3" t="str">
        <f t="shared" si="288"/>
        <v>OK</v>
      </c>
      <c r="AV696" s="3" t="str">
        <f t="shared" si="294"/>
        <v>INVALID</v>
      </c>
      <c r="AW696" t="str">
        <f t="shared" si="295"/>
        <v>INVALID</v>
      </c>
      <c r="AX696" t="str">
        <f t="shared" si="296"/>
        <v>INVALID</v>
      </c>
    </row>
    <row r="697" spans="1:50" ht="15.6">
      <c r="A697" s="1" t="s">
        <v>1748</v>
      </c>
      <c r="B697" s="1">
        <f t="shared" si="270"/>
        <v>1</v>
      </c>
      <c r="C697" s="16">
        <v>45903</v>
      </c>
      <c r="D697" s="16">
        <v>45903</v>
      </c>
      <c r="E697" s="16" t="str">
        <f t="shared" si="289"/>
        <v>Sep</v>
      </c>
      <c r="F697" s="1">
        <f t="shared" si="290"/>
        <v>2025</v>
      </c>
      <c r="G697" t="s">
        <v>1852</v>
      </c>
      <c r="H697" s="17">
        <v>45298</v>
      </c>
      <c r="I697" s="21">
        <f t="shared" si="291"/>
        <v>-605</v>
      </c>
      <c r="J697" s="6" t="str">
        <f t="shared" si="292"/>
        <v>INVALID_SHIPPING</v>
      </c>
      <c r="K697" s="1" t="s">
        <v>1750</v>
      </c>
      <c r="L697" s="1" t="s">
        <v>59</v>
      </c>
      <c r="M697" s="1" t="str">
        <f t="shared" si="271"/>
        <v>Arjun Bose</v>
      </c>
      <c r="N697" s="1" t="s">
        <v>40</v>
      </c>
      <c r="O697" s="1" t="str">
        <f t="shared" si="272"/>
        <v>Small Business</v>
      </c>
      <c r="P697" s="1" t="s">
        <v>41</v>
      </c>
      <c r="Q697" s="1" t="str">
        <f t="shared" si="273"/>
        <v>East</v>
      </c>
      <c r="R697" s="1" t="str">
        <f t="shared" si="274"/>
        <v>OK</v>
      </c>
      <c r="S697" s="1" t="s">
        <v>284</v>
      </c>
      <c r="T697" s="1" t="str">
        <f t="shared" si="275"/>
        <v>Jharkhand</v>
      </c>
      <c r="U697" s="1" t="s">
        <v>285</v>
      </c>
      <c r="V697" s="1" t="str">
        <f t="shared" si="276"/>
        <v>Ranchi</v>
      </c>
      <c r="W697" s="1" t="s">
        <v>44</v>
      </c>
      <c r="X697" s="1" t="str">
        <f t="shared" si="277"/>
        <v>Furniture</v>
      </c>
      <c r="Y697" s="1" t="s">
        <v>45</v>
      </c>
      <c r="Z697" s="1" t="str">
        <f t="shared" si="278"/>
        <v>Tables</v>
      </c>
      <c r="AA697" s="1" t="s">
        <v>1751</v>
      </c>
      <c r="AB697" s="1" t="s">
        <v>47</v>
      </c>
      <c r="AC697" s="1" t="str">
        <f t="shared" si="279"/>
        <v>Same Day</v>
      </c>
      <c r="AD697" s="1" t="str">
        <f t="shared" si="280"/>
        <v>OK</v>
      </c>
      <c r="AE697" s="1">
        <v>3</v>
      </c>
      <c r="AF697" s="1">
        <v>2625.85</v>
      </c>
      <c r="AG697" s="9">
        <v>0</v>
      </c>
      <c r="AH697" s="9">
        <f t="shared" si="281"/>
        <v>0</v>
      </c>
      <c r="AI697" s="1" t="str">
        <f t="shared" si="282"/>
        <v>OK</v>
      </c>
      <c r="AJ697" s="1">
        <v>7877.55</v>
      </c>
      <c r="AK697" s="1">
        <v>5562.77</v>
      </c>
      <c r="AL697" s="1">
        <v>2314.7800000000002</v>
      </c>
      <c r="AM697" s="13">
        <f t="shared" si="283"/>
        <v>7877.5499999999993</v>
      </c>
      <c r="AN697" s="9">
        <f t="shared" si="284"/>
        <v>2314.7799999999988</v>
      </c>
      <c r="AO697" s="9">
        <f t="shared" si="293"/>
        <v>0.29384516759652418</v>
      </c>
      <c r="AP697" s="1" t="s">
        <v>33</v>
      </c>
      <c r="AQ697" s="1" t="str">
        <f t="shared" si="285"/>
        <v>Paid</v>
      </c>
      <c r="AR697" s="1" t="str">
        <f t="shared" si="286"/>
        <v>OK</v>
      </c>
      <c r="AS697" s="1" t="s">
        <v>34</v>
      </c>
      <c r="AT697" s="4" t="str">
        <f t="shared" si="287"/>
        <v>Completed</v>
      </c>
      <c r="AU697" s="3" t="str">
        <f t="shared" si="288"/>
        <v>OK</v>
      </c>
      <c r="AV697" s="3" t="str">
        <f t="shared" si="294"/>
        <v>INVALID</v>
      </c>
      <c r="AW697" t="str">
        <f t="shared" si="295"/>
        <v>MATCH</v>
      </c>
      <c r="AX697" t="str">
        <f t="shared" si="296"/>
        <v>MATCH</v>
      </c>
    </row>
    <row r="698" spans="1:50" ht="15.6" hidden="1">
      <c r="A698" s="1" t="s">
        <v>1770</v>
      </c>
      <c r="B698" s="1">
        <f t="shared" si="270"/>
        <v>1</v>
      </c>
      <c r="C698" s="16">
        <v>45713</v>
      </c>
      <c r="D698" s="16">
        <v>45713</v>
      </c>
      <c r="E698" s="16" t="str">
        <f t="shared" si="289"/>
        <v>Feb</v>
      </c>
      <c r="F698" s="1">
        <f t="shared" si="290"/>
        <v>2025</v>
      </c>
      <c r="G698" t="s">
        <v>2860</v>
      </c>
      <c r="H698" s="17">
        <v>45925</v>
      </c>
      <c r="I698" s="21">
        <f t="shared" si="291"/>
        <v>212</v>
      </c>
      <c r="J698" s="6" t="str">
        <f t="shared" si="292"/>
        <v>OK</v>
      </c>
      <c r="K698" s="1" t="s">
        <v>1772</v>
      </c>
      <c r="L698" s="1" t="s">
        <v>334</v>
      </c>
      <c r="M698" s="1" t="str">
        <f t="shared" si="271"/>
        <v>Kabir Singh</v>
      </c>
      <c r="N698" s="1" t="s">
        <v>40</v>
      </c>
      <c r="O698" s="1" t="str">
        <f t="shared" si="272"/>
        <v>Small Business</v>
      </c>
      <c r="P698" s="1" t="s">
        <v>71</v>
      </c>
      <c r="Q698" s="1" t="str">
        <f t="shared" si="273"/>
        <v>West</v>
      </c>
      <c r="R698" s="1" t="str">
        <f t="shared" si="274"/>
        <v>OK</v>
      </c>
      <c r="S698" s="1" t="s">
        <v>230</v>
      </c>
      <c r="T698" s="1" t="str">
        <f t="shared" si="275"/>
        <v>Goa</v>
      </c>
      <c r="U698" s="1" t="s">
        <v>231</v>
      </c>
      <c r="V698" s="1" t="str">
        <f t="shared" si="276"/>
        <v>Panaji</v>
      </c>
      <c r="W698" s="1" t="s">
        <v>44</v>
      </c>
      <c r="X698" s="1" t="str">
        <f t="shared" si="277"/>
        <v>Furniture</v>
      </c>
      <c r="Y698" s="1" t="s">
        <v>63</v>
      </c>
      <c r="Z698" s="1" t="str">
        <f t="shared" si="278"/>
        <v>Furnishings</v>
      </c>
      <c r="AA698" s="1" t="s">
        <v>1773</v>
      </c>
      <c r="AB698" s="1" t="s">
        <v>65</v>
      </c>
      <c r="AC698" s="1" t="str">
        <f t="shared" si="279"/>
        <v>Standard Class</v>
      </c>
      <c r="AD698" s="1" t="str">
        <f t="shared" si="280"/>
        <v>OK</v>
      </c>
      <c r="AE698" s="1">
        <v>2</v>
      </c>
      <c r="AF698" s="1">
        <v>3924.2</v>
      </c>
      <c r="AG698" s="9">
        <v>0.25</v>
      </c>
      <c r="AH698" s="9">
        <f t="shared" si="281"/>
        <v>0.25</v>
      </c>
      <c r="AI698" s="1" t="str">
        <f t="shared" si="282"/>
        <v>OK</v>
      </c>
      <c r="AJ698" s="1">
        <v>5886.3</v>
      </c>
      <c r="AK698" s="1">
        <v>3621.76</v>
      </c>
      <c r="AL698" s="1">
        <v>2264.54</v>
      </c>
      <c r="AM698" s="13">
        <f t="shared" si="283"/>
        <v>5886.2999999999993</v>
      </c>
      <c r="AN698" s="9">
        <f t="shared" si="284"/>
        <v>2264.5399999999991</v>
      </c>
      <c r="AO698" s="9">
        <f t="shared" si="293"/>
        <v>0.38471365713606159</v>
      </c>
      <c r="AP698" s="1" t="s">
        <v>131</v>
      </c>
      <c r="AQ698" s="1" t="str">
        <f t="shared" si="285"/>
        <v>Pending</v>
      </c>
      <c r="AR698" s="1" t="str">
        <f t="shared" si="286"/>
        <v>OK</v>
      </c>
      <c r="AS698" s="1" t="s">
        <v>120</v>
      </c>
      <c r="AT698" s="4" t="str">
        <f t="shared" si="287"/>
        <v>Returned</v>
      </c>
      <c r="AU698" s="3" t="str">
        <f t="shared" si="288"/>
        <v>RETURNED_ORDER</v>
      </c>
      <c r="AV698" s="3" t="str">
        <f t="shared" si="294"/>
        <v>CLEAN</v>
      </c>
      <c r="AW698" t="str">
        <f t="shared" si="295"/>
        <v>MATCH</v>
      </c>
      <c r="AX698" t="str">
        <f t="shared" si="296"/>
        <v>MATCH</v>
      </c>
    </row>
    <row r="699" spans="1:50" ht="15.6" hidden="1">
      <c r="A699" s="1" t="s">
        <v>1778</v>
      </c>
      <c r="B699" s="1">
        <f t="shared" si="270"/>
        <v>1</v>
      </c>
      <c r="C699" s="16">
        <v>45665</v>
      </c>
      <c r="D699" s="16">
        <v>45665</v>
      </c>
      <c r="E699" s="16" t="str">
        <f t="shared" si="289"/>
        <v>Jan</v>
      </c>
      <c r="F699" s="1">
        <f t="shared" si="290"/>
        <v>2025</v>
      </c>
      <c r="G699" t="s">
        <v>701</v>
      </c>
      <c r="H699" s="17">
        <v>45841</v>
      </c>
      <c r="I699" s="21">
        <f t="shared" si="291"/>
        <v>176</v>
      </c>
      <c r="J699" s="6" t="str">
        <f t="shared" si="292"/>
        <v>OK</v>
      </c>
      <c r="K699" s="1" t="s">
        <v>1779</v>
      </c>
      <c r="L699" s="1" t="s">
        <v>158</v>
      </c>
      <c r="M699" s="1" t="str">
        <f t="shared" si="271"/>
        <v>Sneha Kapoor</v>
      </c>
      <c r="N699" s="1" t="s">
        <v>25</v>
      </c>
      <c r="O699" s="1" t="str">
        <f t="shared" si="272"/>
        <v>Consumer</v>
      </c>
      <c r="P699" s="1" t="s">
        <v>71</v>
      </c>
      <c r="Q699" s="1" t="str">
        <f t="shared" si="273"/>
        <v>West</v>
      </c>
      <c r="R699" s="1" t="str">
        <f t="shared" si="274"/>
        <v>OK</v>
      </c>
      <c r="S699" s="1" t="s">
        <v>72</v>
      </c>
      <c r="T699" s="1" t="str">
        <f t="shared" si="275"/>
        <v>Maharashtra</v>
      </c>
      <c r="U699" s="1" t="s">
        <v>73</v>
      </c>
      <c r="V699" s="1" t="str">
        <f t="shared" si="276"/>
        <v>Mumbai</v>
      </c>
      <c r="W699" s="1" t="s">
        <v>44</v>
      </c>
      <c r="X699" s="1" t="str">
        <f t="shared" si="277"/>
        <v>Furniture</v>
      </c>
      <c r="Y699" s="1" t="s">
        <v>74</v>
      </c>
      <c r="Z699" s="1" t="str">
        <f t="shared" si="278"/>
        <v>Chairs</v>
      </c>
      <c r="AA699" s="1" t="s">
        <v>1780</v>
      </c>
      <c r="AB699" s="1" t="s">
        <v>55</v>
      </c>
      <c r="AC699" s="1" t="str">
        <f t="shared" si="279"/>
        <v>First Class</v>
      </c>
      <c r="AD699" s="1" t="str">
        <f t="shared" si="280"/>
        <v>OK</v>
      </c>
      <c r="AE699" s="1">
        <v>4</v>
      </c>
      <c r="AF699" s="1">
        <v>1773.46</v>
      </c>
      <c r="AG699" s="9">
        <v>0</v>
      </c>
      <c r="AH699" s="9">
        <f t="shared" si="281"/>
        <v>0</v>
      </c>
      <c r="AI699" s="1" t="str">
        <f t="shared" si="282"/>
        <v>OK</v>
      </c>
      <c r="AJ699" s="1">
        <v>7093.84</v>
      </c>
      <c r="AK699" s="1">
        <v>4587.49</v>
      </c>
      <c r="AL699" s="1">
        <v>2506.35</v>
      </c>
      <c r="AM699" s="13">
        <f t="shared" si="283"/>
        <v>7093.84</v>
      </c>
      <c r="AN699" s="9">
        <f t="shared" si="284"/>
        <v>2506.3500000000004</v>
      </c>
      <c r="AO699" s="9">
        <f t="shared" si="293"/>
        <v>0.35331357910525191</v>
      </c>
      <c r="AP699" s="1" t="s">
        <v>186</v>
      </c>
      <c r="AQ699" s="1" t="str">
        <f t="shared" si="285"/>
        <v>Failed</v>
      </c>
      <c r="AR699" s="1" t="str">
        <f t="shared" si="286"/>
        <v>EXCLUDE_FROM_SALES</v>
      </c>
      <c r="AS699" s="1" t="s">
        <v>120</v>
      </c>
      <c r="AT699" s="4" t="str">
        <f t="shared" si="287"/>
        <v>Returned</v>
      </c>
      <c r="AU699" s="3" t="str">
        <f t="shared" si="288"/>
        <v>RETURNED_ORDER</v>
      </c>
      <c r="AV699" s="3" t="str">
        <f t="shared" si="294"/>
        <v>CLEAN</v>
      </c>
      <c r="AW699" t="str">
        <f t="shared" si="295"/>
        <v>MATCH</v>
      </c>
      <c r="AX699" t="str">
        <f t="shared" si="296"/>
        <v>MATCH</v>
      </c>
    </row>
    <row r="700" spans="1:50" ht="15.6">
      <c r="A700" s="1" t="s">
        <v>1781</v>
      </c>
      <c r="B700" s="1">
        <f t="shared" si="270"/>
        <v>1</v>
      </c>
      <c r="C700" s="16">
        <v>45701</v>
      </c>
      <c r="D700" s="16">
        <v>45701</v>
      </c>
      <c r="E700" s="16" t="str">
        <f t="shared" si="289"/>
        <v>Feb</v>
      </c>
      <c r="F700" s="1">
        <f t="shared" si="290"/>
        <v>2025</v>
      </c>
      <c r="G700" t="s">
        <v>1530</v>
      </c>
      <c r="H700" s="17">
        <v>45549</v>
      </c>
      <c r="I700" s="21">
        <f t="shared" si="291"/>
        <v>-152</v>
      </c>
      <c r="J700" s="6" t="str">
        <f t="shared" si="292"/>
        <v>INVALID_SHIPPING</v>
      </c>
      <c r="K700" s="1" t="s">
        <v>1782</v>
      </c>
      <c r="L700" s="1" t="s">
        <v>24</v>
      </c>
      <c r="M700" s="1" t="str">
        <f t="shared" si="271"/>
        <v>Karan Malhotra</v>
      </c>
      <c r="N700" s="1" t="s">
        <v>25</v>
      </c>
      <c r="O700" s="1" t="str">
        <f t="shared" si="272"/>
        <v>Consumer</v>
      </c>
      <c r="P700" s="1" t="s">
        <v>41</v>
      </c>
      <c r="Q700" s="1" t="str">
        <f t="shared" si="273"/>
        <v>East</v>
      </c>
      <c r="R700" s="1" t="str">
        <f t="shared" si="274"/>
        <v>OK</v>
      </c>
      <c r="S700" s="1" t="s">
        <v>201</v>
      </c>
      <c r="T700" s="1" t="str">
        <f t="shared" si="275"/>
        <v>Assam</v>
      </c>
      <c r="U700" s="1" t="s">
        <v>202</v>
      </c>
      <c r="V700" s="1" t="str">
        <f t="shared" si="276"/>
        <v>Guwahati</v>
      </c>
      <c r="W700" s="1" t="s">
        <v>83</v>
      </c>
      <c r="X700" s="1" t="str">
        <f t="shared" si="277"/>
        <v>Technology</v>
      </c>
      <c r="Y700" s="1" t="s">
        <v>84</v>
      </c>
      <c r="Z700" s="1" t="str">
        <f t="shared" si="278"/>
        <v>Accessories</v>
      </c>
      <c r="AA700" s="1" t="s">
        <v>1783</v>
      </c>
      <c r="AB700" s="1" t="s">
        <v>47</v>
      </c>
      <c r="AC700" s="1" t="str">
        <f t="shared" si="279"/>
        <v>Same Day</v>
      </c>
      <c r="AD700" s="1" t="str">
        <f t="shared" si="280"/>
        <v>OK</v>
      </c>
      <c r="AE700" s="1">
        <v>1</v>
      </c>
      <c r="AF700" s="1">
        <v>3025.46</v>
      </c>
      <c r="AG700" s="9">
        <v>0.25</v>
      </c>
      <c r="AH700" s="9">
        <f t="shared" si="281"/>
        <v>0.25</v>
      </c>
      <c r="AI700" s="1" t="str">
        <f t="shared" si="282"/>
        <v>OK</v>
      </c>
      <c r="AJ700" s="1">
        <v>2269.1</v>
      </c>
      <c r="AK700" s="1">
        <v>1593.59</v>
      </c>
      <c r="AL700" s="1">
        <v>675.51</v>
      </c>
      <c r="AM700" s="13">
        <f t="shared" si="283"/>
        <v>2269.0950000000003</v>
      </c>
      <c r="AN700" s="9">
        <f t="shared" si="284"/>
        <v>675.50500000000034</v>
      </c>
      <c r="AO700" s="9">
        <f t="shared" si="293"/>
        <v>0.29769798091309541</v>
      </c>
      <c r="AP700" s="1" t="s">
        <v>119</v>
      </c>
      <c r="AQ700" s="1" t="str">
        <f t="shared" si="285"/>
        <v>Refunded</v>
      </c>
      <c r="AR700" s="1" t="str">
        <f t="shared" si="286"/>
        <v>REFUNDED_PAYMENT</v>
      </c>
      <c r="AS700" s="1" t="s">
        <v>120</v>
      </c>
      <c r="AT700" s="4" t="str">
        <f t="shared" si="287"/>
        <v>Returned</v>
      </c>
      <c r="AU700" s="3" t="str">
        <f t="shared" si="288"/>
        <v>RETURNED_ORDER</v>
      </c>
      <c r="AV700" s="3" t="str">
        <f t="shared" si="294"/>
        <v>INVALID</v>
      </c>
      <c r="AW700" t="str">
        <f t="shared" si="295"/>
        <v>MATCH</v>
      </c>
      <c r="AX700" t="str">
        <f t="shared" si="296"/>
        <v>MATCH</v>
      </c>
    </row>
    <row r="701" spans="1:50" ht="15.6">
      <c r="A701" s="1" t="s">
        <v>1788</v>
      </c>
      <c r="B701" s="1">
        <f t="shared" si="270"/>
        <v>1</v>
      </c>
      <c r="C701" s="16">
        <v>45892</v>
      </c>
      <c r="D701" s="16">
        <v>45892</v>
      </c>
      <c r="E701" s="16" t="str">
        <f t="shared" si="289"/>
        <v>Aug</v>
      </c>
      <c r="F701" s="1">
        <f t="shared" si="290"/>
        <v>2025</v>
      </c>
      <c r="G701" t="s">
        <v>2870</v>
      </c>
      <c r="H701" s="17">
        <v>45454</v>
      </c>
      <c r="I701" s="21">
        <f t="shared" si="291"/>
        <v>-438</v>
      </c>
      <c r="J701" s="6" t="str">
        <f t="shared" si="292"/>
        <v>INVALID_SHIPPING</v>
      </c>
      <c r="K701" s="1" t="s">
        <v>1790</v>
      </c>
      <c r="L701" s="1" t="s">
        <v>59</v>
      </c>
      <c r="M701" s="1" t="str">
        <f t="shared" si="271"/>
        <v>Arjun Bose</v>
      </c>
      <c r="N701" s="1" t="s">
        <v>110</v>
      </c>
      <c r="O701" s="1" t="str">
        <f t="shared" si="272"/>
        <v>Home Office</v>
      </c>
      <c r="P701" s="1" t="s">
        <v>71</v>
      </c>
      <c r="Q701" s="1" t="str">
        <f t="shared" si="273"/>
        <v>West</v>
      </c>
      <c r="R701" s="1" t="str">
        <f t="shared" si="274"/>
        <v>OK</v>
      </c>
      <c r="S701" s="1" t="s">
        <v>27</v>
      </c>
      <c r="T701" s="1" t="str">
        <f t="shared" si="275"/>
        <v>Rajasthan</v>
      </c>
      <c r="U701" s="1" t="s">
        <v>129</v>
      </c>
      <c r="V701" s="1" t="str">
        <f t="shared" si="276"/>
        <v>Udaipur</v>
      </c>
      <c r="W701" s="1" t="s">
        <v>44</v>
      </c>
      <c r="X701" s="1" t="str">
        <f t="shared" si="277"/>
        <v>Furniture</v>
      </c>
      <c r="Y701" s="1" t="s">
        <v>45</v>
      </c>
      <c r="Z701" s="1" t="str">
        <f t="shared" si="278"/>
        <v>Tables</v>
      </c>
      <c r="AA701" s="1" t="s">
        <v>1791</v>
      </c>
      <c r="AB701" s="1" t="s">
        <v>55</v>
      </c>
      <c r="AC701" s="1" t="str">
        <f t="shared" si="279"/>
        <v>First Class</v>
      </c>
      <c r="AD701" s="1" t="str">
        <f t="shared" si="280"/>
        <v>OK</v>
      </c>
      <c r="AE701" s="1">
        <v>1</v>
      </c>
      <c r="AF701" s="1">
        <v>4167.8100000000004</v>
      </c>
      <c r="AG701" s="9">
        <v>0.2</v>
      </c>
      <c r="AH701" s="9">
        <f t="shared" si="281"/>
        <v>0.2</v>
      </c>
      <c r="AI701" s="1" t="str">
        <f t="shared" si="282"/>
        <v>OK</v>
      </c>
      <c r="AJ701" s="1">
        <v>3334.25</v>
      </c>
      <c r="AK701" s="1">
        <v>2768.77</v>
      </c>
      <c r="AL701" s="1">
        <v>565.48</v>
      </c>
      <c r="AM701" s="13">
        <f t="shared" si="283"/>
        <v>3334.2480000000005</v>
      </c>
      <c r="AN701" s="9">
        <f t="shared" si="284"/>
        <v>565.47800000000052</v>
      </c>
      <c r="AO701" s="9">
        <f t="shared" si="293"/>
        <v>0.16959686262089696</v>
      </c>
      <c r="AP701" s="1" t="s">
        <v>186</v>
      </c>
      <c r="AQ701" s="1" t="str">
        <f t="shared" si="285"/>
        <v>Failed</v>
      </c>
      <c r="AR701" s="1" t="str">
        <f t="shared" si="286"/>
        <v>EXCLUDE_FROM_SALES</v>
      </c>
      <c r="AS701" s="1" t="s">
        <v>120</v>
      </c>
      <c r="AT701" s="4" t="str">
        <f t="shared" si="287"/>
        <v>Returned</v>
      </c>
      <c r="AU701" s="3" t="str">
        <f t="shared" si="288"/>
        <v>RETURNED_ORDER</v>
      </c>
      <c r="AV701" s="3" t="str">
        <f t="shared" si="294"/>
        <v>INVALID</v>
      </c>
      <c r="AW701" t="str">
        <f t="shared" si="295"/>
        <v>MATCH</v>
      </c>
      <c r="AX701" t="str">
        <f t="shared" si="296"/>
        <v>MATCH</v>
      </c>
    </row>
    <row r="702" spans="1:50" ht="15.6">
      <c r="A702" s="1" t="s">
        <v>1796</v>
      </c>
      <c r="B702" s="1">
        <f t="shared" si="270"/>
        <v>1</v>
      </c>
      <c r="C702" s="16">
        <v>45882</v>
      </c>
      <c r="D702" s="16">
        <v>45882</v>
      </c>
      <c r="E702" s="16" t="str">
        <f t="shared" si="289"/>
        <v>Aug</v>
      </c>
      <c r="F702" s="1">
        <f t="shared" si="290"/>
        <v>2025</v>
      </c>
      <c r="G702" t="s">
        <v>1001</v>
      </c>
      <c r="H702" s="17">
        <v>45556</v>
      </c>
      <c r="I702" s="21">
        <f t="shared" si="291"/>
        <v>-326</v>
      </c>
      <c r="J702" s="6" t="str">
        <f t="shared" si="292"/>
        <v>INVALID_SHIPPING</v>
      </c>
      <c r="K702" s="1" t="s">
        <v>1798</v>
      </c>
      <c r="L702" s="1" t="s">
        <v>90</v>
      </c>
      <c r="M702" s="1" t="str">
        <f t="shared" si="271"/>
        <v>Neha Gupta</v>
      </c>
      <c r="N702" s="1" t="s">
        <v>110</v>
      </c>
      <c r="O702" s="1" t="str">
        <f t="shared" si="272"/>
        <v>Home Office</v>
      </c>
      <c r="P702" s="1" t="s">
        <v>71</v>
      </c>
      <c r="Q702" s="1" t="str">
        <f t="shared" si="273"/>
        <v>West</v>
      </c>
      <c r="R702" s="1" t="str">
        <f t="shared" si="274"/>
        <v>OK</v>
      </c>
      <c r="S702" s="1" t="s">
        <v>81</v>
      </c>
      <c r="T702" s="1" t="str">
        <f t="shared" si="275"/>
        <v>Madhya Pradesh</v>
      </c>
      <c r="U702" s="1" t="s">
        <v>82</v>
      </c>
      <c r="V702" s="1" t="str">
        <f t="shared" si="276"/>
        <v>Indore</v>
      </c>
      <c r="W702" s="1" t="s">
        <v>83</v>
      </c>
      <c r="X702" s="1" t="str">
        <f t="shared" si="277"/>
        <v>Technology</v>
      </c>
      <c r="Y702" s="1" t="s">
        <v>84</v>
      </c>
      <c r="Z702" s="1" t="str">
        <f t="shared" si="278"/>
        <v>Accessories</v>
      </c>
      <c r="AA702" s="1" t="s">
        <v>1799</v>
      </c>
      <c r="AB702" s="1" t="s">
        <v>32</v>
      </c>
      <c r="AC702" s="1" t="str">
        <f t="shared" si="279"/>
        <v>Second Class</v>
      </c>
      <c r="AD702" s="1" t="str">
        <f t="shared" si="280"/>
        <v>OK</v>
      </c>
      <c r="AE702" s="1">
        <v>8</v>
      </c>
      <c r="AF702" s="1">
        <v>1918.23</v>
      </c>
      <c r="AG702" s="9">
        <v>0</v>
      </c>
      <c r="AH702" s="9">
        <f t="shared" si="281"/>
        <v>0</v>
      </c>
      <c r="AI702" s="1" t="str">
        <f t="shared" si="282"/>
        <v>OK</v>
      </c>
      <c r="AJ702" s="1">
        <v>15345.84</v>
      </c>
      <c r="AK702" s="1">
        <v>10735.33</v>
      </c>
      <c r="AL702" s="1">
        <v>4610.51</v>
      </c>
      <c r="AM702" s="13">
        <f t="shared" si="283"/>
        <v>15345.84</v>
      </c>
      <c r="AN702" s="9">
        <f t="shared" si="284"/>
        <v>4610.51</v>
      </c>
      <c r="AO702" s="9">
        <f t="shared" si="293"/>
        <v>0.30044037993358463</v>
      </c>
      <c r="AP702" s="1" t="s">
        <v>131</v>
      </c>
      <c r="AQ702" s="1" t="str">
        <f t="shared" si="285"/>
        <v>Pending</v>
      </c>
      <c r="AR702" s="1" t="str">
        <f t="shared" si="286"/>
        <v>OK</v>
      </c>
      <c r="AS702" s="1" t="s">
        <v>76</v>
      </c>
      <c r="AT702" s="4" t="str">
        <f t="shared" si="287"/>
        <v>Cancelled</v>
      </c>
      <c r="AU702" s="3" t="str">
        <f t="shared" si="288"/>
        <v>EXCLUDE_FROM_SALES</v>
      </c>
      <c r="AV702" s="3" t="str">
        <f t="shared" si="294"/>
        <v>INVALID</v>
      </c>
      <c r="AW702" t="str">
        <f t="shared" si="295"/>
        <v>MATCH</v>
      </c>
      <c r="AX702" t="str">
        <f t="shared" si="296"/>
        <v>MATCH</v>
      </c>
    </row>
    <row r="703" spans="1:50" ht="15.6">
      <c r="A703" s="1" t="s">
        <v>1808</v>
      </c>
      <c r="B703" s="1">
        <f t="shared" si="270"/>
        <v>1</v>
      </c>
      <c r="C703" s="16">
        <v>45870</v>
      </c>
      <c r="D703" s="16">
        <v>45870</v>
      </c>
      <c r="E703" s="16" t="str">
        <f t="shared" si="289"/>
        <v>Aug</v>
      </c>
      <c r="F703" s="1">
        <f t="shared" si="290"/>
        <v>2025</v>
      </c>
      <c r="G703" t="s">
        <v>1139</v>
      </c>
      <c r="H703" s="17">
        <v>45416</v>
      </c>
      <c r="I703" s="21">
        <f t="shared" si="291"/>
        <v>-454</v>
      </c>
      <c r="J703" s="6" t="str">
        <f t="shared" si="292"/>
        <v>INVALID_SHIPPING</v>
      </c>
      <c r="K703" s="1" t="s">
        <v>1810</v>
      </c>
      <c r="L703" s="1" t="s">
        <v>90</v>
      </c>
      <c r="M703" s="1" t="str">
        <f t="shared" si="271"/>
        <v>Neha Gupta</v>
      </c>
      <c r="N703" s="1" t="s">
        <v>25</v>
      </c>
      <c r="O703" s="1" t="str">
        <f t="shared" si="272"/>
        <v>Consumer</v>
      </c>
      <c r="P703" s="1" t="s">
        <v>60</v>
      </c>
      <c r="Q703" s="1" t="str">
        <f t="shared" si="273"/>
        <v>South</v>
      </c>
      <c r="R703" s="1" t="str">
        <f t="shared" si="274"/>
        <v>OK</v>
      </c>
      <c r="S703" s="1" t="s">
        <v>61</v>
      </c>
      <c r="T703" s="1" t="str">
        <f t="shared" si="275"/>
        <v>Telangana</v>
      </c>
      <c r="U703" s="1" t="s">
        <v>62</v>
      </c>
      <c r="V703" s="1" t="str">
        <f t="shared" si="276"/>
        <v>Hyderabad</v>
      </c>
      <c r="W703" s="1" t="s">
        <v>44</v>
      </c>
      <c r="X703" s="1" t="str">
        <f t="shared" si="277"/>
        <v>Furniture</v>
      </c>
      <c r="Y703" s="1" t="s">
        <v>63</v>
      </c>
      <c r="Z703" s="1" t="str">
        <f t="shared" si="278"/>
        <v>Furnishings</v>
      </c>
      <c r="AA703" s="1" t="s">
        <v>1811</v>
      </c>
      <c r="AB703" s="1" t="s">
        <v>55</v>
      </c>
      <c r="AC703" s="1" t="str">
        <f t="shared" si="279"/>
        <v>First Class</v>
      </c>
      <c r="AD703" s="1" t="str">
        <f t="shared" si="280"/>
        <v>OK</v>
      </c>
      <c r="AE703" s="1">
        <v>8</v>
      </c>
      <c r="AF703" s="1">
        <v>638.95000000000005</v>
      </c>
      <c r="AG703" s="9">
        <v>0.25</v>
      </c>
      <c r="AH703" s="9">
        <f t="shared" si="281"/>
        <v>0.25</v>
      </c>
      <c r="AI703" s="1" t="str">
        <f t="shared" si="282"/>
        <v>OK</v>
      </c>
      <c r="AJ703" s="1">
        <v>3833.7</v>
      </c>
      <c r="AK703" s="1">
        <v>2886.35</v>
      </c>
      <c r="AL703" s="1">
        <v>947.35</v>
      </c>
      <c r="AM703" s="13">
        <f t="shared" si="283"/>
        <v>3833.7000000000003</v>
      </c>
      <c r="AN703" s="9">
        <f t="shared" si="284"/>
        <v>947.35000000000036</v>
      </c>
      <c r="AO703" s="9">
        <f t="shared" si="293"/>
        <v>0.24711114589039318</v>
      </c>
      <c r="AP703" s="1" t="s">
        <v>33</v>
      </c>
      <c r="AQ703" s="1" t="str">
        <f t="shared" si="285"/>
        <v>Paid</v>
      </c>
      <c r="AR703" s="1" t="str">
        <f t="shared" si="286"/>
        <v>OK</v>
      </c>
      <c r="AS703" s="1" t="s">
        <v>34</v>
      </c>
      <c r="AT703" s="4" t="str">
        <f t="shared" si="287"/>
        <v>Completed</v>
      </c>
      <c r="AU703" s="3" t="str">
        <f t="shared" si="288"/>
        <v>OK</v>
      </c>
      <c r="AV703" s="3" t="str">
        <f t="shared" si="294"/>
        <v>INVALID</v>
      </c>
      <c r="AW703" t="str">
        <f t="shared" si="295"/>
        <v>MATCH</v>
      </c>
      <c r="AX703" t="str">
        <f t="shared" si="296"/>
        <v>MATCH</v>
      </c>
    </row>
    <row r="704" spans="1:50" ht="15.6" hidden="1">
      <c r="A704" s="1" t="s">
        <v>1812</v>
      </c>
      <c r="B704" s="1">
        <f t="shared" si="270"/>
        <v>1</v>
      </c>
      <c r="C704" s="16">
        <v>45686</v>
      </c>
      <c r="D704" s="16">
        <v>45686</v>
      </c>
      <c r="E704" s="16" t="str">
        <f t="shared" si="289"/>
        <v>Jan</v>
      </c>
      <c r="F704" s="1">
        <f t="shared" si="290"/>
        <v>2025</v>
      </c>
      <c r="G704" t="s">
        <v>2531</v>
      </c>
      <c r="H704" s="17">
        <v>45694</v>
      </c>
      <c r="I704" s="21">
        <f t="shared" si="291"/>
        <v>8</v>
      </c>
      <c r="J704" s="6" t="str">
        <f t="shared" si="292"/>
        <v>OK</v>
      </c>
      <c r="K704" s="1" t="s">
        <v>1814</v>
      </c>
      <c r="L704" s="1" t="s">
        <v>39</v>
      </c>
      <c r="M704" s="1" t="str">
        <f t="shared" si="271"/>
        <v>Mira Das</v>
      </c>
      <c r="N704" s="1" t="s">
        <v>25</v>
      </c>
      <c r="O704" s="1" t="str">
        <f t="shared" si="272"/>
        <v>Consumer</v>
      </c>
      <c r="P704" s="1" t="s">
        <v>71</v>
      </c>
      <c r="Q704" s="1" t="str">
        <f t="shared" si="273"/>
        <v>West</v>
      </c>
      <c r="R704" s="1" t="str">
        <f t="shared" si="274"/>
        <v>OK</v>
      </c>
      <c r="S704" s="1" t="s">
        <v>218</v>
      </c>
      <c r="T704" s="1" t="str">
        <f t="shared" si="275"/>
        <v>Gujarat</v>
      </c>
      <c r="U704" s="1" t="s">
        <v>219</v>
      </c>
      <c r="V704" s="1" t="str">
        <f t="shared" si="276"/>
        <v>Ahmedabad</v>
      </c>
      <c r="W704" s="1" t="s">
        <v>29</v>
      </c>
      <c r="X704" s="1" t="str">
        <f t="shared" si="277"/>
        <v>Office Supplies</v>
      </c>
      <c r="Y704" s="1" t="s">
        <v>53</v>
      </c>
      <c r="Z704" s="1" t="str">
        <f t="shared" si="278"/>
        <v>Art</v>
      </c>
      <c r="AA704" s="1" t="s">
        <v>1815</v>
      </c>
      <c r="AB704" s="1" t="s">
        <v>55</v>
      </c>
      <c r="AC704" s="1" t="str">
        <f t="shared" si="279"/>
        <v>First Class</v>
      </c>
      <c r="AD704" s="1" t="str">
        <f t="shared" si="280"/>
        <v>OK</v>
      </c>
      <c r="AE704" s="1">
        <v>6</v>
      </c>
      <c r="AF704" s="1">
        <v>3863</v>
      </c>
      <c r="AG704" s="9">
        <v>0.2</v>
      </c>
      <c r="AH704" s="9">
        <f t="shared" si="281"/>
        <v>0.2</v>
      </c>
      <c r="AI704" s="1" t="str">
        <f t="shared" si="282"/>
        <v>OK</v>
      </c>
      <c r="AJ704" s="1">
        <v>18542.400000000001</v>
      </c>
      <c r="AK704" s="1">
        <v>11193.75</v>
      </c>
      <c r="AL704" s="1">
        <v>7348.65</v>
      </c>
      <c r="AM704" s="13">
        <f t="shared" si="283"/>
        <v>18542.400000000001</v>
      </c>
      <c r="AN704" s="9">
        <f t="shared" si="284"/>
        <v>7348.6500000000015</v>
      </c>
      <c r="AO704" s="9">
        <f t="shared" si="293"/>
        <v>0.39631601087237905</v>
      </c>
      <c r="AP704" s="1" t="s">
        <v>33</v>
      </c>
      <c r="AQ704" s="1" t="str">
        <f t="shared" si="285"/>
        <v>Paid</v>
      </c>
      <c r="AR704" s="1" t="str">
        <f t="shared" si="286"/>
        <v>OK</v>
      </c>
      <c r="AS704" s="1" t="s">
        <v>34</v>
      </c>
      <c r="AT704" s="4" t="str">
        <f t="shared" si="287"/>
        <v>Completed</v>
      </c>
      <c r="AU704" s="3" t="str">
        <f t="shared" si="288"/>
        <v>OK</v>
      </c>
      <c r="AV704" s="3" t="str">
        <f t="shared" si="294"/>
        <v>CLEAN</v>
      </c>
      <c r="AW704" t="str">
        <f t="shared" si="295"/>
        <v>MATCH</v>
      </c>
      <c r="AX704" t="str">
        <f t="shared" si="296"/>
        <v>MATCH</v>
      </c>
    </row>
    <row r="705" spans="1:50" ht="15.6">
      <c r="A705" s="1" t="s">
        <v>1820</v>
      </c>
      <c r="B705" s="1">
        <f t="shared" si="270"/>
        <v>1</v>
      </c>
      <c r="C705" s="16">
        <v>45926</v>
      </c>
      <c r="D705" s="16">
        <v>45926</v>
      </c>
      <c r="E705" s="16" t="str">
        <f t="shared" si="289"/>
        <v>Sep</v>
      </c>
      <c r="F705" s="1">
        <f t="shared" si="290"/>
        <v>2025</v>
      </c>
      <c r="G705" t="s">
        <v>2087</v>
      </c>
      <c r="H705" s="17">
        <v>45585</v>
      </c>
      <c r="I705" s="21">
        <f t="shared" si="291"/>
        <v>-341</v>
      </c>
      <c r="J705" s="6" t="str">
        <f t="shared" si="292"/>
        <v>INVALID_SHIPPING</v>
      </c>
      <c r="K705" s="1" t="s">
        <v>1822</v>
      </c>
      <c r="L705" s="1" t="s">
        <v>158</v>
      </c>
      <c r="M705" s="1" t="str">
        <f t="shared" si="271"/>
        <v>Sneha Kapoor</v>
      </c>
      <c r="N705" s="1" t="s">
        <v>110</v>
      </c>
      <c r="O705" s="1" t="str">
        <f t="shared" si="272"/>
        <v>Home Office</v>
      </c>
      <c r="P705" s="1" t="s">
        <v>26</v>
      </c>
      <c r="Q705" s="1" t="str">
        <f t="shared" si="273"/>
        <v>North</v>
      </c>
      <c r="R705" s="1" t="str">
        <f t="shared" si="274"/>
        <v>OK</v>
      </c>
      <c r="S705" s="1" t="s">
        <v>294</v>
      </c>
      <c r="T705" s="1" t="str">
        <f t="shared" si="275"/>
        <v>Haryana</v>
      </c>
      <c r="U705" s="1" t="s">
        <v>295</v>
      </c>
      <c r="V705" s="1" t="str">
        <f t="shared" si="276"/>
        <v>Gurugram</v>
      </c>
      <c r="W705" s="1" t="s">
        <v>83</v>
      </c>
      <c r="X705" s="1" t="str">
        <f t="shared" si="277"/>
        <v>Technology</v>
      </c>
      <c r="Y705" s="1" t="s">
        <v>207</v>
      </c>
      <c r="Z705" s="1" t="str">
        <f t="shared" si="278"/>
        <v>Phones</v>
      </c>
      <c r="AA705" s="1" t="s">
        <v>1823</v>
      </c>
      <c r="AB705" s="1" t="s">
        <v>47</v>
      </c>
      <c r="AC705" s="1" t="str">
        <f t="shared" si="279"/>
        <v>Same Day</v>
      </c>
      <c r="AD705" s="1" t="str">
        <f t="shared" si="280"/>
        <v>OK</v>
      </c>
      <c r="AE705" s="1">
        <v>2</v>
      </c>
      <c r="AF705" s="1">
        <v>688.83</v>
      </c>
      <c r="AG705" s="9">
        <v>0.05</v>
      </c>
      <c r="AH705" s="9">
        <f t="shared" si="281"/>
        <v>0.05</v>
      </c>
      <c r="AI705" s="1" t="str">
        <f t="shared" si="282"/>
        <v>OK</v>
      </c>
      <c r="AJ705" s="1">
        <v>1308.78</v>
      </c>
      <c r="AK705" s="1">
        <v>843</v>
      </c>
      <c r="AL705" s="1">
        <v>465.78</v>
      </c>
      <c r="AM705" s="13">
        <f t="shared" si="283"/>
        <v>1308.777</v>
      </c>
      <c r="AN705" s="9">
        <f t="shared" si="284"/>
        <v>465.77700000000004</v>
      </c>
      <c r="AO705" s="9">
        <f t="shared" si="293"/>
        <v>0.35588721378813964</v>
      </c>
      <c r="AP705" s="1" t="s">
        <v>33</v>
      </c>
      <c r="AQ705" s="1" t="str">
        <f t="shared" si="285"/>
        <v>Paid</v>
      </c>
      <c r="AR705" s="1" t="str">
        <f t="shared" si="286"/>
        <v>OK</v>
      </c>
      <c r="AS705" s="1" t="s">
        <v>34</v>
      </c>
      <c r="AT705" s="4" t="str">
        <f t="shared" si="287"/>
        <v>Completed</v>
      </c>
      <c r="AU705" s="3" t="str">
        <f t="shared" si="288"/>
        <v>OK</v>
      </c>
      <c r="AV705" s="3" t="str">
        <f t="shared" si="294"/>
        <v>INVALID</v>
      </c>
      <c r="AW705" t="str">
        <f t="shared" si="295"/>
        <v>MATCH</v>
      </c>
      <c r="AX705" t="str">
        <f t="shared" si="296"/>
        <v>MATCH</v>
      </c>
    </row>
    <row r="706" spans="1:50" ht="15.6">
      <c r="A706" s="1" t="s">
        <v>1824</v>
      </c>
      <c r="B706" s="1">
        <f t="shared" ref="B706:B769" si="297">COUNTIF($A:$A,A706)</f>
        <v>1</v>
      </c>
      <c r="C706" s="16">
        <v>45734</v>
      </c>
      <c r="D706" s="16">
        <v>45734</v>
      </c>
      <c r="E706" s="16" t="str">
        <f t="shared" si="289"/>
        <v>Mar</v>
      </c>
      <c r="F706" s="1">
        <f t="shared" si="290"/>
        <v>2025</v>
      </c>
      <c r="G706" t="s">
        <v>2887</v>
      </c>
      <c r="H706" s="17">
        <v>45371</v>
      </c>
      <c r="I706" s="21">
        <f t="shared" si="291"/>
        <v>-363</v>
      </c>
      <c r="J706" s="6" t="str">
        <f t="shared" si="292"/>
        <v>INVALID_SHIPPING</v>
      </c>
      <c r="K706" s="1" t="s">
        <v>1826</v>
      </c>
      <c r="L706" s="1" t="s">
        <v>52</v>
      </c>
      <c r="M706" s="1" t="str">
        <f t="shared" ref="M706:M769" si="298">PROPER(TRIM(SUBSTITUTE(L706,CHAR(160)," ")))</f>
        <v>Isha Nair</v>
      </c>
      <c r="N706" s="1" t="s">
        <v>104</v>
      </c>
      <c r="O706" s="1" t="str">
        <f t="shared" ref="O706:O769" si="299">PROPER(TRIM(SUBSTITUTE(N706,CHAR(160)," ")))</f>
        <v>Corporate</v>
      </c>
      <c r="P706" s="1" t="s">
        <v>60</v>
      </c>
      <c r="Q706" s="1" t="str">
        <f t="shared" ref="Q706:Q769" si="300">IF(TRIM(P706)="","Unknown",PROPER(TRIM(P706)))</f>
        <v>South</v>
      </c>
      <c r="R706" s="1" t="str">
        <f t="shared" ref="R706:R769" si="301">IF(Q706="Unknown","MISSING_REGION","OK")</f>
        <v>OK</v>
      </c>
      <c r="S706" s="1" t="s">
        <v>309</v>
      </c>
      <c r="T706" s="1" t="str">
        <f t="shared" ref="T706:T769" si="302">PROPER(TRIM(SUBSTITUTE(S706,CHAR(160)," ")))</f>
        <v>Tamil Nadu</v>
      </c>
      <c r="U706" s="1" t="s">
        <v>310</v>
      </c>
      <c r="V706" s="1" t="str">
        <f t="shared" ref="V706:V769" si="303">PROPER(TRIM(SUBSTITUTE(U706,CHAR(160)," ")))</f>
        <v>Chennai</v>
      </c>
      <c r="W706" s="1" t="s">
        <v>83</v>
      </c>
      <c r="X706" s="1" t="str">
        <f t="shared" ref="X706:X769" si="304">PROPER(TRIM(SUBSTITUTE(W706,CHAR(160)," ")))</f>
        <v>Technology</v>
      </c>
      <c r="Y706" s="1" t="s">
        <v>347</v>
      </c>
      <c r="Z706" s="1" t="str">
        <f t="shared" ref="Z706:Z769" si="305">PROPER(TRIM(SUBSTITUTE(Y706,CHAR(160)," ")))</f>
        <v>Machines</v>
      </c>
      <c r="AA706" s="1" t="s">
        <v>1827</v>
      </c>
      <c r="AB706" s="1" t="s">
        <v>65</v>
      </c>
      <c r="AC706" s="1" t="str">
        <f t="shared" ref="AC706:AC769" si="306">IF(TRIM(AB706)="","Unknown",PROPER(TRIM(AB706)))</f>
        <v>Standard Class</v>
      </c>
      <c r="AD706" s="1" t="str">
        <f t="shared" ref="AD706:AD769" si="307">IF(AC706="Unknown","MISSING_SHIP_MODE","OK")</f>
        <v>OK</v>
      </c>
      <c r="AE706" s="1">
        <v>2</v>
      </c>
      <c r="AF706" s="1">
        <v>1209.99</v>
      </c>
      <c r="AG706" s="9">
        <v>0.25</v>
      </c>
      <c r="AH706" s="9">
        <f t="shared" ref="AH706:AH769" si="308">IF(RIGHT(AG706,1)="%",VALUE(SUBSTITUTE(AG706,"%",""))/100,AG706)</f>
        <v>0.25</v>
      </c>
      <c r="AI706" s="1" t="str">
        <f t="shared" ref="AI706:AI769" si="309">IF(AG706="","Missing Discount",
IF(AG706&lt;0,"Invalid Negative Discount",
"OK"))</f>
        <v>OK</v>
      </c>
      <c r="AJ706" s="1">
        <v>1814.99</v>
      </c>
      <c r="AK706" s="1">
        <v>1120.06</v>
      </c>
      <c r="AL706" s="1">
        <v>694.93</v>
      </c>
      <c r="AM706" s="13">
        <f t="shared" ref="AM706:AM769" si="310">IF(AH706&lt;0,"INVALID",AE706*AF706*(1-AH706))</f>
        <v>1814.9850000000001</v>
      </c>
      <c r="AN706" s="9">
        <f t="shared" ref="AN706:AN769" si="311">IF(AM706="INVALID","INVALID",
AM706-AK706)</f>
        <v>694.92500000000018</v>
      </c>
      <c r="AO706" s="9">
        <f t="shared" si="293"/>
        <v>0.38288195219244242</v>
      </c>
      <c r="AP706" s="1" t="s">
        <v>131</v>
      </c>
      <c r="AQ706" s="1" t="str">
        <f t="shared" ref="AQ706:AQ769" si="312">PROPER(TRIM(SUBSTITUTE(AP706,CHAR(160)," ")))</f>
        <v>Pending</v>
      </c>
      <c r="AR706" s="1" t="str">
        <f t="shared" ref="AR706:AR769" si="313">IF(AQ706="Failed","EXCLUDE_FROM_SALES",
IF(AQ706="Refunded","REFUNDED_PAYMENT",
"OK"))</f>
        <v>OK</v>
      </c>
      <c r="AS706" s="1" t="s">
        <v>76</v>
      </c>
      <c r="AT706" s="4" t="str">
        <f t="shared" ref="AT706:AT769" si="314">PROPER(TRIM(SUBSTITUTE(AS706,CHAR(160)," ")))</f>
        <v>Cancelled</v>
      </c>
      <c r="AU706" s="3" t="str">
        <f t="shared" ref="AU706:AU769" si="315">IF(AT706="Cancelled","EXCLUDE_FROM_SALES",
IF(AT706="Returned","RETURNED_ORDER",
"OK"))</f>
        <v>EXCLUDE_FROM_SALES</v>
      </c>
      <c r="AV706" s="3" t="str">
        <f t="shared" si="294"/>
        <v>INVALID</v>
      </c>
      <c r="AW706" t="str">
        <f t="shared" si="295"/>
        <v>MATCH</v>
      </c>
      <c r="AX706" t="str">
        <f t="shared" si="296"/>
        <v>MATCH</v>
      </c>
    </row>
    <row r="707" spans="1:50" ht="15.6">
      <c r="A707" s="1" t="s">
        <v>1828</v>
      </c>
      <c r="B707" s="1">
        <f t="shared" si="297"/>
        <v>1</v>
      </c>
      <c r="C707" s="16">
        <v>45822</v>
      </c>
      <c r="D707" s="16">
        <v>45822</v>
      </c>
      <c r="E707" s="16" t="str">
        <f t="shared" ref="E707:E770" si="316">TEXT(D707,"mmm")</f>
        <v>Jun</v>
      </c>
      <c r="F707" s="1">
        <f t="shared" ref="F707:F770" si="317">YEAR(D707)</f>
        <v>2025</v>
      </c>
      <c r="G707" t="s">
        <v>2891</v>
      </c>
      <c r="H707" s="17">
        <v>45549</v>
      </c>
      <c r="I707" s="21">
        <f t="shared" ref="I707:I770" si="318">H707-D707</f>
        <v>-273</v>
      </c>
      <c r="J707" s="6" t="str">
        <f t="shared" ref="J707:J770" si="319">IF(I707&lt;0,"INVALID_SHIPPING","OK")</f>
        <v>INVALID_SHIPPING</v>
      </c>
      <c r="K707" s="1" t="s">
        <v>1830</v>
      </c>
      <c r="L707" s="1" t="s">
        <v>169</v>
      </c>
      <c r="M707" s="1" t="str">
        <f t="shared" si="298"/>
        <v>Rohan Mehta</v>
      </c>
      <c r="N707" s="1" t="s">
        <v>40</v>
      </c>
      <c r="O707" s="1" t="str">
        <f t="shared" si="299"/>
        <v>Small Business</v>
      </c>
      <c r="P707" s="1" t="s">
        <v>26</v>
      </c>
      <c r="Q707" s="1" t="str">
        <f t="shared" si="300"/>
        <v>North</v>
      </c>
      <c r="R707" s="1" t="str">
        <f t="shared" si="301"/>
        <v>OK</v>
      </c>
      <c r="S707" s="1" t="s">
        <v>454</v>
      </c>
      <c r="T707" s="1" t="str">
        <f t="shared" si="302"/>
        <v>Delhi</v>
      </c>
      <c r="U707" s="1" t="s">
        <v>455</v>
      </c>
      <c r="V707" s="1" t="str">
        <f t="shared" si="303"/>
        <v>New Delhi</v>
      </c>
      <c r="W707" s="1" t="s">
        <v>29</v>
      </c>
      <c r="X707" s="1" t="str">
        <f t="shared" si="304"/>
        <v>Office Supplies</v>
      </c>
      <c r="Y707" s="1" t="s">
        <v>184</v>
      </c>
      <c r="Z707" s="1" t="str">
        <f t="shared" si="305"/>
        <v>Binders</v>
      </c>
      <c r="AA707" s="1" t="s">
        <v>1831</v>
      </c>
      <c r="AB707" s="1" t="s">
        <v>47</v>
      </c>
      <c r="AC707" s="1" t="str">
        <f t="shared" si="306"/>
        <v>Same Day</v>
      </c>
      <c r="AD707" s="1" t="str">
        <f t="shared" si="307"/>
        <v>OK</v>
      </c>
      <c r="AE707" s="1">
        <v>3</v>
      </c>
      <c r="AF707" s="1">
        <v>1037.45</v>
      </c>
      <c r="AG707" s="9">
        <v>0.2</v>
      </c>
      <c r="AH707" s="9">
        <f t="shared" si="308"/>
        <v>0.2</v>
      </c>
      <c r="AI707" s="1" t="str">
        <f t="shared" si="309"/>
        <v>OK</v>
      </c>
      <c r="AJ707" s="1">
        <v>2489.88</v>
      </c>
      <c r="AK707" s="1">
        <v>1707.52</v>
      </c>
      <c r="AL707" s="1">
        <v>782.36</v>
      </c>
      <c r="AM707" s="13">
        <f t="shared" si="310"/>
        <v>2489.8800000000006</v>
      </c>
      <c r="AN707" s="9">
        <f t="shared" si="311"/>
        <v>782.36000000000058</v>
      </c>
      <c r="AO707" s="9">
        <f t="shared" ref="AO707:AO770" si="320">IF(OR(AM707="INVALID",AN707="INVALID"),"",AN707/AM707)</f>
        <v>0.31421594615001541</v>
      </c>
      <c r="AP707" s="1" t="s">
        <v>131</v>
      </c>
      <c r="AQ707" s="1" t="str">
        <f t="shared" si="312"/>
        <v>Pending</v>
      </c>
      <c r="AR707" s="1" t="str">
        <f t="shared" si="313"/>
        <v>OK</v>
      </c>
      <c r="AS707" s="1" t="s">
        <v>120</v>
      </c>
      <c r="AT707" s="4" t="str">
        <f t="shared" si="314"/>
        <v>Returned</v>
      </c>
      <c r="AU707" s="3" t="str">
        <f t="shared" si="315"/>
        <v>RETURNED_ORDER</v>
      </c>
      <c r="AV707" s="3" t="str">
        <f t="shared" ref="AV707:AV770" si="321">IF(OR(AI707&lt;&gt;"OK",J707="INVALID_SHIPPING"),
"INVALID",
IF(OR(R707&lt;&gt;"OK",AD707&lt;&gt;"OK"),
"WARNING",
"CLEAN"))</f>
        <v>INVALID</v>
      </c>
      <c r="AW707" t="str">
        <f t="shared" ref="AW707:AW770" si="322">IF(AM707="INVALID","INVALID",
IF(ROUND(AJ707,2)=ROUND(AM707,2),"MATCH","MISMATCH"))</f>
        <v>MATCH</v>
      </c>
      <c r="AX707" t="str">
        <f t="shared" ref="AX707:AX770" si="323">IF(AN707="INVALID","INVALID",IF(ROUND(AL707,2)=ROUND(AN707,2),"MATCH","MISMATCH"))</f>
        <v>MATCH</v>
      </c>
    </row>
    <row r="708" spans="1:50" ht="15.6">
      <c r="A708" s="1" t="s">
        <v>1832</v>
      </c>
      <c r="B708" s="1">
        <f t="shared" si="297"/>
        <v>1</v>
      </c>
      <c r="C708" s="16">
        <v>45725</v>
      </c>
      <c r="D708" s="16">
        <v>45725</v>
      </c>
      <c r="E708" s="16" t="str">
        <f t="shared" si="316"/>
        <v>Mar</v>
      </c>
      <c r="F708" s="1">
        <f t="shared" si="317"/>
        <v>2025</v>
      </c>
      <c r="G708" t="s">
        <v>922</v>
      </c>
      <c r="H708" s="17">
        <v>45471</v>
      </c>
      <c r="I708" s="21">
        <f t="shared" si="318"/>
        <v>-254</v>
      </c>
      <c r="J708" s="6" t="str">
        <f t="shared" si="319"/>
        <v>INVALID_SHIPPING</v>
      </c>
      <c r="K708" s="1" t="s">
        <v>1834</v>
      </c>
      <c r="L708" s="1" t="s">
        <v>334</v>
      </c>
      <c r="M708" s="1" t="str">
        <f t="shared" si="298"/>
        <v>Kabir Singh</v>
      </c>
      <c r="N708" s="1" t="s">
        <v>25</v>
      </c>
      <c r="O708" s="1" t="str">
        <f t="shared" si="299"/>
        <v>Consumer</v>
      </c>
      <c r="P708" s="1" t="s">
        <v>71</v>
      </c>
      <c r="Q708" s="1" t="str">
        <f t="shared" si="300"/>
        <v>West</v>
      </c>
      <c r="R708" s="1" t="str">
        <f t="shared" si="301"/>
        <v>OK</v>
      </c>
      <c r="S708" s="1" t="s">
        <v>81</v>
      </c>
      <c r="T708" s="1" t="str">
        <f t="shared" si="302"/>
        <v>Madhya Pradesh</v>
      </c>
      <c r="U708" s="1" t="s">
        <v>82</v>
      </c>
      <c r="V708" s="1" t="str">
        <f t="shared" si="303"/>
        <v>Indore</v>
      </c>
      <c r="W708" s="1" t="s">
        <v>83</v>
      </c>
      <c r="X708" s="1" t="str">
        <f t="shared" si="304"/>
        <v>Technology</v>
      </c>
      <c r="Y708" s="1" t="s">
        <v>91</v>
      </c>
      <c r="Z708" s="1" t="str">
        <f t="shared" si="305"/>
        <v>Copiers</v>
      </c>
      <c r="AA708" s="1" t="s">
        <v>1835</v>
      </c>
      <c r="AB708" s="1" t="s">
        <v>47</v>
      </c>
      <c r="AC708" s="1" t="str">
        <f t="shared" si="306"/>
        <v>Same Day</v>
      </c>
      <c r="AD708" s="1" t="str">
        <f t="shared" si="307"/>
        <v>OK</v>
      </c>
      <c r="AE708" s="1">
        <v>7</v>
      </c>
      <c r="AF708" s="1">
        <v>688.85</v>
      </c>
      <c r="AG708" s="9">
        <v>0.15</v>
      </c>
      <c r="AH708" s="9">
        <f t="shared" si="308"/>
        <v>0.15</v>
      </c>
      <c r="AI708" s="1" t="str">
        <f t="shared" si="309"/>
        <v>OK</v>
      </c>
      <c r="AJ708" s="1">
        <v>4098.66</v>
      </c>
      <c r="AK708" s="1">
        <v>2678.06</v>
      </c>
      <c r="AL708" s="1">
        <v>1420.6</v>
      </c>
      <c r="AM708" s="13">
        <f t="shared" si="310"/>
        <v>4098.6574999999993</v>
      </c>
      <c r="AN708" s="9">
        <f t="shared" si="311"/>
        <v>1420.5974999999994</v>
      </c>
      <c r="AO708" s="9">
        <f t="shared" si="320"/>
        <v>0.34660068571233377</v>
      </c>
      <c r="AP708" s="1" t="s">
        <v>33</v>
      </c>
      <c r="AQ708" s="1" t="str">
        <f t="shared" si="312"/>
        <v>Paid</v>
      </c>
      <c r="AR708" s="1" t="str">
        <f t="shared" si="313"/>
        <v>OK</v>
      </c>
      <c r="AS708" s="1" t="s">
        <v>34</v>
      </c>
      <c r="AT708" s="4" t="str">
        <f t="shared" si="314"/>
        <v>Completed</v>
      </c>
      <c r="AU708" s="3" t="str">
        <f t="shared" si="315"/>
        <v>OK</v>
      </c>
      <c r="AV708" s="3" t="str">
        <f t="shared" si="321"/>
        <v>INVALID</v>
      </c>
      <c r="AW708" t="str">
        <f t="shared" si="322"/>
        <v>MATCH</v>
      </c>
      <c r="AX708" t="str">
        <f t="shared" si="323"/>
        <v>MATCH</v>
      </c>
    </row>
    <row r="709" spans="1:50" ht="15.6" hidden="1">
      <c r="A709" s="1" t="s">
        <v>1855</v>
      </c>
      <c r="B709" s="1">
        <f t="shared" si="297"/>
        <v>1</v>
      </c>
      <c r="C709" s="16">
        <v>45769</v>
      </c>
      <c r="D709" s="16">
        <v>45769</v>
      </c>
      <c r="E709" s="16" t="str">
        <f t="shared" si="316"/>
        <v>Apr</v>
      </c>
      <c r="F709" s="1">
        <f t="shared" si="317"/>
        <v>2025</v>
      </c>
      <c r="G709" t="s">
        <v>2079</v>
      </c>
      <c r="H709" s="17">
        <v>45834</v>
      </c>
      <c r="I709" s="21">
        <f t="shared" si="318"/>
        <v>65</v>
      </c>
      <c r="J709" s="6" t="str">
        <f t="shared" si="319"/>
        <v>OK</v>
      </c>
      <c r="K709" s="1" t="s">
        <v>1858</v>
      </c>
      <c r="L709" s="1" t="s">
        <v>52</v>
      </c>
      <c r="M709" s="1" t="str">
        <f t="shared" si="298"/>
        <v>Isha Nair</v>
      </c>
      <c r="N709" s="1" t="s">
        <v>104</v>
      </c>
      <c r="O709" s="1" t="str">
        <f t="shared" si="299"/>
        <v>Corporate</v>
      </c>
      <c r="P709" s="1"/>
      <c r="Q709" s="1" t="str">
        <f t="shared" si="300"/>
        <v>Unknown</v>
      </c>
      <c r="R709" s="1" t="str">
        <f t="shared" si="301"/>
        <v>MISSING_REGION</v>
      </c>
      <c r="S709" s="1" t="s">
        <v>284</v>
      </c>
      <c r="T709" s="1" t="str">
        <f t="shared" si="302"/>
        <v>Jharkhand</v>
      </c>
      <c r="U709" s="1" t="s">
        <v>285</v>
      </c>
      <c r="V709" s="1" t="str">
        <f t="shared" si="303"/>
        <v>Ranchi</v>
      </c>
      <c r="W709" s="1" t="s">
        <v>83</v>
      </c>
      <c r="X709" s="1" t="str">
        <f t="shared" si="304"/>
        <v>Technology</v>
      </c>
      <c r="Y709" s="1" t="s">
        <v>84</v>
      </c>
      <c r="Z709" s="1" t="str">
        <f t="shared" si="305"/>
        <v>Accessories</v>
      </c>
      <c r="AA709" s="1" t="s">
        <v>1859</v>
      </c>
      <c r="AB709" s="1" t="s">
        <v>263</v>
      </c>
      <c r="AC709" s="1" t="str">
        <f t="shared" si="306"/>
        <v>Standard Class</v>
      </c>
      <c r="AD709" s="1" t="str">
        <f t="shared" si="307"/>
        <v>OK</v>
      </c>
      <c r="AE709" s="1">
        <v>9</v>
      </c>
      <c r="AF709" s="1">
        <v>2939.44</v>
      </c>
      <c r="AG709" s="9">
        <v>0</v>
      </c>
      <c r="AH709" s="9">
        <f t="shared" si="308"/>
        <v>0</v>
      </c>
      <c r="AI709" s="1" t="str">
        <f t="shared" si="309"/>
        <v>OK</v>
      </c>
      <c r="AJ709" s="1">
        <v>26454.959999999999</v>
      </c>
      <c r="AK709" s="1">
        <v>17630.25</v>
      </c>
      <c r="AL709" s="1">
        <v>8824.7099999999991</v>
      </c>
      <c r="AM709" s="13">
        <f t="shared" si="310"/>
        <v>26454.959999999999</v>
      </c>
      <c r="AN709" s="9">
        <f t="shared" si="311"/>
        <v>8824.7099999999991</v>
      </c>
      <c r="AO709" s="9">
        <f t="shared" si="320"/>
        <v>0.33357487594008833</v>
      </c>
      <c r="AP709" s="1" t="s">
        <v>33</v>
      </c>
      <c r="AQ709" s="1" t="str">
        <f t="shared" si="312"/>
        <v>Paid</v>
      </c>
      <c r="AR709" s="1" t="str">
        <f t="shared" si="313"/>
        <v>OK</v>
      </c>
      <c r="AS709" s="1" t="s">
        <v>34</v>
      </c>
      <c r="AT709" s="4" t="str">
        <f t="shared" si="314"/>
        <v>Completed</v>
      </c>
      <c r="AU709" s="3" t="str">
        <f t="shared" si="315"/>
        <v>OK</v>
      </c>
      <c r="AV709" s="3" t="str">
        <f t="shared" si="321"/>
        <v>WARNING</v>
      </c>
      <c r="AW709" t="str">
        <f t="shared" si="322"/>
        <v>MATCH</v>
      </c>
      <c r="AX709" t="str">
        <f t="shared" si="323"/>
        <v>MATCH</v>
      </c>
    </row>
    <row r="710" spans="1:50" ht="15.6" hidden="1">
      <c r="A710" s="1" t="s">
        <v>1860</v>
      </c>
      <c r="B710" s="1">
        <f t="shared" si="297"/>
        <v>1</v>
      </c>
      <c r="C710" s="16">
        <v>45731</v>
      </c>
      <c r="D710" s="16">
        <v>45731</v>
      </c>
      <c r="E710" s="16" t="str">
        <f t="shared" si="316"/>
        <v>Mar</v>
      </c>
      <c r="F710" s="1">
        <f t="shared" si="317"/>
        <v>2025</v>
      </c>
      <c r="G710" t="s">
        <v>2902</v>
      </c>
      <c r="H710" s="17">
        <v>45742</v>
      </c>
      <c r="I710" s="21">
        <f t="shared" si="318"/>
        <v>11</v>
      </c>
      <c r="J710" s="6" t="str">
        <f t="shared" si="319"/>
        <v>OK</v>
      </c>
      <c r="K710" s="1" t="s">
        <v>1862</v>
      </c>
      <c r="L710" s="1" t="s">
        <v>24</v>
      </c>
      <c r="M710" s="1" t="str">
        <f t="shared" si="298"/>
        <v>Karan Malhotra</v>
      </c>
      <c r="N710" s="1" t="s">
        <v>40</v>
      </c>
      <c r="O710" s="1" t="str">
        <f t="shared" si="299"/>
        <v>Small Business</v>
      </c>
      <c r="P710" s="1" t="s">
        <v>41</v>
      </c>
      <c r="Q710" s="1" t="str">
        <f t="shared" si="300"/>
        <v>East</v>
      </c>
      <c r="R710" s="1" t="str">
        <f t="shared" si="301"/>
        <v>OK</v>
      </c>
      <c r="S710" s="1" t="s">
        <v>116</v>
      </c>
      <c r="T710" s="1" t="str">
        <f t="shared" si="302"/>
        <v>West Bengal</v>
      </c>
      <c r="U710" s="1" t="s">
        <v>117</v>
      </c>
      <c r="V710" s="1" t="str">
        <f t="shared" si="303"/>
        <v>Kolkata</v>
      </c>
      <c r="W710" s="1" t="s">
        <v>83</v>
      </c>
      <c r="X710" s="1" t="str">
        <f t="shared" si="304"/>
        <v>Technology</v>
      </c>
      <c r="Y710" s="1" t="s">
        <v>207</v>
      </c>
      <c r="Z710" s="1" t="str">
        <f t="shared" si="305"/>
        <v>Phones</v>
      </c>
      <c r="AA710" s="1" t="s">
        <v>1863</v>
      </c>
      <c r="AB710" s="1" t="s">
        <v>47</v>
      </c>
      <c r="AC710" s="1" t="str">
        <f t="shared" si="306"/>
        <v>Same Day</v>
      </c>
      <c r="AD710" s="1" t="str">
        <f t="shared" si="307"/>
        <v>OK</v>
      </c>
      <c r="AE710" s="1">
        <v>2</v>
      </c>
      <c r="AF710" s="1">
        <v>1235.93</v>
      </c>
      <c r="AG710" s="9">
        <v>0.25</v>
      </c>
      <c r="AH710" s="9">
        <f t="shared" si="308"/>
        <v>0.25</v>
      </c>
      <c r="AI710" s="1" t="str">
        <f t="shared" si="309"/>
        <v>OK</v>
      </c>
      <c r="AJ710" s="1">
        <v>1853.89</v>
      </c>
      <c r="AK710" s="1">
        <v>1101.23</v>
      </c>
      <c r="AL710" s="1">
        <v>752.66</v>
      </c>
      <c r="AM710" s="13">
        <f t="shared" si="310"/>
        <v>1853.895</v>
      </c>
      <c r="AN710" s="9">
        <f t="shared" si="311"/>
        <v>752.66499999999996</v>
      </c>
      <c r="AO710" s="9">
        <f t="shared" si="320"/>
        <v>0.40599116994220275</v>
      </c>
      <c r="AP710" s="1" t="s">
        <v>131</v>
      </c>
      <c r="AQ710" s="1" t="str">
        <f t="shared" si="312"/>
        <v>Pending</v>
      </c>
      <c r="AR710" s="1" t="str">
        <f t="shared" si="313"/>
        <v>OK</v>
      </c>
      <c r="AS710" s="1" t="s">
        <v>76</v>
      </c>
      <c r="AT710" s="4" t="str">
        <f t="shared" si="314"/>
        <v>Cancelled</v>
      </c>
      <c r="AU710" s="3" t="str">
        <f t="shared" si="315"/>
        <v>EXCLUDE_FROM_SALES</v>
      </c>
      <c r="AV710" s="3" t="str">
        <f t="shared" si="321"/>
        <v>CLEAN</v>
      </c>
      <c r="AW710" t="str">
        <f t="shared" si="322"/>
        <v>MISMATCH</v>
      </c>
      <c r="AX710" t="str">
        <f t="shared" si="323"/>
        <v>MISMATCH</v>
      </c>
    </row>
    <row r="711" spans="1:50" ht="15.6" hidden="1">
      <c r="A711" s="1" t="s">
        <v>1864</v>
      </c>
      <c r="B711" s="1">
        <f t="shared" si="297"/>
        <v>1</v>
      </c>
      <c r="C711" s="16">
        <v>45660</v>
      </c>
      <c r="D711" s="16">
        <v>45660</v>
      </c>
      <c r="E711" s="16" t="str">
        <f t="shared" si="316"/>
        <v>Jan</v>
      </c>
      <c r="F711" s="1">
        <f t="shared" si="317"/>
        <v>2025</v>
      </c>
      <c r="G711" t="s">
        <v>172</v>
      </c>
      <c r="H711" s="17">
        <v>45680</v>
      </c>
      <c r="I711" s="21">
        <f t="shared" si="318"/>
        <v>20</v>
      </c>
      <c r="J711" s="6" t="str">
        <f t="shared" si="319"/>
        <v>OK</v>
      </c>
      <c r="K711" s="1" t="s">
        <v>1866</v>
      </c>
      <c r="L711" s="1" t="s">
        <v>90</v>
      </c>
      <c r="M711" s="1" t="str">
        <f t="shared" si="298"/>
        <v>Neha Gupta</v>
      </c>
      <c r="N711" s="1" t="s">
        <v>110</v>
      </c>
      <c r="O711" s="1" t="str">
        <f t="shared" si="299"/>
        <v>Home Office</v>
      </c>
      <c r="P711" s="1" t="s">
        <v>26</v>
      </c>
      <c r="Q711" s="1" t="str">
        <f t="shared" si="300"/>
        <v>North</v>
      </c>
      <c r="R711" s="1" t="str">
        <f t="shared" si="301"/>
        <v>OK</v>
      </c>
      <c r="S711" s="1" t="s">
        <v>27</v>
      </c>
      <c r="T711" s="1" t="str">
        <f t="shared" si="302"/>
        <v>Rajasthan</v>
      </c>
      <c r="U711" s="1" t="s">
        <v>28</v>
      </c>
      <c r="V711" s="1" t="str">
        <f t="shared" si="303"/>
        <v>Jaipur</v>
      </c>
      <c r="W711" s="1" t="s">
        <v>83</v>
      </c>
      <c r="X711" s="1" t="str">
        <f t="shared" si="304"/>
        <v>Technology</v>
      </c>
      <c r="Y711" s="1" t="s">
        <v>91</v>
      </c>
      <c r="Z711" s="1" t="str">
        <f t="shared" si="305"/>
        <v>Copiers</v>
      </c>
      <c r="AA711" s="1" t="s">
        <v>1867</v>
      </c>
      <c r="AB711" s="1" t="s">
        <v>47</v>
      </c>
      <c r="AC711" s="1" t="str">
        <f t="shared" si="306"/>
        <v>Same Day</v>
      </c>
      <c r="AD711" s="1" t="str">
        <f t="shared" si="307"/>
        <v>OK</v>
      </c>
      <c r="AE711" s="1">
        <v>8</v>
      </c>
      <c r="AF711" s="1">
        <v>2943.1</v>
      </c>
      <c r="AG711" s="9">
        <v>0.25</v>
      </c>
      <c r="AH711" s="9">
        <f t="shared" si="308"/>
        <v>0.25</v>
      </c>
      <c r="AI711" s="1" t="str">
        <f t="shared" si="309"/>
        <v>OK</v>
      </c>
      <c r="AJ711" s="1">
        <v>17658.599999999999</v>
      </c>
      <c r="AK711" s="1">
        <v>13842.48</v>
      </c>
      <c r="AL711" s="1">
        <v>3816.12</v>
      </c>
      <c r="AM711" s="13">
        <f t="shared" si="310"/>
        <v>17658.599999999999</v>
      </c>
      <c r="AN711" s="9">
        <f t="shared" si="311"/>
        <v>3816.119999999999</v>
      </c>
      <c r="AO711" s="9">
        <f t="shared" si="320"/>
        <v>0.2161054670245659</v>
      </c>
      <c r="AP711" s="1" t="s">
        <v>33</v>
      </c>
      <c r="AQ711" s="1" t="str">
        <f t="shared" si="312"/>
        <v>Paid</v>
      </c>
      <c r="AR711" s="1" t="str">
        <f t="shared" si="313"/>
        <v>OK</v>
      </c>
      <c r="AS711" s="1" t="s">
        <v>34</v>
      </c>
      <c r="AT711" s="4" t="str">
        <f t="shared" si="314"/>
        <v>Completed</v>
      </c>
      <c r="AU711" s="3" t="str">
        <f t="shared" si="315"/>
        <v>OK</v>
      </c>
      <c r="AV711" s="3" t="str">
        <f t="shared" si="321"/>
        <v>CLEAN</v>
      </c>
      <c r="AW711" t="str">
        <f t="shared" si="322"/>
        <v>MATCH</v>
      </c>
      <c r="AX711" t="str">
        <f t="shared" si="323"/>
        <v>MATCH</v>
      </c>
    </row>
    <row r="712" spans="1:50" ht="15.6">
      <c r="A712" s="1" t="s">
        <v>1884</v>
      </c>
      <c r="B712" s="1">
        <f t="shared" si="297"/>
        <v>1</v>
      </c>
      <c r="C712" s="16">
        <v>45965</v>
      </c>
      <c r="D712" s="16">
        <v>45965</v>
      </c>
      <c r="E712" s="16" t="str">
        <f t="shared" si="316"/>
        <v>Nov</v>
      </c>
      <c r="F712" s="1">
        <f t="shared" si="317"/>
        <v>2025</v>
      </c>
      <c r="G712" t="s">
        <v>2909</v>
      </c>
      <c r="H712" s="17">
        <v>45492</v>
      </c>
      <c r="I712" s="21">
        <f t="shared" si="318"/>
        <v>-473</v>
      </c>
      <c r="J712" s="6" t="str">
        <f t="shared" si="319"/>
        <v>INVALID_SHIPPING</v>
      </c>
      <c r="K712" s="1" t="s">
        <v>1886</v>
      </c>
      <c r="L712" s="1" t="s">
        <v>39</v>
      </c>
      <c r="M712" s="1" t="str">
        <f t="shared" si="298"/>
        <v>Mira Das</v>
      </c>
      <c r="N712" s="1" t="s">
        <v>110</v>
      </c>
      <c r="O712" s="1" t="str">
        <f t="shared" si="299"/>
        <v>Home Office</v>
      </c>
      <c r="P712" s="1" t="s">
        <v>26</v>
      </c>
      <c r="Q712" s="1" t="str">
        <f t="shared" si="300"/>
        <v>North</v>
      </c>
      <c r="R712" s="1" t="str">
        <f t="shared" si="301"/>
        <v>OK</v>
      </c>
      <c r="S712" s="1" t="s">
        <v>163</v>
      </c>
      <c r="T712" s="1" t="str">
        <f t="shared" si="302"/>
        <v>Uttar Pradesh</v>
      </c>
      <c r="U712" s="1" t="s">
        <v>164</v>
      </c>
      <c r="V712" s="1" t="str">
        <f t="shared" si="303"/>
        <v>Noida</v>
      </c>
      <c r="W712" s="1" t="s">
        <v>83</v>
      </c>
      <c r="X712" s="1" t="str">
        <f t="shared" si="304"/>
        <v>Technology</v>
      </c>
      <c r="Y712" s="1" t="s">
        <v>84</v>
      </c>
      <c r="Z712" s="1" t="str">
        <f t="shared" si="305"/>
        <v>Accessories</v>
      </c>
      <c r="AA712" s="1" t="s">
        <v>1887</v>
      </c>
      <c r="AB712" s="1" t="s">
        <v>32</v>
      </c>
      <c r="AC712" s="1" t="str">
        <f t="shared" si="306"/>
        <v>Second Class</v>
      </c>
      <c r="AD712" s="1" t="str">
        <f t="shared" si="307"/>
        <v>OK</v>
      </c>
      <c r="AE712" s="1">
        <v>5</v>
      </c>
      <c r="AF712" s="1">
        <v>652.78</v>
      </c>
      <c r="AG712" s="9">
        <v>0</v>
      </c>
      <c r="AH712" s="9">
        <f t="shared" si="308"/>
        <v>0</v>
      </c>
      <c r="AI712" s="1" t="str">
        <f t="shared" si="309"/>
        <v>OK</v>
      </c>
      <c r="AJ712" s="1">
        <v>3263.9</v>
      </c>
      <c r="AK712" s="1">
        <v>2068.44</v>
      </c>
      <c r="AL712" s="1">
        <v>1195.46</v>
      </c>
      <c r="AM712" s="13">
        <f t="shared" si="310"/>
        <v>3263.8999999999996</v>
      </c>
      <c r="AN712" s="9">
        <f t="shared" si="311"/>
        <v>1195.4599999999996</v>
      </c>
      <c r="AO712" s="9">
        <f t="shared" si="320"/>
        <v>0.3662673488771101</v>
      </c>
      <c r="AP712" s="1" t="s">
        <v>33</v>
      </c>
      <c r="AQ712" s="1" t="str">
        <f t="shared" si="312"/>
        <v>Paid</v>
      </c>
      <c r="AR712" s="1" t="str">
        <f t="shared" si="313"/>
        <v>OK</v>
      </c>
      <c r="AS712" s="1" t="s">
        <v>34</v>
      </c>
      <c r="AT712" s="4" t="str">
        <f t="shared" si="314"/>
        <v>Completed</v>
      </c>
      <c r="AU712" s="3" t="str">
        <f t="shared" si="315"/>
        <v>OK</v>
      </c>
      <c r="AV712" s="3" t="str">
        <f t="shared" si="321"/>
        <v>INVALID</v>
      </c>
      <c r="AW712" t="str">
        <f t="shared" si="322"/>
        <v>MATCH</v>
      </c>
      <c r="AX712" t="str">
        <f t="shared" si="323"/>
        <v>MATCH</v>
      </c>
    </row>
    <row r="713" spans="1:50" ht="15.6">
      <c r="A713" s="1" t="s">
        <v>1888</v>
      </c>
      <c r="B713" s="1">
        <f t="shared" si="297"/>
        <v>1</v>
      </c>
      <c r="C713" s="16">
        <v>45995</v>
      </c>
      <c r="D713" s="16">
        <v>45995</v>
      </c>
      <c r="E713" s="16" t="str">
        <f t="shared" si="316"/>
        <v>Dec</v>
      </c>
      <c r="F713" s="1">
        <f t="shared" si="317"/>
        <v>2025</v>
      </c>
      <c r="G713" t="s">
        <v>2880</v>
      </c>
      <c r="H713" s="17">
        <v>45690</v>
      </c>
      <c r="I713" s="21">
        <f t="shared" si="318"/>
        <v>-305</v>
      </c>
      <c r="J713" s="6" t="str">
        <f t="shared" si="319"/>
        <v>INVALID_SHIPPING</v>
      </c>
      <c r="K713" s="1" t="s">
        <v>1889</v>
      </c>
      <c r="L713" s="1" t="s">
        <v>334</v>
      </c>
      <c r="M713" s="1" t="str">
        <f t="shared" si="298"/>
        <v>Kabir Singh</v>
      </c>
      <c r="N713" s="1" t="s">
        <v>110</v>
      </c>
      <c r="O713" s="1" t="str">
        <f t="shared" si="299"/>
        <v>Home Office</v>
      </c>
      <c r="P713" s="1" t="s">
        <v>26</v>
      </c>
      <c r="Q713" s="1" t="str">
        <f t="shared" si="300"/>
        <v>North</v>
      </c>
      <c r="R713" s="1" t="str">
        <f t="shared" si="301"/>
        <v>OK</v>
      </c>
      <c r="S713" s="1" t="s">
        <v>454</v>
      </c>
      <c r="T713" s="1" t="str">
        <f t="shared" si="302"/>
        <v>Delhi</v>
      </c>
      <c r="U713" s="1" t="s">
        <v>455</v>
      </c>
      <c r="V713" s="1" t="str">
        <f t="shared" si="303"/>
        <v>New Delhi</v>
      </c>
      <c r="W713" s="1" t="s">
        <v>83</v>
      </c>
      <c r="X713" s="1" t="str">
        <f t="shared" si="304"/>
        <v>Technology</v>
      </c>
      <c r="Y713" s="1" t="s">
        <v>347</v>
      </c>
      <c r="Z713" s="1" t="str">
        <f t="shared" si="305"/>
        <v>Machines</v>
      </c>
      <c r="AA713" s="1" t="s">
        <v>1890</v>
      </c>
      <c r="AB713" s="1" t="s">
        <v>65</v>
      </c>
      <c r="AC713" s="1" t="str">
        <f t="shared" si="306"/>
        <v>Standard Class</v>
      </c>
      <c r="AD713" s="1" t="str">
        <f t="shared" si="307"/>
        <v>OK</v>
      </c>
      <c r="AE713" s="1">
        <v>1</v>
      </c>
      <c r="AF713" s="1">
        <v>2737.71</v>
      </c>
      <c r="AG713" s="9">
        <v>0.15</v>
      </c>
      <c r="AH713" s="9">
        <f t="shared" si="308"/>
        <v>0.15</v>
      </c>
      <c r="AI713" s="1" t="str">
        <f t="shared" si="309"/>
        <v>OK</v>
      </c>
      <c r="AJ713" s="1">
        <v>2327.0500000000002</v>
      </c>
      <c r="AK713" s="1">
        <v>1919.42</v>
      </c>
      <c r="AL713" s="1">
        <v>407.63</v>
      </c>
      <c r="AM713" s="13">
        <f t="shared" si="310"/>
        <v>2327.0535</v>
      </c>
      <c r="AN713" s="9">
        <f t="shared" si="311"/>
        <v>407.63349999999991</v>
      </c>
      <c r="AO713" s="9">
        <f t="shared" si="320"/>
        <v>0.17517152055163318</v>
      </c>
      <c r="AP713" s="1" t="s">
        <v>33</v>
      </c>
      <c r="AQ713" s="1" t="str">
        <f t="shared" si="312"/>
        <v>Paid</v>
      </c>
      <c r="AR713" s="1" t="str">
        <f t="shared" si="313"/>
        <v>OK</v>
      </c>
      <c r="AS713" s="1" t="s">
        <v>76</v>
      </c>
      <c r="AT713" s="4" t="str">
        <f t="shared" si="314"/>
        <v>Cancelled</v>
      </c>
      <c r="AU713" s="3" t="str">
        <f t="shared" si="315"/>
        <v>EXCLUDE_FROM_SALES</v>
      </c>
      <c r="AV713" s="3" t="str">
        <f t="shared" si="321"/>
        <v>INVALID</v>
      </c>
      <c r="AW713" t="str">
        <f t="shared" si="322"/>
        <v>MATCH</v>
      </c>
      <c r="AX713" t="str">
        <f t="shared" si="323"/>
        <v>MATCH</v>
      </c>
    </row>
    <row r="714" spans="1:50" ht="15.6">
      <c r="A714" s="1" t="s">
        <v>1899</v>
      </c>
      <c r="B714" s="1">
        <f t="shared" si="297"/>
        <v>1</v>
      </c>
      <c r="C714" s="16">
        <v>45843</v>
      </c>
      <c r="D714" s="16">
        <v>45843</v>
      </c>
      <c r="E714" s="16" t="str">
        <f t="shared" si="316"/>
        <v>Jul</v>
      </c>
      <c r="F714" s="1">
        <f t="shared" si="317"/>
        <v>2025</v>
      </c>
      <c r="G714" t="s">
        <v>2916</v>
      </c>
      <c r="H714" s="17">
        <v>45340</v>
      </c>
      <c r="I714" s="21">
        <f t="shared" si="318"/>
        <v>-503</v>
      </c>
      <c r="J714" s="6" t="str">
        <f t="shared" si="319"/>
        <v>INVALID_SHIPPING</v>
      </c>
      <c r="K714" s="1" t="s">
        <v>1901</v>
      </c>
      <c r="L714" s="1" t="s">
        <v>90</v>
      </c>
      <c r="M714" s="1" t="str">
        <f t="shared" si="298"/>
        <v>Neha Gupta</v>
      </c>
      <c r="N714" s="1" t="s">
        <v>104</v>
      </c>
      <c r="O714" s="1" t="str">
        <f t="shared" si="299"/>
        <v>Corporate</v>
      </c>
      <c r="P714" s="1" t="s">
        <v>41</v>
      </c>
      <c r="Q714" s="1" t="str">
        <f t="shared" si="300"/>
        <v>East</v>
      </c>
      <c r="R714" s="1" t="str">
        <f t="shared" si="301"/>
        <v>OK</v>
      </c>
      <c r="S714" s="1" t="s">
        <v>284</v>
      </c>
      <c r="T714" s="1" t="str">
        <f t="shared" si="302"/>
        <v>Jharkhand</v>
      </c>
      <c r="U714" s="1" t="s">
        <v>285</v>
      </c>
      <c r="V714" s="1" t="str">
        <f t="shared" si="303"/>
        <v>Ranchi</v>
      </c>
      <c r="W714" s="1" t="s">
        <v>83</v>
      </c>
      <c r="X714" s="1" t="str">
        <f t="shared" si="304"/>
        <v>Technology</v>
      </c>
      <c r="Y714" s="1" t="s">
        <v>207</v>
      </c>
      <c r="Z714" s="1" t="str">
        <f t="shared" si="305"/>
        <v>Phones</v>
      </c>
      <c r="AA714" s="1" t="s">
        <v>1902</v>
      </c>
      <c r="AB714" s="1" t="s">
        <v>65</v>
      </c>
      <c r="AC714" s="1" t="str">
        <f t="shared" si="306"/>
        <v>Standard Class</v>
      </c>
      <c r="AD714" s="1" t="str">
        <f t="shared" si="307"/>
        <v>OK</v>
      </c>
      <c r="AE714" s="1">
        <v>1</v>
      </c>
      <c r="AF714" s="1">
        <v>2266.4699999999998</v>
      </c>
      <c r="AG714" s="9">
        <v>0.2</v>
      </c>
      <c r="AH714" s="9">
        <f t="shared" si="308"/>
        <v>0.2</v>
      </c>
      <c r="AI714" s="1" t="str">
        <f t="shared" si="309"/>
        <v>OK</v>
      </c>
      <c r="AJ714" s="1">
        <v>1813.18</v>
      </c>
      <c r="AK714" s="1">
        <v>1363.64</v>
      </c>
      <c r="AL714" s="1">
        <v>449.54</v>
      </c>
      <c r="AM714" s="13">
        <f t="shared" si="310"/>
        <v>1813.1759999999999</v>
      </c>
      <c r="AN714" s="9">
        <f t="shared" si="311"/>
        <v>449.53599999999983</v>
      </c>
      <c r="AO714" s="9">
        <f t="shared" si="320"/>
        <v>0.24792739370033567</v>
      </c>
      <c r="AP714" s="1" t="s">
        <v>33</v>
      </c>
      <c r="AQ714" s="1" t="str">
        <f t="shared" si="312"/>
        <v>Paid</v>
      </c>
      <c r="AR714" s="1" t="str">
        <f t="shared" si="313"/>
        <v>OK</v>
      </c>
      <c r="AS714" s="1" t="s">
        <v>34</v>
      </c>
      <c r="AT714" s="4" t="str">
        <f t="shared" si="314"/>
        <v>Completed</v>
      </c>
      <c r="AU714" s="3" t="str">
        <f t="shared" si="315"/>
        <v>OK</v>
      </c>
      <c r="AV714" s="3" t="str">
        <f t="shared" si="321"/>
        <v>INVALID</v>
      </c>
      <c r="AW714" t="str">
        <f t="shared" si="322"/>
        <v>MATCH</v>
      </c>
      <c r="AX714" t="str">
        <f t="shared" si="323"/>
        <v>MATCH</v>
      </c>
    </row>
    <row r="715" spans="1:50" ht="15.6">
      <c r="A715" s="1" t="s">
        <v>1903</v>
      </c>
      <c r="B715" s="1">
        <f t="shared" si="297"/>
        <v>1</v>
      </c>
      <c r="C715" s="16">
        <v>45838</v>
      </c>
      <c r="D715" s="16">
        <v>45838</v>
      </c>
      <c r="E715" s="16" t="str">
        <f t="shared" si="316"/>
        <v>Jun</v>
      </c>
      <c r="F715" s="1">
        <f t="shared" si="317"/>
        <v>2025</v>
      </c>
      <c r="G715" t="s">
        <v>2787</v>
      </c>
      <c r="H715" s="17">
        <v>45818</v>
      </c>
      <c r="I715" s="21">
        <f t="shared" si="318"/>
        <v>-20</v>
      </c>
      <c r="J715" s="6" t="str">
        <f t="shared" si="319"/>
        <v>INVALID_SHIPPING</v>
      </c>
      <c r="K715" s="1" t="s">
        <v>1905</v>
      </c>
      <c r="L715" s="1" t="s">
        <v>153</v>
      </c>
      <c r="M715" s="1" t="str">
        <f t="shared" si="298"/>
        <v>Aarav Sharma</v>
      </c>
      <c r="N715" s="1" t="s">
        <v>110</v>
      </c>
      <c r="O715" s="1" t="str">
        <f t="shared" si="299"/>
        <v>Home Office</v>
      </c>
      <c r="P715" s="1" t="s">
        <v>71</v>
      </c>
      <c r="Q715" s="1" t="str">
        <f t="shared" si="300"/>
        <v>West</v>
      </c>
      <c r="R715" s="1" t="str">
        <f t="shared" si="301"/>
        <v>OK</v>
      </c>
      <c r="S715" s="1" t="s">
        <v>230</v>
      </c>
      <c r="T715" s="1" t="str">
        <f t="shared" si="302"/>
        <v>Goa</v>
      </c>
      <c r="U715" s="1" t="s">
        <v>231</v>
      </c>
      <c r="V715" s="1" t="str">
        <f t="shared" si="303"/>
        <v>Panaji</v>
      </c>
      <c r="W715" s="1" t="s">
        <v>29</v>
      </c>
      <c r="X715" s="1" t="str">
        <f t="shared" si="304"/>
        <v>Office Supplies</v>
      </c>
      <c r="Y715" s="1" t="s">
        <v>148</v>
      </c>
      <c r="Z715" s="1" t="str">
        <f t="shared" si="305"/>
        <v>Storage</v>
      </c>
      <c r="AA715" s="1" t="s">
        <v>1906</v>
      </c>
      <c r="AB715" s="1" t="s">
        <v>47</v>
      </c>
      <c r="AC715" s="1" t="str">
        <f t="shared" si="306"/>
        <v>Same Day</v>
      </c>
      <c r="AD715" s="1" t="str">
        <f t="shared" si="307"/>
        <v>OK</v>
      </c>
      <c r="AE715" s="1">
        <v>5</v>
      </c>
      <c r="AF715" s="1">
        <v>665.25</v>
      </c>
      <c r="AG715" s="9">
        <v>0</v>
      </c>
      <c r="AH715" s="9">
        <f t="shared" si="308"/>
        <v>0</v>
      </c>
      <c r="AI715" s="1" t="str">
        <f t="shared" si="309"/>
        <v>OK</v>
      </c>
      <c r="AJ715" s="1">
        <v>3326.25</v>
      </c>
      <c r="AK715" s="1">
        <v>2689.36</v>
      </c>
      <c r="AL715" s="1">
        <v>636.89</v>
      </c>
      <c r="AM715" s="13">
        <f t="shared" si="310"/>
        <v>3326.25</v>
      </c>
      <c r="AN715" s="9">
        <f t="shared" si="311"/>
        <v>636.88999999999987</v>
      </c>
      <c r="AO715" s="9">
        <f t="shared" si="320"/>
        <v>0.19147388199924836</v>
      </c>
      <c r="AP715" s="1" t="s">
        <v>119</v>
      </c>
      <c r="AQ715" s="1" t="str">
        <f t="shared" si="312"/>
        <v>Refunded</v>
      </c>
      <c r="AR715" s="1" t="str">
        <f t="shared" si="313"/>
        <v>REFUNDED_PAYMENT</v>
      </c>
      <c r="AS715" s="1" t="s">
        <v>120</v>
      </c>
      <c r="AT715" s="4" t="str">
        <f t="shared" si="314"/>
        <v>Returned</v>
      </c>
      <c r="AU715" s="3" t="str">
        <f t="shared" si="315"/>
        <v>RETURNED_ORDER</v>
      </c>
      <c r="AV715" s="3" t="str">
        <f t="shared" si="321"/>
        <v>INVALID</v>
      </c>
      <c r="AW715" t="str">
        <f t="shared" si="322"/>
        <v>MATCH</v>
      </c>
      <c r="AX715" t="str">
        <f t="shared" si="323"/>
        <v>MATCH</v>
      </c>
    </row>
    <row r="716" spans="1:50" ht="15.6">
      <c r="A716" s="1" t="s">
        <v>1914</v>
      </c>
      <c r="B716" s="1">
        <f t="shared" si="297"/>
        <v>1</v>
      </c>
      <c r="C716" s="16">
        <v>45992</v>
      </c>
      <c r="D716" s="16">
        <v>45992</v>
      </c>
      <c r="E716" s="16" t="str">
        <f t="shared" si="316"/>
        <v>Dec</v>
      </c>
      <c r="F716" s="1">
        <f t="shared" si="317"/>
        <v>2025</v>
      </c>
      <c r="G716" t="s">
        <v>1961</v>
      </c>
      <c r="H716" s="17">
        <v>45739</v>
      </c>
      <c r="I716" s="21">
        <f t="shared" si="318"/>
        <v>-253</v>
      </c>
      <c r="J716" s="6" t="str">
        <f t="shared" si="319"/>
        <v>INVALID_SHIPPING</v>
      </c>
      <c r="K716" s="1" t="s">
        <v>1917</v>
      </c>
      <c r="L716" s="1" t="s">
        <v>153</v>
      </c>
      <c r="M716" s="1" t="str">
        <f t="shared" si="298"/>
        <v>Aarav Sharma</v>
      </c>
      <c r="N716" s="1" t="s">
        <v>25</v>
      </c>
      <c r="O716" s="1" t="str">
        <f t="shared" si="299"/>
        <v>Consumer</v>
      </c>
      <c r="P716" s="1" t="s">
        <v>41</v>
      </c>
      <c r="Q716" s="1" t="str">
        <f t="shared" si="300"/>
        <v>East</v>
      </c>
      <c r="R716" s="1" t="str">
        <f t="shared" si="301"/>
        <v>OK</v>
      </c>
      <c r="S716" s="1" t="s">
        <v>284</v>
      </c>
      <c r="T716" s="1" t="str">
        <f t="shared" si="302"/>
        <v>Jharkhand</v>
      </c>
      <c r="U716" s="1" t="s">
        <v>285</v>
      </c>
      <c r="V716" s="1" t="str">
        <f t="shared" si="303"/>
        <v>Ranchi</v>
      </c>
      <c r="W716" s="1" t="s">
        <v>44</v>
      </c>
      <c r="X716" s="1" t="str">
        <f t="shared" si="304"/>
        <v>Furniture</v>
      </c>
      <c r="Y716" s="1" t="s">
        <v>45</v>
      </c>
      <c r="Z716" s="1" t="str">
        <f t="shared" si="305"/>
        <v>Tables</v>
      </c>
      <c r="AA716" s="1" t="s">
        <v>1918</v>
      </c>
      <c r="AB716" s="1" t="s">
        <v>55</v>
      </c>
      <c r="AC716" s="1" t="str">
        <f t="shared" si="306"/>
        <v>First Class</v>
      </c>
      <c r="AD716" s="1" t="str">
        <f t="shared" si="307"/>
        <v>OK</v>
      </c>
      <c r="AE716" s="1">
        <v>1</v>
      </c>
      <c r="AF716" s="1">
        <v>1842.31</v>
      </c>
      <c r="AG716" s="9">
        <v>0</v>
      </c>
      <c r="AH716" s="9">
        <f t="shared" si="308"/>
        <v>0</v>
      </c>
      <c r="AI716" s="1" t="str">
        <f t="shared" si="309"/>
        <v>OK</v>
      </c>
      <c r="AJ716" s="1">
        <v>1842.31</v>
      </c>
      <c r="AK716" s="1">
        <v>1019.17</v>
      </c>
      <c r="AL716" s="1">
        <v>823.14</v>
      </c>
      <c r="AM716" s="13">
        <f t="shared" si="310"/>
        <v>1842.31</v>
      </c>
      <c r="AN716" s="9">
        <f t="shared" si="311"/>
        <v>823.14</v>
      </c>
      <c r="AO716" s="9">
        <f t="shared" si="320"/>
        <v>0.44679777019068451</v>
      </c>
      <c r="AP716" s="1" t="s">
        <v>33</v>
      </c>
      <c r="AQ716" s="1" t="str">
        <f t="shared" si="312"/>
        <v>Paid</v>
      </c>
      <c r="AR716" s="1" t="str">
        <f t="shared" si="313"/>
        <v>OK</v>
      </c>
      <c r="AS716" s="1" t="s">
        <v>34</v>
      </c>
      <c r="AT716" s="4" t="str">
        <f t="shared" si="314"/>
        <v>Completed</v>
      </c>
      <c r="AU716" s="3" t="str">
        <f t="shared" si="315"/>
        <v>OK</v>
      </c>
      <c r="AV716" s="3" t="str">
        <f t="shared" si="321"/>
        <v>INVALID</v>
      </c>
      <c r="AW716" t="str">
        <f t="shared" si="322"/>
        <v>MATCH</v>
      </c>
      <c r="AX716" t="str">
        <f t="shared" si="323"/>
        <v>MATCH</v>
      </c>
    </row>
    <row r="717" spans="1:50" ht="15.6">
      <c r="A717" s="1" t="s">
        <v>1923</v>
      </c>
      <c r="B717" s="1">
        <f t="shared" si="297"/>
        <v>1</v>
      </c>
      <c r="C717" s="16">
        <v>45999</v>
      </c>
      <c r="D717" s="16">
        <v>45999</v>
      </c>
      <c r="E717" s="16" t="str">
        <f t="shared" si="316"/>
        <v>Dec</v>
      </c>
      <c r="F717" s="1">
        <f t="shared" si="317"/>
        <v>2025</v>
      </c>
      <c r="G717" t="s">
        <v>410</v>
      </c>
      <c r="H717" s="17">
        <v>45896</v>
      </c>
      <c r="I717" s="21">
        <f t="shared" si="318"/>
        <v>-103</v>
      </c>
      <c r="J717" s="6" t="str">
        <f t="shared" si="319"/>
        <v>INVALID_SHIPPING</v>
      </c>
      <c r="K717" s="1" t="s">
        <v>1924</v>
      </c>
      <c r="L717" s="1" t="s">
        <v>70</v>
      </c>
      <c r="M717" s="1" t="str">
        <f t="shared" si="298"/>
        <v>Ananya Rao</v>
      </c>
      <c r="N717" s="1" t="s">
        <v>25</v>
      </c>
      <c r="O717" s="1" t="str">
        <f t="shared" si="299"/>
        <v>Consumer</v>
      </c>
      <c r="P717" s="1" t="s">
        <v>41</v>
      </c>
      <c r="Q717" s="1" t="str">
        <f t="shared" si="300"/>
        <v>East</v>
      </c>
      <c r="R717" s="1" t="str">
        <f t="shared" si="301"/>
        <v>OK</v>
      </c>
      <c r="S717" s="1" t="s">
        <v>201</v>
      </c>
      <c r="T717" s="1" t="str">
        <f t="shared" si="302"/>
        <v>Assam</v>
      </c>
      <c r="U717" s="1" t="s">
        <v>202</v>
      </c>
      <c r="V717" s="1" t="str">
        <f t="shared" si="303"/>
        <v>Guwahati</v>
      </c>
      <c r="W717" s="1" t="s">
        <v>83</v>
      </c>
      <c r="X717" s="1" t="str">
        <f t="shared" si="304"/>
        <v>Technology</v>
      </c>
      <c r="Y717" s="1" t="s">
        <v>84</v>
      </c>
      <c r="Z717" s="1" t="str">
        <f t="shared" si="305"/>
        <v>Accessories</v>
      </c>
      <c r="AA717" s="1" t="s">
        <v>1925</v>
      </c>
      <c r="AB717" s="1" t="s">
        <v>47</v>
      </c>
      <c r="AC717" s="1" t="str">
        <f t="shared" si="306"/>
        <v>Same Day</v>
      </c>
      <c r="AD717" s="1" t="str">
        <f t="shared" si="307"/>
        <v>OK</v>
      </c>
      <c r="AE717" s="1">
        <v>9</v>
      </c>
      <c r="AF717" s="1">
        <v>2379.2399999999998</v>
      </c>
      <c r="AG717" s="9">
        <v>0.05</v>
      </c>
      <c r="AH717" s="9">
        <f t="shared" si="308"/>
        <v>0.05</v>
      </c>
      <c r="AI717" s="1" t="str">
        <f t="shared" si="309"/>
        <v>OK</v>
      </c>
      <c r="AJ717" s="1">
        <v>20342.5</v>
      </c>
      <c r="AK717" s="1">
        <v>12407.51</v>
      </c>
      <c r="AL717" s="1">
        <v>7934.99</v>
      </c>
      <c r="AM717" s="13">
        <f t="shared" si="310"/>
        <v>20342.501999999997</v>
      </c>
      <c r="AN717" s="9">
        <f t="shared" si="311"/>
        <v>7934.9919999999966</v>
      </c>
      <c r="AO717" s="9">
        <f t="shared" si="320"/>
        <v>0.39006961877157481</v>
      </c>
      <c r="AP717" s="1" t="s">
        <v>33</v>
      </c>
      <c r="AQ717" s="1" t="str">
        <f t="shared" si="312"/>
        <v>Paid</v>
      </c>
      <c r="AR717" s="1" t="str">
        <f t="shared" si="313"/>
        <v>OK</v>
      </c>
      <c r="AS717" s="1" t="s">
        <v>34</v>
      </c>
      <c r="AT717" s="4" t="str">
        <f t="shared" si="314"/>
        <v>Completed</v>
      </c>
      <c r="AU717" s="3" t="str">
        <f t="shared" si="315"/>
        <v>OK</v>
      </c>
      <c r="AV717" s="3" t="str">
        <f t="shared" si="321"/>
        <v>INVALID</v>
      </c>
      <c r="AW717" t="str">
        <f t="shared" si="322"/>
        <v>MATCH</v>
      </c>
      <c r="AX717" t="str">
        <f t="shared" si="323"/>
        <v>MATCH</v>
      </c>
    </row>
    <row r="718" spans="1:50" ht="15.6">
      <c r="A718" s="1" t="s">
        <v>1930</v>
      </c>
      <c r="B718" s="1">
        <f t="shared" si="297"/>
        <v>1</v>
      </c>
      <c r="C718" s="16">
        <v>45918</v>
      </c>
      <c r="D718" s="16">
        <v>45918</v>
      </c>
      <c r="E718" s="16" t="str">
        <f t="shared" si="316"/>
        <v>Sep</v>
      </c>
      <c r="F718" s="1">
        <f t="shared" si="317"/>
        <v>2025</v>
      </c>
      <c r="G718" t="s">
        <v>188</v>
      </c>
      <c r="H718" s="17">
        <v>45900</v>
      </c>
      <c r="I718" s="21">
        <f t="shared" si="318"/>
        <v>-18</v>
      </c>
      <c r="J718" s="6" t="str">
        <f t="shared" si="319"/>
        <v>INVALID_SHIPPING</v>
      </c>
      <c r="K718" s="1" t="s">
        <v>1933</v>
      </c>
      <c r="L718" s="1" t="s">
        <v>158</v>
      </c>
      <c r="M718" s="1" t="str">
        <f t="shared" si="298"/>
        <v>Sneha Kapoor</v>
      </c>
      <c r="N718" s="1" t="s">
        <v>110</v>
      </c>
      <c r="O718" s="1" t="str">
        <f t="shared" si="299"/>
        <v>Home Office</v>
      </c>
      <c r="P718" s="1" t="s">
        <v>60</v>
      </c>
      <c r="Q718" s="1" t="str">
        <f t="shared" si="300"/>
        <v>South</v>
      </c>
      <c r="R718" s="1" t="str">
        <f t="shared" si="301"/>
        <v>OK</v>
      </c>
      <c r="S718" s="1" t="s">
        <v>97</v>
      </c>
      <c r="T718" s="1" t="str">
        <f t="shared" si="302"/>
        <v>Andhra Pradesh</v>
      </c>
      <c r="U718" s="1" t="s">
        <v>98</v>
      </c>
      <c r="V718" s="1" t="str">
        <f t="shared" si="303"/>
        <v>Vijayawada</v>
      </c>
      <c r="W718" s="1" t="s">
        <v>29</v>
      </c>
      <c r="X718" s="1" t="str">
        <f t="shared" si="304"/>
        <v>Office Supplies</v>
      </c>
      <c r="Y718" s="1" t="s">
        <v>148</v>
      </c>
      <c r="Z718" s="1" t="str">
        <f t="shared" si="305"/>
        <v>Storage</v>
      </c>
      <c r="AA718" s="1" t="s">
        <v>1934</v>
      </c>
      <c r="AB718" s="1" t="s">
        <v>47</v>
      </c>
      <c r="AC718" s="1" t="str">
        <f t="shared" si="306"/>
        <v>Same Day</v>
      </c>
      <c r="AD718" s="1" t="str">
        <f t="shared" si="307"/>
        <v>OK</v>
      </c>
      <c r="AE718" s="1">
        <v>8</v>
      </c>
      <c r="AF718" s="1">
        <v>4242.51</v>
      </c>
      <c r="AG718" s="9">
        <v>0</v>
      </c>
      <c r="AH718" s="9">
        <f t="shared" si="308"/>
        <v>0</v>
      </c>
      <c r="AI718" s="1" t="str">
        <f t="shared" si="309"/>
        <v>OK</v>
      </c>
      <c r="AJ718" s="1">
        <v>33940.080000000002</v>
      </c>
      <c r="AK718" s="1">
        <v>23754.19</v>
      </c>
      <c r="AL718" s="1">
        <v>10185.89</v>
      </c>
      <c r="AM718" s="13">
        <f t="shared" si="310"/>
        <v>33940.080000000002</v>
      </c>
      <c r="AN718" s="9">
        <f t="shared" si="311"/>
        <v>10185.890000000003</v>
      </c>
      <c r="AO718" s="9">
        <f t="shared" si="320"/>
        <v>0.30011390662603044</v>
      </c>
      <c r="AP718" s="1" t="s">
        <v>33</v>
      </c>
      <c r="AQ718" s="1" t="str">
        <f t="shared" si="312"/>
        <v>Paid</v>
      </c>
      <c r="AR718" s="1" t="str">
        <f t="shared" si="313"/>
        <v>OK</v>
      </c>
      <c r="AS718" s="1" t="s">
        <v>34</v>
      </c>
      <c r="AT718" s="4" t="str">
        <f t="shared" si="314"/>
        <v>Completed</v>
      </c>
      <c r="AU718" s="3" t="str">
        <f t="shared" si="315"/>
        <v>OK</v>
      </c>
      <c r="AV718" s="3" t="str">
        <f t="shared" si="321"/>
        <v>INVALID</v>
      </c>
      <c r="AW718" t="str">
        <f t="shared" si="322"/>
        <v>MATCH</v>
      </c>
      <c r="AX718" t="str">
        <f t="shared" si="323"/>
        <v>MATCH</v>
      </c>
    </row>
    <row r="719" spans="1:50" ht="15.6" hidden="1">
      <c r="A719" s="1" t="s">
        <v>1935</v>
      </c>
      <c r="B719" s="1">
        <f t="shared" si="297"/>
        <v>1</v>
      </c>
      <c r="C719" s="16">
        <v>45879</v>
      </c>
      <c r="D719" s="16">
        <v>45879</v>
      </c>
      <c r="E719" s="16" t="str">
        <f t="shared" si="316"/>
        <v>Aug</v>
      </c>
      <c r="F719" s="1">
        <f t="shared" si="317"/>
        <v>2025</v>
      </c>
      <c r="G719" t="s">
        <v>282</v>
      </c>
      <c r="H719" s="17">
        <v>45945</v>
      </c>
      <c r="I719" s="21">
        <f t="shared" si="318"/>
        <v>66</v>
      </c>
      <c r="J719" s="6" t="str">
        <f t="shared" si="319"/>
        <v>OK</v>
      </c>
      <c r="K719" s="1" t="s">
        <v>1937</v>
      </c>
      <c r="L719" s="1" t="s">
        <v>169</v>
      </c>
      <c r="M719" s="1" t="str">
        <f t="shared" si="298"/>
        <v>Rohan Mehta</v>
      </c>
      <c r="N719" s="1" t="s">
        <v>110</v>
      </c>
      <c r="O719" s="1" t="str">
        <f t="shared" si="299"/>
        <v>Home Office</v>
      </c>
      <c r="P719" s="1" t="s">
        <v>60</v>
      </c>
      <c r="Q719" s="1" t="str">
        <f t="shared" si="300"/>
        <v>South</v>
      </c>
      <c r="R719" s="1" t="str">
        <f t="shared" si="301"/>
        <v>OK</v>
      </c>
      <c r="S719" s="1" t="s">
        <v>61</v>
      </c>
      <c r="T719" s="1" t="str">
        <f t="shared" si="302"/>
        <v>Telangana</v>
      </c>
      <c r="U719" s="1" t="s">
        <v>62</v>
      </c>
      <c r="V719" s="1" t="str">
        <f t="shared" si="303"/>
        <v>Hyderabad</v>
      </c>
      <c r="W719" s="1" t="s">
        <v>44</v>
      </c>
      <c r="X719" s="1" t="str">
        <f t="shared" si="304"/>
        <v>Furniture</v>
      </c>
      <c r="Y719" s="1" t="s">
        <v>190</v>
      </c>
      <c r="Z719" s="1" t="str">
        <f t="shared" si="305"/>
        <v>Bookcases</v>
      </c>
      <c r="AA719" s="1" t="s">
        <v>1938</v>
      </c>
      <c r="AB719" s="1" t="s">
        <v>65</v>
      </c>
      <c r="AC719" s="1" t="str">
        <f t="shared" si="306"/>
        <v>Standard Class</v>
      </c>
      <c r="AD719" s="1" t="str">
        <f t="shared" si="307"/>
        <v>OK</v>
      </c>
      <c r="AE719" s="1">
        <v>6</v>
      </c>
      <c r="AF719" s="1">
        <v>4288.7</v>
      </c>
      <c r="AG719" s="9">
        <v>0.15</v>
      </c>
      <c r="AH719" s="9">
        <f t="shared" si="308"/>
        <v>0.15</v>
      </c>
      <c r="AI719" s="1" t="str">
        <f t="shared" si="309"/>
        <v>OK</v>
      </c>
      <c r="AJ719" s="1">
        <v>21872.37</v>
      </c>
      <c r="AK719" s="1">
        <v>13829.5</v>
      </c>
      <c r="AL719" s="1">
        <v>8042.87</v>
      </c>
      <c r="AM719" s="13">
        <f t="shared" si="310"/>
        <v>21872.369999999995</v>
      </c>
      <c r="AN719" s="9">
        <f t="shared" si="311"/>
        <v>8042.8699999999953</v>
      </c>
      <c r="AO719" s="9">
        <f t="shared" si="320"/>
        <v>0.36771826738483288</v>
      </c>
      <c r="AP719" s="1" t="s">
        <v>131</v>
      </c>
      <c r="AQ719" s="1" t="str">
        <f t="shared" si="312"/>
        <v>Pending</v>
      </c>
      <c r="AR719" s="1" t="str">
        <f t="shared" si="313"/>
        <v>OK</v>
      </c>
      <c r="AS719" s="1" t="s">
        <v>120</v>
      </c>
      <c r="AT719" s="4" t="str">
        <f t="shared" si="314"/>
        <v>Returned</v>
      </c>
      <c r="AU719" s="3" t="str">
        <f t="shared" si="315"/>
        <v>RETURNED_ORDER</v>
      </c>
      <c r="AV719" s="3" t="str">
        <f t="shared" si="321"/>
        <v>CLEAN</v>
      </c>
      <c r="AW719" t="str">
        <f t="shared" si="322"/>
        <v>MATCH</v>
      </c>
      <c r="AX719" t="str">
        <f t="shared" si="323"/>
        <v>MATCH</v>
      </c>
    </row>
    <row r="720" spans="1:50" ht="15.6">
      <c r="A720" s="1" t="s">
        <v>1945</v>
      </c>
      <c r="B720" s="1">
        <f t="shared" si="297"/>
        <v>1</v>
      </c>
      <c r="C720" s="16">
        <v>45997</v>
      </c>
      <c r="D720" s="16">
        <v>45997</v>
      </c>
      <c r="E720" s="16" t="str">
        <f t="shared" si="316"/>
        <v>Dec</v>
      </c>
      <c r="F720" s="1">
        <f t="shared" si="317"/>
        <v>2025</v>
      </c>
      <c r="G720" t="s">
        <v>777</v>
      </c>
      <c r="H720" s="17">
        <v>45544</v>
      </c>
      <c r="I720" s="21">
        <f t="shared" si="318"/>
        <v>-453</v>
      </c>
      <c r="J720" s="6" t="str">
        <f t="shared" si="319"/>
        <v>INVALID_SHIPPING</v>
      </c>
      <c r="K720" s="1" t="s">
        <v>1947</v>
      </c>
      <c r="L720" s="1" t="s">
        <v>70</v>
      </c>
      <c r="M720" s="1" t="str">
        <f t="shared" si="298"/>
        <v>Ananya Rao</v>
      </c>
      <c r="N720" s="1" t="s">
        <v>104</v>
      </c>
      <c r="O720" s="1" t="str">
        <f t="shared" si="299"/>
        <v>Corporate</v>
      </c>
      <c r="P720" s="1" t="s">
        <v>26</v>
      </c>
      <c r="Q720" s="1" t="str">
        <f t="shared" si="300"/>
        <v>North</v>
      </c>
      <c r="R720" s="1" t="str">
        <f t="shared" si="301"/>
        <v>OK</v>
      </c>
      <c r="S720" s="1" t="s">
        <v>454</v>
      </c>
      <c r="T720" s="1" t="str">
        <f t="shared" si="302"/>
        <v>Delhi</v>
      </c>
      <c r="U720" s="1" t="s">
        <v>455</v>
      </c>
      <c r="V720" s="1" t="str">
        <f t="shared" si="303"/>
        <v>New Delhi</v>
      </c>
      <c r="W720" s="1" t="s">
        <v>44</v>
      </c>
      <c r="X720" s="1" t="str">
        <f t="shared" si="304"/>
        <v>Furniture</v>
      </c>
      <c r="Y720" s="1" t="s">
        <v>74</v>
      </c>
      <c r="Z720" s="1" t="str">
        <f t="shared" si="305"/>
        <v>Chairs</v>
      </c>
      <c r="AA720" s="1" t="s">
        <v>1948</v>
      </c>
      <c r="AB720" s="1" t="s">
        <v>65</v>
      </c>
      <c r="AC720" s="1" t="str">
        <f t="shared" si="306"/>
        <v>Standard Class</v>
      </c>
      <c r="AD720" s="1" t="str">
        <f t="shared" si="307"/>
        <v>OK</v>
      </c>
      <c r="AE720" s="1">
        <v>9</v>
      </c>
      <c r="AF720" s="1">
        <v>2278.5700000000002</v>
      </c>
      <c r="AG720" s="9">
        <v>0.25</v>
      </c>
      <c r="AH720" s="9">
        <f t="shared" si="308"/>
        <v>0.25</v>
      </c>
      <c r="AI720" s="1" t="str">
        <f t="shared" si="309"/>
        <v>OK</v>
      </c>
      <c r="AJ720" s="1">
        <v>15380.35</v>
      </c>
      <c r="AK720" s="1">
        <v>9907.3700000000008</v>
      </c>
      <c r="AL720" s="1">
        <v>5472.98</v>
      </c>
      <c r="AM720" s="13">
        <f t="shared" si="310"/>
        <v>15380.3475</v>
      </c>
      <c r="AN720" s="9">
        <f t="shared" si="311"/>
        <v>5472.9774999999991</v>
      </c>
      <c r="AO720" s="9">
        <f t="shared" si="320"/>
        <v>0.35584225258889624</v>
      </c>
      <c r="AP720" s="1" t="s">
        <v>33</v>
      </c>
      <c r="AQ720" s="1" t="str">
        <f t="shared" si="312"/>
        <v>Paid</v>
      </c>
      <c r="AR720" s="1" t="str">
        <f t="shared" si="313"/>
        <v>OK</v>
      </c>
      <c r="AS720" s="1" t="s">
        <v>34</v>
      </c>
      <c r="AT720" s="4" t="str">
        <f t="shared" si="314"/>
        <v>Completed</v>
      </c>
      <c r="AU720" s="3" t="str">
        <f t="shared" si="315"/>
        <v>OK</v>
      </c>
      <c r="AV720" s="3" t="str">
        <f t="shared" si="321"/>
        <v>INVALID</v>
      </c>
      <c r="AW720" t="str">
        <f t="shared" si="322"/>
        <v>MATCH</v>
      </c>
      <c r="AX720" t="str">
        <f t="shared" si="323"/>
        <v>MATCH</v>
      </c>
    </row>
    <row r="721" spans="1:50" ht="15.6" hidden="1">
      <c r="A721" s="1" t="s">
        <v>1956</v>
      </c>
      <c r="B721" s="1">
        <f t="shared" si="297"/>
        <v>1</v>
      </c>
      <c r="C721" s="16">
        <v>45721</v>
      </c>
      <c r="D721" s="16">
        <v>45721</v>
      </c>
      <c r="E721" s="16" t="str">
        <f t="shared" si="316"/>
        <v>Mar</v>
      </c>
      <c r="F721" s="1">
        <f t="shared" si="317"/>
        <v>2025</v>
      </c>
      <c r="G721" t="s">
        <v>1515</v>
      </c>
      <c r="H721" s="17">
        <v>45909</v>
      </c>
      <c r="I721" s="21">
        <f t="shared" si="318"/>
        <v>188</v>
      </c>
      <c r="J721" s="6" t="str">
        <f t="shared" si="319"/>
        <v>OK</v>
      </c>
      <c r="K721" s="1" t="s">
        <v>1958</v>
      </c>
      <c r="L721" s="1" t="s">
        <v>169</v>
      </c>
      <c r="M721" s="1" t="str">
        <f t="shared" si="298"/>
        <v>Rohan Mehta</v>
      </c>
      <c r="N721" s="1" t="s">
        <v>40</v>
      </c>
      <c r="O721" s="1" t="str">
        <f t="shared" si="299"/>
        <v>Small Business</v>
      </c>
      <c r="P721" s="1" t="s">
        <v>71</v>
      </c>
      <c r="Q721" s="1" t="str">
        <f t="shared" si="300"/>
        <v>West</v>
      </c>
      <c r="R721" s="1" t="str">
        <f t="shared" si="301"/>
        <v>OK</v>
      </c>
      <c r="S721" s="1" t="s">
        <v>81</v>
      </c>
      <c r="T721" s="1" t="str">
        <f t="shared" si="302"/>
        <v>Madhya Pradesh</v>
      </c>
      <c r="U721" s="1" t="s">
        <v>82</v>
      </c>
      <c r="V721" s="1" t="str">
        <f t="shared" si="303"/>
        <v>Indore</v>
      </c>
      <c r="W721" s="1" t="s">
        <v>29</v>
      </c>
      <c r="X721" s="1" t="str">
        <f t="shared" si="304"/>
        <v>Office Supplies</v>
      </c>
      <c r="Y721" s="1" t="s">
        <v>105</v>
      </c>
      <c r="Z721" s="1" t="str">
        <f t="shared" si="305"/>
        <v>Labels</v>
      </c>
      <c r="AA721" s="1" t="s">
        <v>1959</v>
      </c>
      <c r="AB721" s="1" t="s">
        <v>47</v>
      </c>
      <c r="AC721" s="1" t="str">
        <f t="shared" si="306"/>
        <v>Same Day</v>
      </c>
      <c r="AD721" s="1" t="str">
        <f t="shared" si="307"/>
        <v>OK</v>
      </c>
      <c r="AE721" s="1">
        <v>5</v>
      </c>
      <c r="AF721" s="1">
        <v>1483.52</v>
      </c>
      <c r="AG721" s="9">
        <v>0</v>
      </c>
      <c r="AH721" s="9">
        <f t="shared" si="308"/>
        <v>0</v>
      </c>
      <c r="AI721" s="1" t="str">
        <f t="shared" si="309"/>
        <v>OK</v>
      </c>
      <c r="AJ721" s="1">
        <v>7417.6</v>
      </c>
      <c r="AK721" s="1">
        <v>4955.8599999999997</v>
      </c>
      <c r="AL721" s="1">
        <v>2461.7399999999998</v>
      </c>
      <c r="AM721" s="13">
        <f t="shared" si="310"/>
        <v>7417.6</v>
      </c>
      <c r="AN721" s="9">
        <f t="shared" si="311"/>
        <v>2461.7400000000007</v>
      </c>
      <c r="AO721" s="9">
        <f t="shared" si="320"/>
        <v>0.3318782355478862</v>
      </c>
      <c r="AP721" s="1" t="s">
        <v>33</v>
      </c>
      <c r="AQ721" s="1" t="str">
        <f t="shared" si="312"/>
        <v>Paid</v>
      </c>
      <c r="AR721" s="1" t="str">
        <f t="shared" si="313"/>
        <v>OK</v>
      </c>
      <c r="AS721" s="1" t="s">
        <v>34</v>
      </c>
      <c r="AT721" s="4" t="str">
        <f t="shared" si="314"/>
        <v>Completed</v>
      </c>
      <c r="AU721" s="3" t="str">
        <f t="shared" si="315"/>
        <v>OK</v>
      </c>
      <c r="AV721" s="3" t="str">
        <f t="shared" si="321"/>
        <v>CLEAN</v>
      </c>
      <c r="AW721" t="str">
        <f t="shared" si="322"/>
        <v>MATCH</v>
      </c>
      <c r="AX721" t="str">
        <f t="shared" si="323"/>
        <v>MATCH</v>
      </c>
    </row>
    <row r="722" spans="1:50" ht="15.6">
      <c r="A722" s="1" t="s">
        <v>1960</v>
      </c>
      <c r="B722" s="1">
        <f t="shared" si="297"/>
        <v>1</v>
      </c>
      <c r="C722" s="16">
        <v>45739</v>
      </c>
      <c r="D722" s="16">
        <v>45739</v>
      </c>
      <c r="E722" s="16" t="str">
        <f t="shared" si="316"/>
        <v>Mar</v>
      </c>
      <c r="F722" s="1">
        <f t="shared" si="317"/>
        <v>2025</v>
      </c>
      <c r="G722" t="s">
        <v>2939</v>
      </c>
      <c r="H722" s="17">
        <v>45489</v>
      </c>
      <c r="I722" s="21">
        <f t="shared" si="318"/>
        <v>-250</v>
      </c>
      <c r="J722" s="6" t="str">
        <f t="shared" si="319"/>
        <v>INVALID_SHIPPING</v>
      </c>
      <c r="K722" s="1" t="s">
        <v>1963</v>
      </c>
      <c r="L722" s="1" t="s">
        <v>80</v>
      </c>
      <c r="M722" s="1" t="str">
        <f t="shared" si="298"/>
        <v>Vikram Iyer</v>
      </c>
      <c r="N722" s="1" t="s">
        <v>40</v>
      </c>
      <c r="O722" s="1" t="str">
        <f t="shared" si="299"/>
        <v>Small Business</v>
      </c>
      <c r="P722" s="1" t="s">
        <v>26</v>
      </c>
      <c r="Q722" s="1" t="str">
        <f t="shared" si="300"/>
        <v>North</v>
      </c>
      <c r="R722" s="1" t="str">
        <f t="shared" si="301"/>
        <v>OK</v>
      </c>
      <c r="S722" s="1" t="s">
        <v>27</v>
      </c>
      <c r="T722" s="1" t="str">
        <f t="shared" si="302"/>
        <v>Rajasthan</v>
      </c>
      <c r="U722" s="1" t="s">
        <v>28</v>
      </c>
      <c r="V722" s="1" t="str">
        <f t="shared" si="303"/>
        <v>Jaipur</v>
      </c>
      <c r="W722" s="1" t="s">
        <v>44</v>
      </c>
      <c r="X722" s="1" t="str">
        <f t="shared" si="304"/>
        <v>Furniture</v>
      </c>
      <c r="Y722" s="1" t="s">
        <v>63</v>
      </c>
      <c r="Z722" s="1" t="str">
        <f t="shared" si="305"/>
        <v>Furnishings</v>
      </c>
      <c r="AA722" s="1" t="s">
        <v>1964</v>
      </c>
      <c r="AB722" s="1" t="s">
        <v>65</v>
      </c>
      <c r="AC722" s="1" t="str">
        <f t="shared" si="306"/>
        <v>Standard Class</v>
      </c>
      <c r="AD722" s="1" t="str">
        <f t="shared" si="307"/>
        <v>OK</v>
      </c>
      <c r="AE722" s="1">
        <v>9</v>
      </c>
      <c r="AF722" s="1">
        <v>3298</v>
      </c>
      <c r="AG722" s="9">
        <v>0.15</v>
      </c>
      <c r="AH722" s="9">
        <f t="shared" si="308"/>
        <v>0.15</v>
      </c>
      <c r="AI722" s="1" t="str">
        <f t="shared" si="309"/>
        <v>OK</v>
      </c>
      <c r="AJ722" s="1">
        <v>25229.7</v>
      </c>
      <c r="AK722" s="1">
        <v>20170.43</v>
      </c>
      <c r="AL722" s="1">
        <v>5059.2700000000004</v>
      </c>
      <c r="AM722" s="13">
        <f t="shared" si="310"/>
        <v>25229.7</v>
      </c>
      <c r="AN722" s="9">
        <f t="shared" si="311"/>
        <v>5059.2700000000004</v>
      </c>
      <c r="AO722" s="9">
        <f t="shared" si="320"/>
        <v>0.20052834556098567</v>
      </c>
      <c r="AP722" s="1" t="s">
        <v>33</v>
      </c>
      <c r="AQ722" s="1" t="str">
        <f t="shared" si="312"/>
        <v>Paid</v>
      </c>
      <c r="AR722" s="1" t="str">
        <f t="shared" si="313"/>
        <v>OK</v>
      </c>
      <c r="AS722" s="1" t="s">
        <v>34</v>
      </c>
      <c r="AT722" s="4" t="str">
        <f t="shared" si="314"/>
        <v>Completed</v>
      </c>
      <c r="AU722" s="3" t="str">
        <f t="shared" si="315"/>
        <v>OK</v>
      </c>
      <c r="AV722" s="3" t="str">
        <f t="shared" si="321"/>
        <v>INVALID</v>
      </c>
      <c r="AW722" t="str">
        <f t="shared" si="322"/>
        <v>MATCH</v>
      </c>
      <c r="AX722" t="str">
        <f t="shared" si="323"/>
        <v>MATCH</v>
      </c>
    </row>
    <row r="723" spans="1:50" ht="15.6">
      <c r="A723" s="1" t="s">
        <v>1982</v>
      </c>
      <c r="B723" s="1">
        <f t="shared" si="297"/>
        <v>1</v>
      </c>
      <c r="C723" s="16">
        <v>45930</v>
      </c>
      <c r="D723" s="16">
        <v>45930</v>
      </c>
      <c r="E723" s="16" t="str">
        <f t="shared" si="316"/>
        <v>Sep</v>
      </c>
      <c r="F723" s="1">
        <f t="shared" si="317"/>
        <v>2025</v>
      </c>
      <c r="G723" t="s">
        <v>2943</v>
      </c>
      <c r="H723" s="17">
        <v>45831</v>
      </c>
      <c r="I723" s="21">
        <f t="shared" si="318"/>
        <v>-99</v>
      </c>
      <c r="J723" s="6" t="str">
        <f t="shared" si="319"/>
        <v>INVALID_SHIPPING</v>
      </c>
      <c r="K723" s="1" t="s">
        <v>1984</v>
      </c>
      <c r="L723" s="1" t="s">
        <v>153</v>
      </c>
      <c r="M723" s="1" t="str">
        <f t="shared" si="298"/>
        <v>Aarav Sharma</v>
      </c>
      <c r="N723" s="1" t="s">
        <v>104</v>
      </c>
      <c r="O723" s="1" t="str">
        <f t="shared" si="299"/>
        <v>Corporate</v>
      </c>
      <c r="P723" s="1"/>
      <c r="Q723" s="1" t="str">
        <f t="shared" si="300"/>
        <v>Unknown</v>
      </c>
      <c r="R723" s="1" t="str">
        <f t="shared" si="301"/>
        <v>MISSING_REGION</v>
      </c>
      <c r="S723" s="1" t="s">
        <v>27</v>
      </c>
      <c r="T723" s="1" t="str">
        <f t="shared" si="302"/>
        <v>Rajasthan</v>
      </c>
      <c r="U723" s="1" t="s">
        <v>28</v>
      </c>
      <c r="V723" s="1" t="str">
        <f t="shared" si="303"/>
        <v>Jaipur</v>
      </c>
      <c r="W723" s="1" t="s">
        <v>83</v>
      </c>
      <c r="X723" s="1" t="str">
        <f t="shared" si="304"/>
        <v>Technology</v>
      </c>
      <c r="Y723" s="1" t="s">
        <v>91</v>
      </c>
      <c r="Z723" s="1" t="str">
        <f t="shared" si="305"/>
        <v>Copiers</v>
      </c>
      <c r="AA723" s="1" t="s">
        <v>1985</v>
      </c>
      <c r="AB723" s="1" t="s">
        <v>32</v>
      </c>
      <c r="AC723" s="1" t="str">
        <f t="shared" si="306"/>
        <v>Second Class</v>
      </c>
      <c r="AD723" s="1" t="str">
        <f t="shared" si="307"/>
        <v>OK</v>
      </c>
      <c r="AE723" s="1">
        <v>9</v>
      </c>
      <c r="AF723" s="1">
        <v>1359.88</v>
      </c>
      <c r="AG723" s="9">
        <v>0.05</v>
      </c>
      <c r="AH723" s="9">
        <f t="shared" si="308"/>
        <v>0.05</v>
      </c>
      <c r="AI723" s="1" t="str">
        <f t="shared" si="309"/>
        <v>OK</v>
      </c>
      <c r="AJ723" s="1">
        <v>11626.97</v>
      </c>
      <c r="AK723" s="1">
        <v>7394.07</v>
      </c>
      <c r="AL723" s="1">
        <v>4232.8999999999996</v>
      </c>
      <c r="AM723" s="13">
        <f t="shared" si="310"/>
        <v>11626.974000000002</v>
      </c>
      <c r="AN723" s="9">
        <f t="shared" si="311"/>
        <v>4232.9040000000023</v>
      </c>
      <c r="AO723" s="9">
        <f t="shared" si="320"/>
        <v>0.36405895463428417</v>
      </c>
      <c r="AP723" s="1" t="s">
        <v>33</v>
      </c>
      <c r="AQ723" s="1" t="str">
        <f t="shared" si="312"/>
        <v>Paid</v>
      </c>
      <c r="AR723" s="1" t="str">
        <f t="shared" si="313"/>
        <v>OK</v>
      </c>
      <c r="AS723" s="1" t="s">
        <v>34</v>
      </c>
      <c r="AT723" s="4" t="str">
        <f t="shared" si="314"/>
        <v>Completed</v>
      </c>
      <c r="AU723" s="3" t="str">
        <f t="shared" si="315"/>
        <v>OK</v>
      </c>
      <c r="AV723" s="3" t="str">
        <f t="shared" si="321"/>
        <v>INVALID</v>
      </c>
      <c r="AW723" t="str">
        <f t="shared" si="322"/>
        <v>MATCH</v>
      </c>
      <c r="AX723" t="str">
        <f t="shared" si="323"/>
        <v>MATCH</v>
      </c>
    </row>
    <row r="724" spans="1:50" ht="15.6">
      <c r="A724" s="1" t="s">
        <v>1986</v>
      </c>
      <c r="B724" s="1">
        <f t="shared" si="297"/>
        <v>1</v>
      </c>
      <c r="C724" s="16">
        <v>45802</v>
      </c>
      <c r="D724" s="16">
        <v>45802</v>
      </c>
      <c r="E724" s="16" t="str">
        <f t="shared" si="316"/>
        <v>May</v>
      </c>
      <c r="F724" s="1">
        <f t="shared" si="317"/>
        <v>2025</v>
      </c>
      <c r="G724" t="s">
        <v>2947</v>
      </c>
      <c r="H724" s="17">
        <v>45575</v>
      </c>
      <c r="I724" s="21">
        <f t="shared" si="318"/>
        <v>-227</v>
      </c>
      <c r="J724" s="6" t="str">
        <f t="shared" si="319"/>
        <v>INVALID_SHIPPING</v>
      </c>
      <c r="K724" s="1" t="s">
        <v>1987</v>
      </c>
      <c r="L724" s="1" t="s">
        <v>90</v>
      </c>
      <c r="M724" s="1" t="str">
        <f t="shared" si="298"/>
        <v>Neha Gupta</v>
      </c>
      <c r="N724" s="1" t="s">
        <v>104</v>
      </c>
      <c r="O724" s="1" t="str">
        <f t="shared" si="299"/>
        <v>Corporate</v>
      </c>
      <c r="P724" s="1" t="s">
        <v>60</v>
      </c>
      <c r="Q724" s="1" t="str">
        <f t="shared" si="300"/>
        <v>South</v>
      </c>
      <c r="R724" s="1" t="str">
        <f t="shared" si="301"/>
        <v>OK</v>
      </c>
      <c r="S724" s="1" t="s">
        <v>97</v>
      </c>
      <c r="T724" s="1" t="str">
        <f t="shared" si="302"/>
        <v>Andhra Pradesh</v>
      </c>
      <c r="U724" s="1" t="s">
        <v>98</v>
      </c>
      <c r="V724" s="1" t="str">
        <f t="shared" si="303"/>
        <v>Vijayawada</v>
      </c>
      <c r="W724" s="1" t="s">
        <v>29</v>
      </c>
      <c r="X724" s="1" t="str">
        <f t="shared" si="304"/>
        <v>Office Supplies</v>
      </c>
      <c r="Y724" s="1" t="s">
        <v>30</v>
      </c>
      <c r="Z724" s="1" t="str">
        <f t="shared" si="305"/>
        <v>Paper</v>
      </c>
      <c r="AA724" s="1" t="s">
        <v>1988</v>
      </c>
      <c r="AB724" s="1" t="s">
        <v>65</v>
      </c>
      <c r="AC724" s="1" t="str">
        <f t="shared" si="306"/>
        <v>Standard Class</v>
      </c>
      <c r="AD724" s="1" t="str">
        <f t="shared" si="307"/>
        <v>OK</v>
      </c>
      <c r="AE724" s="1">
        <v>3</v>
      </c>
      <c r="AF724" s="1">
        <v>3378.15</v>
      </c>
      <c r="AG724" s="9">
        <v>0.15</v>
      </c>
      <c r="AH724" s="9">
        <f t="shared" si="308"/>
        <v>0.15</v>
      </c>
      <c r="AI724" s="1" t="str">
        <f t="shared" si="309"/>
        <v>OK</v>
      </c>
      <c r="AJ724" s="1">
        <v>8614.2800000000007</v>
      </c>
      <c r="AK724" s="1">
        <v>7052.08</v>
      </c>
      <c r="AL724" s="1">
        <v>1562.2</v>
      </c>
      <c r="AM724" s="13">
        <f t="shared" si="310"/>
        <v>8614.2825000000012</v>
      </c>
      <c r="AN724" s="9">
        <f t="shared" si="311"/>
        <v>1562.2025000000012</v>
      </c>
      <c r="AO724" s="9">
        <f t="shared" si="320"/>
        <v>0.18135027496486225</v>
      </c>
      <c r="AP724" s="1" t="s">
        <v>33</v>
      </c>
      <c r="AQ724" s="1" t="str">
        <f t="shared" si="312"/>
        <v>Paid</v>
      </c>
      <c r="AR724" s="1" t="str">
        <f t="shared" si="313"/>
        <v>OK</v>
      </c>
      <c r="AS724" s="1" t="s">
        <v>34</v>
      </c>
      <c r="AT724" s="4" t="str">
        <f t="shared" si="314"/>
        <v>Completed</v>
      </c>
      <c r="AU724" s="3" t="str">
        <f t="shared" si="315"/>
        <v>OK</v>
      </c>
      <c r="AV724" s="3" t="str">
        <f t="shared" si="321"/>
        <v>INVALID</v>
      </c>
      <c r="AW724" t="str">
        <f t="shared" si="322"/>
        <v>MATCH</v>
      </c>
      <c r="AX724" t="str">
        <f t="shared" si="323"/>
        <v>MATCH</v>
      </c>
    </row>
    <row r="725" spans="1:50" ht="15.6" hidden="1">
      <c r="A725" s="1" t="s">
        <v>1993</v>
      </c>
      <c r="B725" s="1">
        <f t="shared" si="297"/>
        <v>1</v>
      </c>
      <c r="C725" s="16">
        <v>45695</v>
      </c>
      <c r="D725" s="16">
        <v>45695</v>
      </c>
      <c r="E725" s="16" t="str">
        <f t="shared" si="316"/>
        <v>Feb</v>
      </c>
      <c r="F725" s="1">
        <f t="shared" si="317"/>
        <v>2025</v>
      </c>
      <c r="G725" t="s">
        <v>2951</v>
      </c>
      <c r="H725" s="17">
        <v>45943</v>
      </c>
      <c r="I725" s="21">
        <f t="shared" si="318"/>
        <v>248</v>
      </c>
      <c r="J725" s="6" t="str">
        <f t="shared" si="319"/>
        <v>OK</v>
      </c>
      <c r="K725" s="1" t="s">
        <v>1995</v>
      </c>
      <c r="L725" s="1" t="s">
        <v>59</v>
      </c>
      <c r="M725" s="1" t="str">
        <f t="shared" si="298"/>
        <v>Arjun Bose</v>
      </c>
      <c r="N725" s="1" t="s">
        <v>104</v>
      </c>
      <c r="O725" s="1" t="str">
        <f t="shared" si="299"/>
        <v>Corporate</v>
      </c>
      <c r="P725" s="1" t="s">
        <v>71</v>
      </c>
      <c r="Q725" s="1" t="str">
        <f t="shared" si="300"/>
        <v>West</v>
      </c>
      <c r="R725" s="1" t="str">
        <f t="shared" si="301"/>
        <v>OK</v>
      </c>
      <c r="S725" s="1" t="s">
        <v>81</v>
      </c>
      <c r="T725" s="1" t="str">
        <f t="shared" si="302"/>
        <v>Madhya Pradesh</v>
      </c>
      <c r="U725" s="1" t="s">
        <v>82</v>
      </c>
      <c r="V725" s="1" t="str">
        <f t="shared" si="303"/>
        <v>Indore</v>
      </c>
      <c r="W725" s="1" t="s">
        <v>83</v>
      </c>
      <c r="X725" s="1" t="str">
        <f t="shared" si="304"/>
        <v>Technology</v>
      </c>
      <c r="Y725" s="1" t="s">
        <v>207</v>
      </c>
      <c r="Z725" s="1" t="str">
        <f t="shared" si="305"/>
        <v>Phones</v>
      </c>
      <c r="AA725" s="1" t="s">
        <v>1996</v>
      </c>
      <c r="AB725" s="1" t="s">
        <v>65</v>
      </c>
      <c r="AC725" s="1" t="str">
        <f t="shared" si="306"/>
        <v>Standard Class</v>
      </c>
      <c r="AD725" s="1" t="str">
        <f t="shared" si="307"/>
        <v>OK</v>
      </c>
      <c r="AE725" s="1">
        <v>4</v>
      </c>
      <c r="AF725" s="1">
        <v>889.5</v>
      </c>
      <c r="AG725" s="9">
        <v>0.2</v>
      </c>
      <c r="AH725" s="9">
        <f t="shared" si="308"/>
        <v>0.2</v>
      </c>
      <c r="AI725" s="1" t="str">
        <f t="shared" si="309"/>
        <v>OK</v>
      </c>
      <c r="AJ725" s="1">
        <v>2846.4</v>
      </c>
      <c r="AK725" s="1">
        <v>2132.37</v>
      </c>
      <c r="AL725" s="1">
        <v>714.03</v>
      </c>
      <c r="AM725" s="13">
        <f t="shared" si="310"/>
        <v>2846.4</v>
      </c>
      <c r="AN725" s="9">
        <f t="shared" si="311"/>
        <v>714.0300000000002</v>
      </c>
      <c r="AO725" s="9">
        <f t="shared" si="320"/>
        <v>0.25085370994940986</v>
      </c>
      <c r="AP725" s="1" t="s">
        <v>33</v>
      </c>
      <c r="AQ725" s="1" t="str">
        <f t="shared" si="312"/>
        <v>Paid</v>
      </c>
      <c r="AR725" s="1" t="str">
        <f t="shared" si="313"/>
        <v>OK</v>
      </c>
      <c r="AS725" s="1" t="s">
        <v>34</v>
      </c>
      <c r="AT725" s="4" t="str">
        <f t="shared" si="314"/>
        <v>Completed</v>
      </c>
      <c r="AU725" s="3" t="str">
        <f t="shared" si="315"/>
        <v>OK</v>
      </c>
      <c r="AV725" s="3" t="str">
        <f t="shared" si="321"/>
        <v>CLEAN</v>
      </c>
      <c r="AW725" t="str">
        <f t="shared" si="322"/>
        <v>MATCH</v>
      </c>
      <c r="AX725" t="str">
        <f t="shared" si="323"/>
        <v>MATCH</v>
      </c>
    </row>
    <row r="726" spans="1:50" ht="15.6">
      <c r="A726" s="1" t="s">
        <v>1997</v>
      </c>
      <c r="B726" s="1">
        <f t="shared" si="297"/>
        <v>1</v>
      </c>
      <c r="C726" s="16">
        <v>45727</v>
      </c>
      <c r="D726" s="16">
        <v>45727</v>
      </c>
      <c r="E726" s="16" t="str">
        <f t="shared" si="316"/>
        <v>Mar</v>
      </c>
      <c r="F726" s="1">
        <f t="shared" si="317"/>
        <v>2025</v>
      </c>
      <c r="G726" t="s">
        <v>1418</v>
      </c>
      <c r="H726" s="17">
        <v>45338</v>
      </c>
      <c r="I726" s="21">
        <f t="shared" si="318"/>
        <v>-389</v>
      </c>
      <c r="J726" s="6" t="str">
        <f t="shared" si="319"/>
        <v>INVALID_SHIPPING</v>
      </c>
      <c r="K726" s="1" t="s">
        <v>1999</v>
      </c>
      <c r="L726" s="1" t="s">
        <v>59</v>
      </c>
      <c r="M726" s="1" t="str">
        <f t="shared" si="298"/>
        <v>Arjun Bose</v>
      </c>
      <c r="N726" s="1" t="s">
        <v>104</v>
      </c>
      <c r="O726" s="1" t="str">
        <f t="shared" si="299"/>
        <v>Corporate</v>
      </c>
      <c r="P726" s="1" t="s">
        <v>41</v>
      </c>
      <c r="Q726" s="1" t="str">
        <f t="shared" si="300"/>
        <v>East</v>
      </c>
      <c r="R726" s="1" t="str">
        <f t="shared" si="301"/>
        <v>OK</v>
      </c>
      <c r="S726" s="1" t="s">
        <v>174</v>
      </c>
      <c r="T726" s="1" t="str">
        <f t="shared" si="302"/>
        <v>Bihar</v>
      </c>
      <c r="U726" s="1" t="s">
        <v>175</v>
      </c>
      <c r="V726" s="1" t="str">
        <f t="shared" si="303"/>
        <v>Patna</v>
      </c>
      <c r="W726" s="1" t="s">
        <v>29</v>
      </c>
      <c r="X726" s="1" t="str">
        <f t="shared" si="304"/>
        <v>Office Supplies</v>
      </c>
      <c r="Y726" s="1" t="s">
        <v>30</v>
      </c>
      <c r="Z726" s="1" t="str">
        <f t="shared" si="305"/>
        <v>Paper</v>
      </c>
      <c r="AA726" s="1" t="s">
        <v>2000</v>
      </c>
      <c r="AB726" s="1" t="s">
        <v>47</v>
      </c>
      <c r="AC726" s="1" t="str">
        <f t="shared" si="306"/>
        <v>Same Day</v>
      </c>
      <c r="AD726" s="1" t="str">
        <f t="shared" si="307"/>
        <v>OK</v>
      </c>
      <c r="AE726" s="1">
        <v>3</v>
      </c>
      <c r="AF726" s="1">
        <v>3625.08</v>
      </c>
      <c r="AG726" s="9">
        <v>0.05</v>
      </c>
      <c r="AH726" s="9">
        <f t="shared" si="308"/>
        <v>0.05</v>
      </c>
      <c r="AI726" s="1" t="str">
        <f t="shared" si="309"/>
        <v>OK</v>
      </c>
      <c r="AJ726" s="1">
        <v>10331.48</v>
      </c>
      <c r="AK726" s="1">
        <v>7131.91</v>
      </c>
      <c r="AL726" s="1">
        <v>3199.57</v>
      </c>
      <c r="AM726" s="13">
        <f t="shared" si="310"/>
        <v>10331.477999999999</v>
      </c>
      <c r="AN726" s="9">
        <f t="shared" si="311"/>
        <v>3199.5679999999993</v>
      </c>
      <c r="AO726" s="9">
        <f t="shared" si="320"/>
        <v>0.30969121746181905</v>
      </c>
      <c r="AP726" s="1" t="s">
        <v>131</v>
      </c>
      <c r="AQ726" s="1" t="str">
        <f t="shared" si="312"/>
        <v>Pending</v>
      </c>
      <c r="AR726" s="1" t="str">
        <f t="shared" si="313"/>
        <v>OK</v>
      </c>
      <c r="AS726" s="1" t="s">
        <v>76</v>
      </c>
      <c r="AT726" s="4" t="str">
        <f t="shared" si="314"/>
        <v>Cancelled</v>
      </c>
      <c r="AU726" s="3" t="str">
        <f t="shared" si="315"/>
        <v>EXCLUDE_FROM_SALES</v>
      </c>
      <c r="AV726" s="3" t="str">
        <f t="shared" si="321"/>
        <v>INVALID</v>
      </c>
      <c r="AW726" t="str">
        <f t="shared" si="322"/>
        <v>MATCH</v>
      </c>
      <c r="AX726" t="str">
        <f t="shared" si="323"/>
        <v>MATCH</v>
      </c>
    </row>
    <row r="727" spans="1:50" ht="15.6" hidden="1">
      <c r="A727" s="1" t="s">
        <v>2012</v>
      </c>
      <c r="B727" s="1">
        <f t="shared" si="297"/>
        <v>1</v>
      </c>
      <c r="C727" s="16">
        <v>45901</v>
      </c>
      <c r="D727" s="16">
        <v>45901</v>
      </c>
      <c r="E727" s="16" t="str">
        <f t="shared" si="316"/>
        <v>Sep</v>
      </c>
      <c r="F727" s="1">
        <f t="shared" si="317"/>
        <v>2025</v>
      </c>
      <c r="G727" t="s">
        <v>133</v>
      </c>
      <c r="H727" s="17">
        <v>45942</v>
      </c>
      <c r="I727" s="21">
        <f t="shared" si="318"/>
        <v>41</v>
      </c>
      <c r="J727" s="6" t="str">
        <f t="shared" si="319"/>
        <v>OK</v>
      </c>
      <c r="K727" s="1" t="s">
        <v>2015</v>
      </c>
      <c r="L727" s="1" t="s">
        <v>153</v>
      </c>
      <c r="M727" s="1" t="str">
        <f t="shared" si="298"/>
        <v>Aarav Sharma</v>
      </c>
      <c r="N727" s="1" t="s">
        <v>110</v>
      </c>
      <c r="O727" s="1" t="str">
        <f t="shared" si="299"/>
        <v>Home Office</v>
      </c>
      <c r="P727" s="1" t="s">
        <v>41</v>
      </c>
      <c r="Q727" s="1" t="str">
        <f t="shared" si="300"/>
        <v>East</v>
      </c>
      <c r="R727" s="1" t="str">
        <f t="shared" si="301"/>
        <v>OK</v>
      </c>
      <c r="S727" s="1" t="s">
        <v>116</v>
      </c>
      <c r="T727" s="1" t="str">
        <f t="shared" si="302"/>
        <v>West Bengal</v>
      </c>
      <c r="U727" s="1" t="s">
        <v>117</v>
      </c>
      <c r="V727" s="1" t="str">
        <f t="shared" si="303"/>
        <v>Kolkata</v>
      </c>
      <c r="W727" s="1" t="s">
        <v>29</v>
      </c>
      <c r="X727" s="1" t="str">
        <f t="shared" si="304"/>
        <v>Office Supplies</v>
      </c>
      <c r="Y727" s="1" t="s">
        <v>184</v>
      </c>
      <c r="Z727" s="1" t="str">
        <f t="shared" si="305"/>
        <v>Binders</v>
      </c>
      <c r="AA727" s="1" t="s">
        <v>2016</v>
      </c>
      <c r="AB727" s="1" t="s">
        <v>32</v>
      </c>
      <c r="AC727" s="1" t="str">
        <f t="shared" si="306"/>
        <v>Second Class</v>
      </c>
      <c r="AD727" s="1" t="str">
        <f t="shared" si="307"/>
        <v>OK</v>
      </c>
      <c r="AE727" s="1">
        <v>3</v>
      </c>
      <c r="AF727" s="1">
        <v>2188.33</v>
      </c>
      <c r="AG727" s="9">
        <v>0</v>
      </c>
      <c r="AH727" s="9">
        <f t="shared" si="308"/>
        <v>0</v>
      </c>
      <c r="AI727" s="1" t="str">
        <f t="shared" si="309"/>
        <v>OK</v>
      </c>
      <c r="AJ727" s="1">
        <v>6564.99</v>
      </c>
      <c r="AK727" s="1">
        <v>5407.24</v>
      </c>
      <c r="AL727" s="1">
        <v>1157.75</v>
      </c>
      <c r="AM727" s="13">
        <f t="shared" si="310"/>
        <v>6564.99</v>
      </c>
      <c r="AN727" s="9">
        <f t="shared" si="311"/>
        <v>1157.75</v>
      </c>
      <c r="AO727" s="9">
        <f t="shared" si="320"/>
        <v>0.17635213458055535</v>
      </c>
      <c r="AP727" s="1" t="s">
        <v>33</v>
      </c>
      <c r="AQ727" s="1" t="str">
        <f t="shared" si="312"/>
        <v>Paid</v>
      </c>
      <c r="AR727" s="1" t="str">
        <f t="shared" si="313"/>
        <v>OK</v>
      </c>
      <c r="AS727" s="1" t="s">
        <v>34</v>
      </c>
      <c r="AT727" s="4" t="str">
        <f t="shared" si="314"/>
        <v>Completed</v>
      </c>
      <c r="AU727" s="3" t="str">
        <f t="shared" si="315"/>
        <v>OK</v>
      </c>
      <c r="AV727" s="3" t="str">
        <f t="shared" si="321"/>
        <v>CLEAN</v>
      </c>
      <c r="AW727" t="str">
        <f t="shared" si="322"/>
        <v>MATCH</v>
      </c>
      <c r="AX727" t="str">
        <f t="shared" si="323"/>
        <v>MATCH</v>
      </c>
    </row>
    <row r="728" spans="1:50" ht="15.6">
      <c r="A728" s="1" t="s">
        <v>2037</v>
      </c>
      <c r="B728" s="1">
        <f t="shared" si="297"/>
        <v>1</v>
      </c>
      <c r="C728" s="16">
        <v>45660</v>
      </c>
      <c r="D728" s="16">
        <v>45660</v>
      </c>
      <c r="E728" s="16" t="str">
        <f t="shared" si="316"/>
        <v>Jan</v>
      </c>
      <c r="F728" s="1">
        <f t="shared" si="317"/>
        <v>2025</v>
      </c>
      <c r="G728" t="s">
        <v>2961</v>
      </c>
      <c r="H728" s="17">
        <v>45314</v>
      </c>
      <c r="I728" s="21">
        <f t="shared" si="318"/>
        <v>-346</v>
      </c>
      <c r="J728" s="6" t="str">
        <f t="shared" si="319"/>
        <v>INVALID_SHIPPING</v>
      </c>
      <c r="K728" s="1" t="s">
        <v>2039</v>
      </c>
      <c r="L728" s="1" t="s">
        <v>80</v>
      </c>
      <c r="M728" s="1" t="str">
        <f t="shared" si="298"/>
        <v>Vikram Iyer</v>
      </c>
      <c r="N728" s="1" t="s">
        <v>25</v>
      </c>
      <c r="O728" s="1" t="str">
        <f t="shared" si="299"/>
        <v>Consumer</v>
      </c>
      <c r="P728" s="1" t="s">
        <v>41</v>
      </c>
      <c r="Q728" s="1" t="str">
        <f t="shared" si="300"/>
        <v>East</v>
      </c>
      <c r="R728" s="1" t="str">
        <f t="shared" si="301"/>
        <v>OK</v>
      </c>
      <c r="S728" s="1" t="s">
        <v>116</v>
      </c>
      <c r="T728" s="1" t="str">
        <f t="shared" si="302"/>
        <v>West Bengal</v>
      </c>
      <c r="U728" s="1" t="s">
        <v>117</v>
      </c>
      <c r="V728" s="1" t="str">
        <f t="shared" si="303"/>
        <v>Kolkata</v>
      </c>
      <c r="W728" s="1" t="s">
        <v>44</v>
      </c>
      <c r="X728" s="1" t="str">
        <f t="shared" si="304"/>
        <v>Furniture</v>
      </c>
      <c r="Y728" s="1" t="s">
        <v>74</v>
      </c>
      <c r="Z728" s="1" t="str">
        <f t="shared" si="305"/>
        <v>Chairs</v>
      </c>
      <c r="AA728" s="1" t="s">
        <v>2040</v>
      </c>
      <c r="AB728" s="1" t="s">
        <v>47</v>
      </c>
      <c r="AC728" s="1" t="str">
        <f t="shared" si="306"/>
        <v>Same Day</v>
      </c>
      <c r="AD728" s="1" t="str">
        <f t="shared" si="307"/>
        <v>OK</v>
      </c>
      <c r="AE728" s="1">
        <v>8</v>
      </c>
      <c r="AF728" s="1">
        <v>3378.82</v>
      </c>
      <c r="AG728" s="9">
        <v>0.25</v>
      </c>
      <c r="AH728" s="9">
        <f t="shared" si="308"/>
        <v>0.25</v>
      </c>
      <c r="AI728" s="1" t="str">
        <f t="shared" si="309"/>
        <v>OK</v>
      </c>
      <c r="AJ728" s="1">
        <v>20272.919999999998</v>
      </c>
      <c r="AK728" s="1">
        <v>15873.38</v>
      </c>
      <c r="AL728" s="1">
        <v>4399.54</v>
      </c>
      <c r="AM728" s="13">
        <f t="shared" si="310"/>
        <v>20272.920000000002</v>
      </c>
      <c r="AN728" s="9">
        <f t="shared" si="311"/>
        <v>4399.5400000000027</v>
      </c>
      <c r="AO728" s="9">
        <f t="shared" si="320"/>
        <v>0.21701560505344086</v>
      </c>
      <c r="AP728" s="1" t="s">
        <v>131</v>
      </c>
      <c r="AQ728" s="1" t="str">
        <f t="shared" si="312"/>
        <v>Pending</v>
      </c>
      <c r="AR728" s="1" t="str">
        <f t="shared" si="313"/>
        <v>OK</v>
      </c>
      <c r="AS728" s="1" t="s">
        <v>120</v>
      </c>
      <c r="AT728" s="4" t="str">
        <f t="shared" si="314"/>
        <v>Returned</v>
      </c>
      <c r="AU728" s="3" t="str">
        <f t="shared" si="315"/>
        <v>RETURNED_ORDER</v>
      </c>
      <c r="AV728" s="3" t="str">
        <f t="shared" si="321"/>
        <v>INVALID</v>
      </c>
      <c r="AW728" t="str">
        <f t="shared" si="322"/>
        <v>MATCH</v>
      </c>
      <c r="AX728" t="str">
        <f t="shared" si="323"/>
        <v>MATCH</v>
      </c>
    </row>
    <row r="729" spans="1:50" ht="15.6">
      <c r="A729" s="1" t="s">
        <v>2045</v>
      </c>
      <c r="B729" s="1">
        <f t="shared" si="297"/>
        <v>1</v>
      </c>
      <c r="C729" s="16">
        <v>45892</v>
      </c>
      <c r="D729" s="16">
        <v>45892</v>
      </c>
      <c r="E729" s="16" t="str">
        <f t="shared" si="316"/>
        <v>Aug</v>
      </c>
      <c r="F729" s="1">
        <f t="shared" si="317"/>
        <v>2025</v>
      </c>
      <c r="G729" t="s">
        <v>2965</v>
      </c>
      <c r="H729" s="17">
        <v>45578</v>
      </c>
      <c r="I729" s="21">
        <f t="shared" si="318"/>
        <v>-314</v>
      </c>
      <c r="J729" s="6" t="str">
        <f t="shared" si="319"/>
        <v>INVALID_SHIPPING</v>
      </c>
      <c r="K729" s="1" t="s">
        <v>2047</v>
      </c>
      <c r="L729" s="1" t="s">
        <v>80</v>
      </c>
      <c r="M729" s="1" t="str">
        <f t="shared" si="298"/>
        <v>Vikram Iyer</v>
      </c>
      <c r="N729" s="1" t="s">
        <v>104</v>
      </c>
      <c r="O729" s="1" t="str">
        <f t="shared" si="299"/>
        <v>Corporate</v>
      </c>
      <c r="P729" s="1" t="s">
        <v>71</v>
      </c>
      <c r="Q729" s="1" t="str">
        <f t="shared" si="300"/>
        <v>West</v>
      </c>
      <c r="R729" s="1" t="str">
        <f t="shared" si="301"/>
        <v>OK</v>
      </c>
      <c r="S729" s="1" t="s">
        <v>218</v>
      </c>
      <c r="T729" s="1" t="str">
        <f t="shared" si="302"/>
        <v>Gujarat</v>
      </c>
      <c r="U729" s="1" t="s">
        <v>219</v>
      </c>
      <c r="V729" s="1" t="str">
        <f t="shared" si="303"/>
        <v>Ahmedabad</v>
      </c>
      <c r="W729" s="1" t="s">
        <v>44</v>
      </c>
      <c r="X729" s="1" t="str">
        <f t="shared" si="304"/>
        <v>Furniture</v>
      </c>
      <c r="Y729" s="1" t="s">
        <v>74</v>
      </c>
      <c r="Z729" s="1" t="str">
        <f t="shared" si="305"/>
        <v>Chairs</v>
      </c>
      <c r="AA729" s="1" t="s">
        <v>2048</v>
      </c>
      <c r="AB729" s="1" t="s">
        <v>65</v>
      </c>
      <c r="AC729" s="1" t="str">
        <f t="shared" si="306"/>
        <v>Standard Class</v>
      </c>
      <c r="AD729" s="1" t="str">
        <f t="shared" si="307"/>
        <v>OK</v>
      </c>
      <c r="AE729" s="1">
        <v>6</v>
      </c>
      <c r="AF729" s="1">
        <v>2193.23</v>
      </c>
      <c r="AG729" s="9">
        <v>0.1</v>
      </c>
      <c r="AH729" s="9">
        <f t="shared" si="308"/>
        <v>0.1</v>
      </c>
      <c r="AI729" s="1" t="str">
        <f t="shared" si="309"/>
        <v>OK</v>
      </c>
      <c r="AJ729" s="1">
        <v>11843.44</v>
      </c>
      <c r="AK729" s="1">
        <v>9356.8799999999992</v>
      </c>
      <c r="AL729" s="1">
        <v>2486.56</v>
      </c>
      <c r="AM729" s="13">
        <f t="shared" si="310"/>
        <v>11843.442000000001</v>
      </c>
      <c r="AN729" s="9">
        <f t="shared" si="311"/>
        <v>2486.5620000000017</v>
      </c>
      <c r="AO729" s="9">
        <f t="shared" si="320"/>
        <v>0.20995264721184953</v>
      </c>
      <c r="AP729" s="1" t="s">
        <v>33</v>
      </c>
      <c r="AQ729" s="1" t="str">
        <f t="shared" si="312"/>
        <v>Paid</v>
      </c>
      <c r="AR729" s="1" t="str">
        <f t="shared" si="313"/>
        <v>OK</v>
      </c>
      <c r="AS729" s="1" t="s">
        <v>76</v>
      </c>
      <c r="AT729" s="4" t="str">
        <f t="shared" si="314"/>
        <v>Cancelled</v>
      </c>
      <c r="AU729" s="3" t="str">
        <f t="shared" si="315"/>
        <v>EXCLUDE_FROM_SALES</v>
      </c>
      <c r="AV729" s="3" t="str">
        <f t="shared" si="321"/>
        <v>INVALID</v>
      </c>
      <c r="AW729" t="str">
        <f t="shared" si="322"/>
        <v>MATCH</v>
      </c>
      <c r="AX729" t="str">
        <f t="shared" si="323"/>
        <v>MATCH</v>
      </c>
    </row>
    <row r="730" spans="1:50" ht="15.6">
      <c r="A730" s="1" t="s">
        <v>2057</v>
      </c>
      <c r="B730" s="1">
        <f t="shared" si="297"/>
        <v>1</v>
      </c>
      <c r="C730" s="16">
        <v>45778</v>
      </c>
      <c r="D730" s="16">
        <v>45778</v>
      </c>
      <c r="E730" s="16" t="str">
        <f t="shared" si="316"/>
        <v>May</v>
      </c>
      <c r="F730" s="1">
        <f t="shared" si="317"/>
        <v>2025</v>
      </c>
      <c r="G730" t="s">
        <v>1550</v>
      </c>
      <c r="H730" s="17">
        <v>45474</v>
      </c>
      <c r="I730" s="21">
        <f t="shared" si="318"/>
        <v>-304</v>
      </c>
      <c r="J730" s="6" t="str">
        <f t="shared" si="319"/>
        <v>INVALID_SHIPPING</v>
      </c>
      <c r="K730" s="1" t="s">
        <v>2058</v>
      </c>
      <c r="L730" s="1" t="s">
        <v>90</v>
      </c>
      <c r="M730" s="1" t="str">
        <f t="shared" si="298"/>
        <v>Neha Gupta</v>
      </c>
      <c r="N730" s="1" t="s">
        <v>40</v>
      </c>
      <c r="O730" s="1" t="str">
        <f t="shared" si="299"/>
        <v>Small Business</v>
      </c>
      <c r="P730" s="1" t="s">
        <v>60</v>
      </c>
      <c r="Q730" s="1" t="str">
        <f t="shared" si="300"/>
        <v>South</v>
      </c>
      <c r="R730" s="1" t="str">
        <f t="shared" si="301"/>
        <v>OK</v>
      </c>
      <c r="S730" s="1" t="s">
        <v>309</v>
      </c>
      <c r="T730" s="1" t="str">
        <f t="shared" si="302"/>
        <v>Tamil Nadu</v>
      </c>
      <c r="U730" s="1" t="s">
        <v>310</v>
      </c>
      <c r="V730" s="1" t="str">
        <f t="shared" si="303"/>
        <v>Chennai</v>
      </c>
      <c r="W730" s="1" t="s">
        <v>29</v>
      </c>
      <c r="X730" s="1" t="str">
        <f t="shared" si="304"/>
        <v>Office Supplies</v>
      </c>
      <c r="Y730" s="1" t="s">
        <v>148</v>
      </c>
      <c r="Z730" s="1" t="str">
        <f t="shared" si="305"/>
        <v>Storage</v>
      </c>
      <c r="AA730" s="1" t="s">
        <v>2059</v>
      </c>
      <c r="AB730" s="1"/>
      <c r="AC730" s="1" t="str">
        <f t="shared" si="306"/>
        <v>Unknown</v>
      </c>
      <c r="AD730" s="1" t="str">
        <f t="shared" si="307"/>
        <v>MISSING_SHIP_MODE</v>
      </c>
      <c r="AE730" s="1">
        <v>5</v>
      </c>
      <c r="AF730" s="1">
        <v>905.16</v>
      </c>
      <c r="AG730" s="9">
        <v>0</v>
      </c>
      <c r="AH730" s="9">
        <f t="shared" si="308"/>
        <v>0</v>
      </c>
      <c r="AI730" s="1" t="str">
        <f t="shared" si="309"/>
        <v>OK</v>
      </c>
      <c r="AJ730" s="1">
        <v>4525.8</v>
      </c>
      <c r="AK730" s="1">
        <v>2714.51</v>
      </c>
      <c r="AL730" s="1">
        <v>1811.29</v>
      </c>
      <c r="AM730" s="13">
        <f t="shared" si="310"/>
        <v>4525.8</v>
      </c>
      <c r="AN730" s="9">
        <f t="shared" si="311"/>
        <v>1811.29</v>
      </c>
      <c r="AO730" s="9">
        <f t="shared" si="320"/>
        <v>0.40021432674886204</v>
      </c>
      <c r="AP730" s="1" t="s">
        <v>33</v>
      </c>
      <c r="AQ730" s="1" t="str">
        <f t="shared" si="312"/>
        <v>Paid</v>
      </c>
      <c r="AR730" s="1" t="str">
        <f t="shared" si="313"/>
        <v>OK</v>
      </c>
      <c r="AS730" s="1" t="s">
        <v>34</v>
      </c>
      <c r="AT730" s="4" t="str">
        <f t="shared" si="314"/>
        <v>Completed</v>
      </c>
      <c r="AU730" s="3" t="str">
        <f t="shared" si="315"/>
        <v>OK</v>
      </c>
      <c r="AV730" s="3" t="str">
        <f t="shared" si="321"/>
        <v>INVALID</v>
      </c>
      <c r="AW730" t="str">
        <f t="shared" si="322"/>
        <v>MATCH</v>
      </c>
      <c r="AX730" t="str">
        <f t="shared" si="323"/>
        <v>MATCH</v>
      </c>
    </row>
    <row r="731" spans="1:50" ht="15.6" hidden="1">
      <c r="A731" s="1" t="s">
        <v>2060</v>
      </c>
      <c r="B731" s="1">
        <f t="shared" si="297"/>
        <v>1</v>
      </c>
      <c r="C731" s="16">
        <v>45783</v>
      </c>
      <c r="D731" s="16">
        <v>45783</v>
      </c>
      <c r="E731" s="16" t="str">
        <f t="shared" si="316"/>
        <v>May</v>
      </c>
      <c r="F731" s="1">
        <f t="shared" si="317"/>
        <v>2025</v>
      </c>
      <c r="G731" t="s">
        <v>2972</v>
      </c>
      <c r="H731" s="17">
        <v>45802</v>
      </c>
      <c r="I731" s="21">
        <f t="shared" si="318"/>
        <v>19</v>
      </c>
      <c r="J731" s="6" t="str">
        <f t="shared" si="319"/>
        <v>OK</v>
      </c>
      <c r="K731" s="1" t="s">
        <v>2062</v>
      </c>
      <c r="L731" s="1" t="s">
        <v>52</v>
      </c>
      <c r="M731" s="1" t="str">
        <f t="shared" si="298"/>
        <v>Isha Nair</v>
      </c>
      <c r="N731" s="1" t="s">
        <v>25</v>
      </c>
      <c r="O731" s="1" t="str">
        <f t="shared" si="299"/>
        <v>Consumer</v>
      </c>
      <c r="P731" s="1" t="s">
        <v>26</v>
      </c>
      <c r="Q731" s="1" t="str">
        <f t="shared" si="300"/>
        <v>North</v>
      </c>
      <c r="R731" s="1" t="str">
        <f t="shared" si="301"/>
        <v>OK</v>
      </c>
      <c r="S731" s="1" t="s">
        <v>163</v>
      </c>
      <c r="T731" s="1" t="str">
        <f t="shared" si="302"/>
        <v>Uttar Pradesh</v>
      </c>
      <c r="U731" s="1" t="s">
        <v>164</v>
      </c>
      <c r="V731" s="1" t="str">
        <f t="shared" si="303"/>
        <v>Noida</v>
      </c>
      <c r="W731" s="1" t="s">
        <v>83</v>
      </c>
      <c r="X731" s="1" t="str">
        <f t="shared" si="304"/>
        <v>Technology</v>
      </c>
      <c r="Y731" s="1" t="s">
        <v>347</v>
      </c>
      <c r="Z731" s="1" t="str">
        <f t="shared" si="305"/>
        <v>Machines</v>
      </c>
      <c r="AA731" s="1" t="s">
        <v>2063</v>
      </c>
      <c r="AB731" s="1" t="s">
        <v>47</v>
      </c>
      <c r="AC731" s="1" t="str">
        <f t="shared" si="306"/>
        <v>Same Day</v>
      </c>
      <c r="AD731" s="1" t="str">
        <f t="shared" si="307"/>
        <v>OK</v>
      </c>
      <c r="AE731" s="1">
        <v>4</v>
      </c>
      <c r="AF731" s="1">
        <v>2793.88</v>
      </c>
      <c r="AG731" s="11">
        <v>0.85</v>
      </c>
      <c r="AH731" s="9">
        <f t="shared" si="308"/>
        <v>0.85</v>
      </c>
      <c r="AI731" s="1" t="str">
        <f t="shared" si="309"/>
        <v>OK</v>
      </c>
      <c r="AJ731" s="1">
        <v>10616.74</v>
      </c>
      <c r="AK731" s="1">
        <v>6353.59</v>
      </c>
      <c r="AL731" s="1">
        <v>4263.1499999999996</v>
      </c>
      <c r="AM731" s="13">
        <f t="shared" si="310"/>
        <v>1676.3280000000002</v>
      </c>
      <c r="AN731" s="9">
        <f t="shared" si="311"/>
        <v>-4677.2619999999997</v>
      </c>
      <c r="AO731" s="9">
        <f t="shared" si="320"/>
        <v>-2.7901830667983827</v>
      </c>
      <c r="AP731" s="1" t="s">
        <v>33</v>
      </c>
      <c r="AQ731" s="1" t="str">
        <f t="shared" si="312"/>
        <v>Paid</v>
      </c>
      <c r="AR731" s="1" t="str">
        <f t="shared" si="313"/>
        <v>OK</v>
      </c>
      <c r="AS731" s="1" t="s">
        <v>34</v>
      </c>
      <c r="AT731" s="4" t="str">
        <f t="shared" si="314"/>
        <v>Completed</v>
      </c>
      <c r="AU731" s="3" t="str">
        <f t="shared" si="315"/>
        <v>OK</v>
      </c>
      <c r="AV731" s="3" t="str">
        <f t="shared" si="321"/>
        <v>CLEAN</v>
      </c>
      <c r="AW731" t="str">
        <f t="shared" si="322"/>
        <v>MISMATCH</v>
      </c>
      <c r="AX731" t="str">
        <f t="shared" si="323"/>
        <v>MISMATCH</v>
      </c>
    </row>
    <row r="732" spans="1:50" ht="15.6" hidden="1">
      <c r="A732" s="1" t="s">
        <v>2075</v>
      </c>
      <c r="B732" s="1">
        <f t="shared" si="297"/>
        <v>1</v>
      </c>
      <c r="C732" s="16">
        <v>45679</v>
      </c>
      <c r="D732" s="16">
        <v>45679</v>
      </c>
      <c r="E732" s="16" t="str">
        <f t="shared" si="316"/>
        <v>Jan</v>
      </c>
      <c r="F732" s="1">
        <f t="shared" si="317"/>
        <v>2025</v>
      </c>
      <c r="G732" t="s">
        <v>2898</v>
      </c>
      <c r="H732" s="17">
        <v>45832</v>
      </c>
      <c r="I732" s="21">
        <f t="shared" si="318"/>
        <v>153</v>
      </c>
      <c r="J732" s="6" t="str">
        <f t="shared" si="319"/>
        <v>OK</v>
      </c>
      <c r="K732" s="1" t="s">
        <v>2076</v>
      </c>
      <c r="L732" s="1" t="s">
        <v>141</v>
      </c>
      <c r="M732" s="1" t="str">
        <f t="shared" si="298"/>
        <v>Rahul Verma</v>
      </c>
      <c r="N732" s="1" t="s">
        <v>104</v>
      </c>
      <c r="O732" s="1" t="str">
        <f t="shared" si="299"/>
        <v>Corporate</v>
      </c>
      <c r="P732" s="1" t="s">
        <v>71</v>
      </c>
      <c r="Q732" s="1" t="str">
        <f t="shared" si="300"/>
        <v>West</v>
      </c>
      <c r="R732" s="1" t="str">
        <f t="shared" si="301"/>
        <v>OK</v>
      </c>
      <c r="S732" s="1" t="s">
        <v>230</v>
      </c>
      <c r="T732" s="1" t="str">
        <f t="shared" si="302"/>
        <v>Goa</v>
      </c>
      <c r="U732" s="1" t="s">
        <v>231</v>
      </c>
      <c r="V732" s="1" t="str">
        <f t="shared" si="303"/>
        <v>Panaji</v>
      </c>
      <c r="W732" s="1" t="s">
        <v>44</v>
      </c>
      <c r="X732" s="1" t="str">
        <f t="shared" si="304"/>
        <v>Furniture</v>
      </c>
      <c r="Y732" s="1" t="s">
        <v>190</v>
      </c>
      <c r="Z732" s="1" t="str">
        <f t="shared" si="305"/>
        <v>Bookcases</v>
      </c>
      <c r="AA732" s="1" t="s">
        <v>2077</v>
      </c>
      <c r="AB732" s="1" t="s">
        <v>65</v>
      </c>
      <c r="AC732" s="1" t="str">
        <f t="shared" si="306"/>
        <v>Standard Class</v>
      </c>
      <c r="AD732" s="1" t="str">
        <f t="shared" si="307"/>
        <v>OK</v>
      </c>
      <c r="AE732" s="1">
        <v>4</v>
      </c>
      <c r="AF732" s="1">
        <v>2555.19</v>
      </c>
      <c r="AG732" s="9">
        <v>0.25</v>
      </c>
      <c r="AH732" s="9">
        <f t="shared" si="308"/>
        <v>0.25</v>
      </c>
      <c r="AI732" s="1" t="str">
        <f t="shared" si="309"/>
        <v>OK</v>
      </c>
      <c r="AJ732" s="1">
        <v>7665.57</v>
      </c>
      <c r="AK732" s="1">
        <v>5595.6</v>
      </c>
      <c r="AL732" s="1">
        <v>2069.9699999999998</v>
      </c>
      <c r="AM732" s="13">
        <f t="shared" si="310"/>
        <v>7665.57</v>
      </c>
      <c r="AN732" s="9">
        <f t="shared" si="311"/>
        <v>2069.9699999999993</v>
      </c>
      <c r="AO732" s="9">
        <f t="shared" si="320"/>
        <v>0.27003471366121495</v>
      </c>
      <c r="AP732" s="1" t="s">
        <v>33</v>
      </c>
      <c r="AQ732" s="1" t="str">
        <f t="shared" si="312"/>
        <v>Paid</v>
      </c>
      <c r="AR732" s="1" t="str">
        <f t="shared" si="313"/>
        <v>OK</v>
      </c>
      <c r="AS732" s="1" t="s">
        <v>34</v>
      </c>
      <c r="AT732" s="4" t="str">
        <f t="shared" si="314"/>
        <v>Completed</v>
      </c>
      <c r="AU732" s="3" t="str">
        <f t="shared" si="315"/>
        <v>OK</v>
      </c>
      <c r="AV732" s="3" t="str">
        <f t="shared" si="321"/>
        <v>CLEAN</v>
      </c>
      <c r="AW732" t="str">
        <f t="shared" si="322"/>
        <v>MATCH</v>
      </c>
      <c r="AX732" t="str">
        <f t="shared" si="323"/>
        <v>MATCH</v>
      </c>
    </row>
    <row r="733" spans="1:50" ht="15.6">
      <c r="A733" s="1" t="s">
        <v>2078</v>
      </c>
      <c r="B733" s="1">
        <f t="shared" si="297"/>
        <v>1</v>
      </c>
      <c r="C733" s="16">
        <v>45830</v>
      </c>
      <c r="D733" s="16">
        <v>45830</v>
      </c>
      <c r="E733" s="16" t="str">
        <f t="shared" si="316"/>
        <v>Jun</v>
      </c>
      <c r="F733" s="1">
        <f t="shared" si="317"/>
        <v>2025</v>
      </c>
      <c r="G733" t="s">
        <v>2979</v>
      </c>
      <c r="H733" s="17">
        <v>45370</v>
      </c>
      <c r="I733" s="21">
        <f t="shared" si="318"/>
        <v>-460</v>
      </c>
      <c r="J733" s="6" t="str">
        <f t="shared" si="319"/>
        <v>INVALID_SHIPPING</v>
      </c>
      <c r="K733" s="1" t="s">
        <v>2080</v>
      </c>
      <c r="L733" s="1" t="s">
        <v>141</v>
      </c>
      <c r="M733" s="1" t="str">
        <f t="shared" si="298"/>
        <v>Rahul Verma</v>
      </c>
      <c r="N733" s="1" t="s">
        <v>104</v>
      </c>
      <c r="O733" s="1" t="str">
        <f t="shared" si="299"/>
        <v>Corporate</v>
      </c>
      <c r="P733" s="1" t="s">
        <v>71</v>
      </c>
      <c r="Q733" s="1" t="str">
        <f t="shared" si="300"/>
        <v>West</v>
      </c>
      <c r="R733" s="1" t="str">
        <f t="shared" si="301"/>
        <v>OK</v>
      </c>
      <c r="S733" s="1" t="s">
        <v>230</v>
      </c>
      <c r="T733" s="1" t="str">
        <f t="shared" si="302"/>
        <v>Goa</v>
      </c>
      <c r="U733" s="1" t="s">
        <v>231</v>
      </c>
      <c r="V733" s="1" t="str">
        <f t="shared" si="303"/>
        <v>Panaji</v>
      </c>
      <c r="W733" s="1" t="s">
        <v>44</v>
      </c>
      <c r="X733" s="1" t="str">
        <f t="shared" si="304"/>
        <v>Furniture</v>
      </c>
      <c r="Y733" s="1" t="s">
        <v>45</v>
      </c>
      <c r="Z733" s="1" t="str">
        <f t="shared" si="305"/>
        <v>Tables</v>
      </c>
      <c r="AA733" s="1" t="s">
        <v>2081</v>
      </c>
      <c r="AB733" s="1" t="s">
        <v>65</v>
      </c>
      <c r="AC733" s="1" t="str">
        <f t="shared" si="306"/>
        <v>Standard Class</v>
      </c>
      <c r="AD733" s="1" t="str">
        <f t="shared" si="307"/>
        <v>OK</v>
      </c>
      <c r="AE733" s="1">
        <v>3</v>
      </c>
      <c r="AF733" s="1">
        <v>1946.18</v>
      </c>
      <c r="AG733" s="9">
        <v>0.2</v>
      </c>
      <c r="AH733" s="9">
        <f t="shared" si="308"/>
        <v>0.2</v>
      </c>
      <c r="AI733" s="1" t="str">
        <f t="shared" si="309"/>
        <v>OK</v>
      </c>
      <c r="AJ733" s="1">
        <v>4670.83</v>
      </c>
      <c r="AK733" s="1">
        <v>3166.49</v>
      </c>
      <c r="AL733" s="1">
        <v>1504.34</v>
      </c>
      <c r="AM733" s="13">
        <f t="shared" si="310"/>
        <v>4670.8320000000003</v>
      </c>
      <c r="AN733" s="9">
        <f t="shared" si="311"/>
        <v>1504.3420000000006</v>
      </c>
      <c r="AO733" s="9">
        <f t="shared" si="320"/>
        <v>0.3220715281560117</v>
      </c>
      <c r="AP733" s="1" t="s">
        <v>33</v>
      </c>
      <c r="AQ733" s="1" t="str">
        <f t="shared" si="312"/>
        <v>Paid</v>
      </c>
      <c r="AR733" s="1" t="str">
        <f t="shared" si="313"/>
        <v>OK</v>
      </c>
      <c r="AS733" s="1" t="s">
        <v>34</v>
      </c>
      <c r="AT733" s="4" t="str">
        <f t="shared" si="314"/>
        <v>Completed</v>
      </c>
      <c r="AU733" s="3" t="str">
        <f t="shared" si="315"/>
        <v>OK</v>
      </c>
      <c r="AV733" s="3" t="str">
        <f t="shared" si="321"/>
        <v>INVALID</v>
      </c>
      <c r="AW733" t="str">
        <f t="shared" si="322"/>
        <v>MATCH</v>
      </c>
      <c r="AX733" t="str">
        <f t="shared" si="323"/>
        <v>MATCH</v>
      </c>
    </row>
    <row r="734" spans="1:50" ht="15.6">
      <c r="A734" s="1" t="s">
        <v>2082</v>
      </c>
      <c r="B734" s="1">
        <f t="shared" si="297"/>
        <v>1</v>
      </c>
      <c r="C734" s="16">
        <v>45936</v>
      </c>
      <c r="D734" s="16">
        <v>45936</v>
      </c>
      <c r="E734" s="16" t="str">
        <f t="shared" si="316"/>
        <v>Oct</v>
      </c>
      <c r="F734" s="1">
        <f t="shared" si="317"/>
        <v>2025</v>
      </c>
      <c r="G734" t="s">
        <v>2474</v>
      </c>
      <c r="H734" s="17">
        <v>45632</v>
      </c>
      <c r="I734" s="21">
        <f t="shared" si="318"/>
        <v>-304</v>
      </c>
      <c r="J734" s="6" t="str">
        <f t="shared" si="319"/>
        <v>INVALID_SHIPPING</v>
      </c>
      <c r="K734" s="1" t="s">
        <v>2084</v>
      </c>
      <c r="L734" s="1" t="s">
        <v>141</v>
      </c>
      <c r="M734" s="1" t="str">
        <f t="shared" si="298"/>
        <v>Rahul Verma</v>
      </c>
      <c r="N734" s="1" t="s">
        <v>104</v>
      </c>
      <c r="O734" s="1" t="str">
        <f t="shared" si="299"/>
        <v>Corporate</v>
      </c>
      <c r="P734" s="1" t="s">
        <v>60</v>
      </c>
      <c r="Q734" s="1" t="str">
        <f t="shared" si="300"/>
        <v>South</v>
      </c>
      <c r="R734" s="1" t="str">
        <f t="shared" si="301"/>
        <v>OK</v>
      </c>
      <c r="S734" s="1" t="s">
        <v>61</v>
      </c>
      <c r="T734" s="1" t="str">
        <f t="shared" si="302"/>
        <v>Telangana</v>
      </c>
      <c r="U734" s="1" t="s">
        <v>62</v>
      </c>
      <c r="V734" s="1" t="str">
        <f t="shared" si="303"/>
        <v>Hyderabad</v>
      </c>
      <c r="W734" s="1" t="s">
        <v>44</v>
      </c>
      <c r="X734" s="1" t="str">
        <f t="shared" si="304"/>
        <v>Furniture</v>
      </c>
      <c r="Y734" s="1" t="s">
        <v>63</v>
      </c>
      <c r="Z734" s="1" t="str">
        <f t="shared" si="305"/>
        <v>Furnishings</v>
      </c>
      <c r="AA734" s="1" t="s">
        <v>2085</v>
      </c>
      <c r="AB734" s="1" t="s">
        <v>65</v>
      </c>
      <c r="AC734" s="1" t="str">
        <f t="shared" si="306"/>
        <v>Standard Class</v>
      </c>
      <c r="AD734" s="1" t="str">
        <f t="shared" si="307"/>
        <v>OK</v>
      </c>
      <c r="AE734" s="1">
        <v>5</v>
      </c>
      <c r="AF734" s="1">
        <v>1231.0999999999999</v>
      </c>
      <c r="AG734" s="9">
        <v>0</v>
      </c>
      <c r="AH734" s="9">
        <f t="shared" si="308"/>
        <v>0</v>
      </c>
      <c r="AI734" s="1" t="str">
        <f t="shared" si="309"/>
        <v>OK</v>
      </c>
      <c r="AJ734" s="1">
        <v>6155.5</v>
      </c>
      <c r="AK734" s="1">
        <v>4282.09</v>
      </c>
      <c r="AL734" s="1">
        <v>1873.41</v>
      </c>
      <c r="AM734" s="13">
        <f t="shared" si="310"/>
        <v>6155.5</v>
      </c>
      <c r="AN734" s="9">
        <f t="shared" si="311"/>
        <v>1873.4099999999999</v>
      </c>
      <c r="AO734" s="9">
        <f t="shared" si="320"/>
        <v>0.3043473316546178</v>
      </c>
      <c r="AP734" s="1" t="s">
        <v>119</v>
      </c>
      <c r="AQ734" s="1" t="str">
        <f t="shared" si="312"/>
        <v>Refunded</v>
      </c>
      <c r="AR734" s="1" t="str">
        <f t="shared" si="313"/>
        <v>REFUNDED_PAYMENT</v>
      </c>
      <c r="AS734" s="1" t="s">
        <v>120</v>
      </c>
      <c r="AT734" s="4" t="str">
        <f t="shared" si="314"/>
        <v>Returned</v>
      </c>
      <c r="AU734" s="3" t="str">
        <f t="shared" si="315"/>
        <v>RETURNED_ORDER</v>
      </c>
      <c r="AV734" s="3" t="str">
        <f t="shared" si="321"/>
        <v>INVALID</v>
      </c>
      <c r="AW734" t="str">
        <f t="shared" si="322"/>
        <v>MATCH</v>
      </c>
      <c r="AX734" t="str">
        <f t="shared" si="323"/>
        <v>MATCH</v>
      </c>
    </row>
    <row r="735" spans="1:50" ht="15.6">
      <c r="A735" s="1" t="s">
        <v>2097</v>
      </c>
      <c r="B735" s="1">
        <f t="shared" si="297"/>
        <v>1</v>
      </c>
      <c r="C735" s="16">
        <v>45776</v>
      </c>
      <c r="D735" s="16">
        <v>45776</v>
      </c>
      <c r="E735" s="16" t="str">
        <f t="shared" si="316"/>
        <v>Apr</v>
      </c>
      <c r="F735" s="1">
        <f t="shared" si="317"/>
        <v>2025</v>
      </c>
      <c r="G735" t="s">
        <v>2986</v>
      </c>
      <c r="H735" s="17">
        <v>45471</v>
      </c>
      <c r="I735" s="21">
        <f t="shared" si="318"/>
        <v>-305</v>
      </c>
      <c r="J735" s="6" t="str">
        <f t="shared" si="319"/>
        <v>INVALID_SHIPPING</v>
      </c>
      <c r="K735" s="1" t="s">
        <v>2099</v>
      </c>
      <c r="L735" s="1" t="s">
        <v>39</v>
      </c>
      <c r="M735" s="1" t="str">
        <f t="shared" si="298"/>
        <v>Mira Das</v>
      </c>
      <c r="N735" s="1" t="s">
        <v>104</v>
      </c>
      <c r="O735" s="1" t="str">
        <f t="shared" si="299"/>
        <v>Corporate</v>
      </c>
      <c r="P735" s="1" t="s">
        <v>60</v>
      </c>
      <c r="Q735" s="1" t="str">
        <f t="shared" si="300"/>
        <v>South</v>
      </c>
      <c r="R735" s="1" t="str">
        <f t="shared" si="301"/>
        <v>OK</v>
      </c>
      <c r="S735" s="1" t="s">
        <v>224</v>
      </c>
      <c r="T735" s="1" t="str">
        <f t="shared" si="302"/>
        <v>Kerala</v>
      </c>
      <c r="U735" s="1" t="s">
        <v>225</v>
      </c>
      <c r="V735" s="1" t="str">
        <f t="shared" si="303"/>
        <v>Kochi</v>
      </c>
      <c r="W735" s="1" t="s">
        <v>83</v>
      </c>
      <c r="X735" s="1" t="str">
        <f t="shared" si="304"/>
        <v>Technology</v>
      </c>
      <c r="Y735" s="1" t="s">
        <v>84</v>
      </c>
      <c r="Z735" s="1" t="str">
        <f t="shared" si="305"/>
        <v>Accessories</v>
      </c>
      <c r="AA735" s="1" t="s">
        <v>2100</v>
      </c>
      <c r="AB735" s="1" t="s">
        <v>65</v>
      </c>
      <c r="AC735" s="1" t="str">
        <f t="shared" si="306"/>
        <v>Standard Class</v>
      </c>
      <c r="AD735" s="1" t="str">
        <f t="shared" si="307"/>
        <v>OK</v>
      </c>
      <c r="AE735" s="1">
        <v>4</v>
      </c>
      <c r="AF735" s="1">
        <v>606.58000000000004</v>
      </c>
      <c r="AG735" s="9">
        <v>0.2</v>
      </c>
      <c r="AH735" s="9">
        <f t="shared" si="308"/>
        <v>0.2</v>
      </c>
      <c r="AI735" s="1" t="str">
        <f t="shared" si="309"/>
        <v>OK</v>
      </c>
      <c r="AJ735" s="1">
        <v>1941.06</v>
      </c>
      <c r="AK735" s="1">
        <v>1207.42</v>
      </c>
      <c r="AL735" s="1">
        <v>733.64</v>
      </c>
      <c r="AM735" s="13">
        <f t="shared" si="310"/>
        <v>1941.0560000000003</v>
      </c>
      <c r="AN735" s="9">
        <f t="shared" si="311"/>
        <v>733.63600000000019</v>
      </c>
      <c r="AO735" s="9">
        <f t="shared" si="320"/>
        <v>0.37795715321969076</v>
      </c>
      <c r="AP735" s="1" t="s">
        <v>33</v>
      </c>
      <c r="AQ735" s="1" t="str">
        <f t="shared" si="312"/>
        <v>Paid</v>
      </c>
      <c r="AR735" s="1" t="str">
        <f t="shared" si="313"/>
        <v>OK</v>
      </c>
      <c r="AS735" s="1" t="s">
        <v>34</v>
      </c>
      <c r="AT735" s="4" t="str">
        <f t="shared" si="314"/>
        <v>Completed</v>
      </c>
      <c r="AU735" s="3" t="str">
        <f t="shared" si="315"/>
        <v>OK</v>
      </c>
      <c r="AV735" s="3" t="str">
        <f t="shared" si="321"/>
        <v>INVALID</v>
      </c>
      <c r="AW735" t="str">
        <f t="shared" si="322"/>
        <v>MATCH</v>
      </c>
      <c r="AX735" t="str">
        <f t="shared" si="323"/>
        <v>MATCH</v>
      </c>
    </row>
    <row r="736" spans="1:50" ht="15.6">
      <c r="A736" s="1" t="s">
        <v>2101</v>
      </c>
      <c r="B736" s="1">
        <f t="shared" si="297"/>
        <v>1</v>
      </c>
      <c r="C736" s="16">
        <v>45836</v>
      </c>
      <c r="D736" s="16">
        <v>45836</v>
      </c>
      <c r="E736" s="16" t="str">
        <f t="shared" si="316"/>
        <v>Jun</v>
      </c>
      <c r="F736" s="1">
        <f t="shared" si="317"/>
        <v>2025</v>
      </c>
      <c r="G736" t="s">
        <v>2990</v>
      </c>
      <c r="H736" s="17">
        <v>45528</v>
      </c>
      <c r="I736" s="21">
        <f t="shared" si="318"/>
        <v>-308</v>
      </c>
      <c r="J736" s="6" t="str">
        <f t="shared" si="319"/>
        <v>INVALID_SHIPPING</v>
      </c>
      <c r="K736" s="1" t="s">
        <v>2103</v>
      </c>
      <c r="L736" s="1" t="s">
        <v>70</v>
      </c>
      <c r="M736" s="1" t="str">
        <f t="shared" si="298"/>
        <v>Ananya Rao</v>
      </c>
      <c r="N736" s="1" t="s">
        <v>104</v>
      </c>
      <c r="O736" s="1" t="str">
        <f t="shared" si="299"/>
        <v>Corporate</v>
      </c>
      <c r="P736" s="1" t="s">
        <v>60</v>
      </c>
      <c r="Q736" s="1" t="str">
        <f t="shared" si="300"/>
        <v>South</v>
      </c>
      <c r="R736" s="1" t="str">
        <f t="shared" si="301"/>
        <v>OK</v>
      </c>
      <c r="S736" s="1" t="s">
        <v>97</v>
      </c>
      <c r="T736" s="1" t="str">
        <f t="shared" si="302"/>
        <v>Andhra Pradesh</v>
      </c>
      <c r="U736" s="1" t="s">
        <v>98</v>
      </c>
      <c r="V736" s="1" t="str">
        <f t="shared" si="303"/>
        <v>Vijayawada</v>
      </c>
      <c r="W736" s="1" t="s">
        <v>29</v>
      </c>
      <c r="X736" s="1" t="str">
        <f t="shared" si="304"/>
        <v>Office Supplies</v>
      </c>
      <c r="Y736" s="1" t="s">
        <v>148</v>
      </c>
      <c r="Z736" s="1" t="str">
        <f t="shared" si="305"/>
        <v>Storage</v>
      </c>
      <c r="AA736" s="1" t="s">
        <v>2104</v>
      </c>
      <c r="AB736" s="1" t="s">
        <v>32</v>
      </c>
      <c r="AC736" s="1" t="str">
        <f t="shared" si="306"/>
        <v>Second Class</v>
      </c>
      <c r="AD736" s="1" t="str">
        <f t="shared" si="307"/>
        <v>OK</v>
      </c>
      <c r="AE736" s="1">
        <v>2</v>
      </c>
      <c r="AF736" s="1">
        <v>2725.44</v>
      </c>
      <c r="AG736" s="9">
        <v>0.25</v>
      </c>
      <c r="AH736" s="9">
        <f t="shared" si="308"/>
        <v>0.25</v>
      </c>
      <c r="AI736" s="1" t="str">
        <f t="shared" si="309"/>
        <v>OK</v>
      </c>
      <c r="AJ736" s="1">
        <v>4088.16</v>
      </c>
      <c r="AK736" s="1">
        <v>3205.68</v>
      </c>
      <c r="AL736" s="1">
        <v>882.48</v>
      </c>
      <c r="AM736" s="13">
        <f t="shared" si="310"/>
        <v>4088.16</v>
      </c>
      <c r="AN736" s="9">
        <f t="shared" si="311"/>
        <v>882.48</v>
      </c>
      <c r="AO736" s="9">
        <f t="shared" si="320"/>
        <v>0.21586239286133616</v>
      </c>
      <c r="AP736" s="1" t="s">
        <v>33</v>
      </c>
      <c r="AQ736" s="1" t="str">
        <f t="shared" si="312"/>
        <v>Paid</v>
      </c>
      <c r="AR736" s="1" t="str">
        <f t="shared" si="313"/>
        <v>OK</v>
      </c>
      <c r="AS736" s="1" t="s">
        <v>34</v>
      </c>
      <c r="AT736" s="4" t="str">
        <f t="shared" si="314"/>
        <v>Completed</v>
      </c>
      <c r="AU736" s="3" t="str">
        <f t="shared" si="315"/>
        <v>OK</v>
      </c>
      <c r="AV736" s="3" t="str">
        <f t="shared" si="321"/>
        <v>INVALID</v>
      </c>
      <c r="AW736" t="str">
        <f t="shared" si="322"/>
        <v>MATCH</v>
      </c>
      <c r="AX736" t="str">
        <f t="shared" si="323"/>
        <v>MATCH</v>
      </c>
    </row>
    <row r="737" spans="1:50" ht="15.6">
      <c r="A737" s="1" t="s">
        <v>2105</v>
      </c>
      <c r="B737" s="1">
        <f t="shared" si="297"/>
        <v>1</v>
      </c>
      <c r="C737" s="16">
        <v>45701</v>
      </c>
      <c r="D737" s="16">
        <v>45701</v>
      </c>
      <c r="E737" s="16" t="str">
        <f t="shared" si="316"/>
        <v>Feb</v>
      </c>
      <c r="F737" s="1">
        <f t="shared" si="317"/>
        <v>2025</v>
      </c>
      <c r="G737" t="s">
        <v>2512</v>
      </c>
      <c r="H737" s="17">
        <v>45523</v>
      </c>
      <c r="I737" s="21">
        <f t="shared" si="318"/>
        <v>-178</v>
      </c>
      <c r="J737" s="6" t="str">
        <f t="shared" si="319"/>
        <v>INVALID_SHIPPING</v>
      </c>
      <c r="K737" s="1" t="s">
        <v>2107</v>
      </c>
      <c r="L737" s="1" t="s">
        <v>334</v>
      </c>
      <c r="M737" s="1" t="str">
        <f t="shared" si="298"/>
        <v>Kabir Singh</v>
      </c>
      <c r="N737" s="1" t="s">
        <v>104</v>
      </c>
      <c r="O737" s="1" t="str">
        <f t="shared" si="299"/>
        <v>Corporate</v>
      </c>
      <c r="P737" s="1" t="s">
        <v>41</v>
      </c>
      <c r="Q737" s="1" t="str">
        <f t="shared" si="300"/>
        <v>East</v>
      </c>
      <c r="R737" s="1" t="str">
        <f t="shared" si="301"/>
        <v>OK</v>
      </c>
      <c r="S737" s="1" t="s">
        <v>42</v>
      </c>
      <c r="T737" s="1" t="str">
        <f t="shared" si="302"/>
        <v>Odisha</v>
      </c>
      <c r="U737" s="1" t="s">
        <v>43</v>
      </c>
      <c r="V737" s="1" t="str">
        <f t="shared" si="303"/>
        <v>Bhubaneswar</v>
      </c>
      <c r="W737" s="1" t="s">
        <v>29</v>
      </c>
      <c r="X737" s="1" t="str">
        <f t="shared" si="304"/>
        <v>Office Supplies</v>
      </c>
      <c r="Y737" s="1" t="s">
        <v>30</v>
      </c>
      <c r="Z737" s="1" t="str">
        <f t="shared" si="305"/>
        <v>Paper</v>
      </c>
      <c r="AA737" s="1" t="s">
        <v>2108</v>
      </c>
      <c r="AB737" s="1" t="s">
        <v>32</v>
      </c>
      <c r="AC737" s="1" t="str">
        <f t="shared" si="306"/>
        <v>Second Class</v>
      </c>
      <c r="AD737" s="1" t="str">
        <f t="shared" si="307"/>
        <v>OK</v>
      </c>
      <c r="AE737" s="1">
        <v>7</v>
      </c>
      <c r="AF737" s="1">
        <v>2296.6999999999998</v>
      </c>
      <c r="AG737" s="9">
        <v>0.05</v>
      </c>
      <c r="AH737" s="9">
        <f t="shared" si="308"/>
        <v>0.05</v>
      </c>
      <c r="AI737" s="1" t="str">
        <f t="shared" si="309"/>
        <v>OK</v>
      </c>
      <c r="AJ737" s="1">
        <v>15273.05</v>
      </c>
      <c r="AK737" s="1">
        <v>11088.76</v>
      </c>
      <c r="AL737" s="1">
        <v>4184.29</v>
      </c>
      <c r="AM737" s="13">
        <f t="shared" si="310"/>
        <v>15273.054999999997</v>
      </c>
      <c r="AN737" s="9">
        <f t="shared" si="311"/>
        <v>4184.2949999999964</v>
      </c>
      <c r="AO737" s="9">
        <f t="shared" si="320"/>
        <v>0.27396581757873573</v>
      </c>
      <c r="AP737" s="1" t="s">
        <v>33</v>
      </c>
      <c r="AQ737" s="1" t="str">
        <f t="shared" si="312"/>
        <v>Paid</v>
      </c>
      <c r="AR737" s="1" t="str">
        <f t="shared" si="313"/>
        <v>OK</v>
      </c>
      <c r="AS737" s="1" t="s">
        <v>2109</v>
      </c>
      <c r="AT737" s="4" t="str">
        <f t="shared" si="314"/>
        <v>Completed</v>
      </c>
      <c r="AU737" s="3" t="str">
        <f t="shared" si="315"/>
        <v>OK</v>
      </c>
      <c r="AV737" s="3" t="str">
        <f t="shared" si="321"/>
        <v>INVALID</v>
      </c>
      <c r="AW737" t="str">
        <f t="shared" si="322"/>
        <v>MISMATCH</v>
      </c>
      <c r="AX737" t="str">
        <f t="shared" si="323"/>
        <v>MISMATCH</v>
      </c>
    </row>
    <row r="738" spans="1:50" ht="15.6">
      <c r="A738" s="1" t="s">
        <v>2118</v>
      </c>
      <c r="B738" s="1">
        <f t="shared" si="297"/>
        <v>1</v>
      </c>
      <c r="C738" s="16">
        <v>45754</v>
      </c>
      <c r="D738" s="16">
        <v>45754</v>
      </c>
      <c r="E738" s="16" t="str">
        <f t="shared" si="316"/>
        <v>Apr</v>
      </c>
      <c r="F738" s="1">
        <f t="shared" si="317"/>
        <v>2025</v>
      </c>
      <c r="G738" t="s">
        <v>2997</v>
      </c>
      <c r="H738" s="17">
        <v>45547</v>
      </c>
      <c r="I738" s="21">
        <f t="shared" si="318"/>
        <v>-207</v>
      </c>
      <c r="J738" s="6" t="str">
        <f t="shared" si="319"/>
        <v>INVALID_SHIPPING</v>
      </c>
      <c r="K738" s="1" t="s">
        <v>2121</v>
      </c>
      <c r="L738" s="1" t="s">
        <v>334</v>
      </c>
      <c r="M738" s="1" t="str">
        <f t="shared" si="298"/>
        <v>Kabir Singh</v>
      </c>
      <c r="N738" s="1" t="s">
        <v>40</v>
      </c>
      <c r="O738" s="1" t="str">
        <f t="shared" si="299"/>
        <v>Small Business</v>
      </c>
      <c r="P738" s="1" t="s">
        <v>41</v>
      </c>
      <c r="Q738" s="1" t="str">
        <f t="shared" si="300"/>
        <v>East</v>
      </c>
      <c r="R738" s="1" t="str">
        <f t="shared" si="301"/>
        <v>OK</v>
      </c>
      <c r="S738" s="1" t="s">
        <v>284</v>
      </c>
      <c r="T738" s="1" t="str">
        <f t="shared" si="302"/>
        <v>Jharkhand</v>
      </c>
      <c r="U738" s="1" t="s">
        <v>285</v>
      </c>
      <c r="V738" s="1" t="str">
        <f t="shared" si="303"/>
        <v>Ranchi</v>
      </c>
      <c r="W738" s="1" t="s">
        <v>44</v>
      </c>
      <c r="X738" s="1" t="str">
        <f t="shared" si="304"/>
        <v>Furniture</v>
      </c>
      <c r="Y738" s="1" t="s">
        <v>74</v>
      </c>
      <c r="Z738" s="1" t="str">
        <f t="shared" si="305"/>
        <v>Chairs</v>
      </c>
      <c r="AA738" s="1" t="s">
        <v>2122</v>
      </c>
      <c r="AB738" s="1" t="s">
        <v>32</v>
      </c>
      <c r="AC738" s="1" t="str">
        <f t="shared" si="306"/>
        <v>Second Class</v>
      </c>
      <c r="AD738" s="1" t="str">
        <f t="shared" si="307"/>
        <v>OK</v>
      </c>
      <c r="AE738" s="1">
        <v>2</v>
      </c>
      <c r="AF738" s="1">
        <v>3686.42</v>
      </c>
      <c r="AG738" s="9">
        <v>0.1</v>
      </c>
      <c r="AH738" s="9">
        <f t="shared" si="308"/>
        <v>0.1</v>
      </c>
      <c r="AI738" s="1" t="str">
        <f t="shared" si="309"/>
        <v>OK</v>
      </c>
      <c r="AJ738" s="1">
        <v>6635.56</v>
      </c>
      <c r="AK738" s="1">
        <v>3652.91</v>
      </c>
      <c r="AL738" s="1">
        <v>2982.65</v>
      </c>
      <c r="AM738" s="13">
        <f t="shared" si="310"/>
        <v>6635.5560000000005</v>
      </c>
      <c r="AN738" s="9">
        <f t="shared" si="311"/>
        <v>2982.6460000000006</v>
      </c>
      <c r="AO738" s="9">
        <f t="shared" si="320"/>
        <v>0.44949451108543131</v>
      </c>
      <c r="AP738" s="1" t="s">
        <v>33</v>
      </c>
      <c r="AQ738" s="1" t="str">
        <f t="shared" si="312"/>
        <v>Paid</v>
      </c>
      <c r="AR738" s="1" t="str">
        <f t="shared" si="313"/>
        <v>OK</v>
      </c>
      <c r="AS738" s="1" t="s">
        <v>34</v>
      </c>
      <c r="AT738" s="4" t="str">
        <f t="shared" si="314"/>
        <v>Completed</v>
      </c>
      <c r="AU738" s="3" t="str">
        <f t="shared" si="315"/>
        <v>OK</v>
      </c>
      <c r="AV738" s="3" t="str">
        <f t="shared" si="321"/>
        <v>INVALID</v>
      </c>
      <c r="AW738" t="str">
        <f t="shared" si="322"/>
        <v>MATCH</v>
      </c>
      <c r="AX738" t="str">
        <f t="shared" si="323"/>
        <v>MATCH</v>
      </c>
    </row>
    <row r="739" spans="1:50" ht="15.6">
      <c r="A739" s="1" t="s">
        <v>2127</v>
      </c>
      <c r="B739" s="1">
        <f t="shared" si="297"/>
        <v>1</v>
      </c>
      <c r="C739" s="16">
        <v>45847</v>
      </c>
      <c r="D739" s="16">
        <v>45847</v>
      </c>
      <c r="E739" s="16" t="str">
        <f t="shared" si="316"/>
        <v>Jul</v>
      </c>
      <c r="F739" s="1">
        <f t="shared" si="317"/>
        <v>2025</v>
      </c>
      <c r="G739" t="s">
        <v>1873</v>
      </c>
      <c r="H739" s="17">
        <v>45332</v>
      </c>
      <c r="I739" s="21">
        <f t="shared" si="318"/>
        <v>-515</v>
      </c>
      <c r="J739" s="6" t="str">
        <f t="shared" si="319"/>
        <v>INVALID_SHIPPING</v>
      </c>
      <c r="K739" s="1" t="s">
        <v>2129</v>
      </c>
      <c r="L739" s="1" t="s">
        <v>24</v>
      </c>
      <c r="M739" s="1" t="str">
        <f t="shared" si="298"/>
        <v>Karan Malhotra</v>
      </c>
      <c r="N739" s="1" t="s">
        <v>25</v>
      </c>
      <c r="O739" s="1" t="str">
        <f t="shared" si="299"/>
        <v>Consumer</v>
      </c>
      <c r="P739" s="1" t="s">
        <v>26</v>
      </c>
      <c r="Q739" s="1" t="str">
        <f t="shared" si="300"/>
        <v>North</v>
      </c>
      <c r="R739" s="1" t="str">
        <f t="shared" si="301"/>
        <v>OK</v>
      </c>
      <c r="S739" s="1" t="s">
        <v>146</v>
      </c>
      <c r="T739" s="1" t="str">
        <f t="shared" si="302"/>
        <v>Punjab</v>
      </c>
      <c r="U739" s="1" t="s">
        <v>147</v>
      </c>
      <c r="V739" s="1" t="str">
        <f t="shared" si="303"/>
        <v>Ludhiana</v>
      </c>
      <c r="W739" s="1" t="s">
        <v>44</v>
      </c>
      <c r="X739" s="1" t="str">
        <f t="shared" si="304"/>
        <v>Furniture</v>
      </c>
      <c r="Y739" s="1" t="s">
        <v>74</v>
      </c>
      <c r="Z739" s="1" t="str">
        <f t="shared" si="305"/>
        <v>Chairs</v>
      </c>
      <c r="AA739" s="1" t="s">
        <v>2130</v>
      </c>
      <c r="AB739" s="1" t="s">
        <v>47</v>
      </c>
      <c r="AC739" s="1" t="str">
        <f t="shared" si="306"/>
        <v>Same Day</v>
      </c>
      <c r="AD739" s="1" t="str">
        <f t="shared" si="307"/>
        <v>OK</v>
      </c>
      <c r="AE739" s="1">
        <v>2</v>
      </c>
      <c r="AF739" s="1">
        <v>447.55</v>
      </c>
      <c r="AG739" s="9">
        <v>0.05</v>
      </c>
      <c r="AH739" s="9">
        <f t="shared" si="308"/>
        <v>0.05</v>
      </c>
      <c r="AI739" s="1" t="str">
        <f t="shared" si="309"/>
        <v>OK</v>
      </c>
      <c r="AJ739" s="1">
        <v>850.35</v>
      </c>
      <c r="AK739" s="1">
        <v>600.98</v>
      </c>
      <c r="AL739" s="1">
        <v>249.37</v>
      </c>
      <c r="AM739" s="13">
        <f t="shared" si="310"/>
        <v>850.34500000000003</v>
      </c>
      <c r="AN739" s="9">
        <f t="shared" si="311"/>
        <v>249.36500000000001</v>
      </c>
      <c r="AO739" s="9">
        <f t="shared" si="320"/>
        <v>0.29325156260106194</v>
      </c>
      <c r="AP739" s="1" t="s">
        <v>119</v>
      </c>
      <c r="AQ739" s="1" t="str">
        <f t="shared" si="312"/>
        <v>Refunded</v>
      </c>
      <c r="AR739" s="1" t="str">
        <f t="shared" si="313"/>
        <v>REFUNDED_PAYMENT</v>
      </c>
      <c r="AS739" s="1" t="s">
        <v>2131</v>
      </c>
      <c r="AT739" s="4" t="str">
        <f t="shared" si="314"/>
        <v>Cancelled</v>
      </c>
      <c r="AU739" s="3" t="str">
        <f t="shared" si="315"/>
        <v>EXCLUDE_FROM_SALES</v>
      </c>
      <c r="AV739" s="3" t="str">
        <f t="shared" si="321"/>
        <v>INVALID</v>
      </c>
      <c r="AW739" t="str">
        <f t="shared" si="322"/>
        <v>MATCH</v>
      </c>
      <c r="AX739" t="str">
        <f t="shared" si="323"/>
        <v>MATCH</v>
      </c>
    </row>
    <row r="740" spans="1:50" ht="15.6">
      <c r="A740" s="1" t="s">
        <v>2150</v>
      </c>
      <c r="B740" s="1">
        <f t="shared" si="297"/>
        <v>1</v>
      </c>
      <c r="C740" s="16">
        <v>45993</v>
      </c>
      <c r="D740" s="16">
        <v>45993</v>
      </c>
      <c r="E740" s="16" t="str">
        <f t="shared" si="316"/>
        <v>Dec</v>
      </c>
      <c r="F740" s="1">
        <f t="shared" si="317"/>
        <v>2025</v>
      </c>
      <c r="G740" t="s">
        <v>3004</v>
      </c>
      <c r="H740" s="17">
        <v>45710</v>
      </c>
      <c r="I740" s="21">
        <f t="shared" si="318"/>
        <v>-283</v>
      </c>
      <c r="J740" s="6" t="str">
        <f t="shared" si="319"/>
        <v>INVALID_SHIPPING</v>
      </c>
      <c r="K740" s="1" t="s">
        <v>2152</v>
      </c>
      <c r="L740" s="1" t="s">
        <v>59</v>
      </c>
      <c r="M740" s="1" t="str">
        <f t="shared" si="298"/>
        <v>Arjun Bose</v>
      </c>
      <c r="N740" s="1" t="s">
        <v>104</v>
      </c>
      <c r="O740" s="1" t="str">
        <f t="shared" si="299"/>
        <v>Corporate</v>
      </c>
      <c r="P740" s="1" t="s">
        <v>71</v>
      </c>
      <c r="Q740" s="1" t="str">
        <f t="shared" si="300"/>
        <v>West</v>
      </c>
      <c r="R740" s="1" t="str">
        <f t="shared" si="301"/>
        <v>OK</v>
      </c>
      <c r="S740" s="1" t="s">
        <v>218</v>
      </c>
      <c r="T740" s="1" t="str">
        <f t="shared" si="302"/>
        <v>Gujarat</v>
      </c>
      <c r="U740" s="1" t="s">
        <v>219</v>
      </c>
      <c r="V740" s="1" t="str">
        <f t="shared" si="303"/>
        <v>Ahmedabad</v>
      </c>
      <c r="W740" s="1" t="s">
        <v>29</v>
      </c>
      <c r="X740" s="1" t="str">
        <f t="shared" si="304"/>
        <v>Office Supplies</v>
      </c>
      <c r="Y740" s="1" t="s">
        <v>53</v>
      </c>
      <c r="Z740" s="1" t="str">
        <f t="shared" si="305"/>
        <v>Art</v>
      </c>
      <c r="AA740" s="1" t="s">
        <v>2153</v>
      </c>
      <c r="AB740" s="1" t="s">
        <v>65</v>
      </c>
      <c r="AC740" s="1" t="str">
        <f t="shared" si="306"/>
        <v>Standard Class</v>
      </c>
      <c r="AD740" s="1" t="str">
        <f t="shared" si="307"/>
        <v>OK</v>
      </c>
      <c r="AE740" s="1">
        <v>4</v>
      </c>
      <c r="AF740" s="1">
        <v>4328.12</v>
      </c>
      <c r="AG740" s="9">
        <v>0</v>
      </c>
      <c r="AH740" s="9">
        <f t="shared" si="308"/>
        <v>0</v>
      </c>
      <c r="AI740" s="1" t="str">
        <f t="shared" si="309"/>
        <v>OK</v>
      </c>
      <c r="AJ740" s="1">
        <v>17312.48</v>
      </c>
      <c r="AK740" s="1">
        <v>14424.22</v>
      </c>
      <c r="AL740" s="1">
        <v>2888.26</v>
      </c>
      <c r="AM740" s="13">
        <f t="shared" si="310"/>
        <v>17312.48</v>
      </c>
      <c r="AN740" s="9">
        <f t="shared" si="311"/>
        <v>2888.26</v>
      </c>
      <c r="AO740" s="9">
        <f t="shared" si="320"/>
        <v>0.16683109525613893</v>
      </c>
      <c r="AP740" s="1" t="s">
        <v>33</v>
      </c>
      <c r="AQ740" s="1" t="str">
        <f t="shared" si="312"/>
        <v>Paid</v>
      </c>
      <c r="AR740" s="1" t="str">
        <f t="shared" si="313"/>
        <v>OK</v>
      </c>
      <c r="AS740" s="1" t="s">
        <v>34</v>
      </c>
      <c r="AT740" s="4" t="str">
        <f t="shared" si="314"/>
        <v>Completed</v>
      </c>
      <c r="AU740" s="3" t="str">
        <f t="shared" si="315"/>
        <v>OK</v>
      </c>
      <c r="AV740" s="3" t="str">
        <f t="shared" si="321"/>
        <v>INVALID</v>
      </c>
      <c r="AW740" t="str">
        <f t="shared" si="322"/>
        <v>MATCH</v>
      </c>
      <c r="AX740" t="str">
        <f t="shared" si="323"/>
        <v>MATCH</v>
      </c>
    </row>
    <row r="741" spans="1:50" ht="15.6">
      <c r="A741" s="1" t="s">
        <v>2161</v>
      </c>
      <c r="B741" s="1">
        <f t="shared" si="297"/>
        <v>1</v>
      </c>
      <c r="C741" s="16">
        <v>45762</v>
      </c>
      <c r="D741" s="16">
        <v>45762</v>
      </c>
      <c r="E741" s="16" t="str">
        <f t="shared" si="316"/>
        <v>Apr</v>
      </c>
      <c r="F741" s="1">
        <f t="shared" si="317"/>
        <v>2025</v>
      </c>
      <c r="G741" t="s">
        <v>3008</v>
      </c>
      <c r="H741" s="17">
        <v>45636</v>
      </c>
      <c r="I741" s="21">
        <f t="shared" si="318"/>
        <v>-126</v>
      </c>
      <c r="J741" s="6" t="str">
        <f t="shared" si="319"/>
        <v>INVALID_SHIPPING</v>
      </c>
      <c r="K741" s="1" t="s">
        <v>2162</v>
      </c>
      <c r="L741" s="1" t="s">
        <v>52</v>
      </c>
      <c r="M741" s="1" t="str">
        <f t="shared" si="298"/>
        <v>Isha Nair</v>
      </c>
      <c r="N741" s="1" t="s">
        <v>40</v>
      </c>
      <c r="O741" s="1" t="str">
        <f t="shared" si="299"/>
        <v>Small Business</v>
      </c>
      <c r="P741" s="1" t="s">
        <v>26</v>
      </c>
      <c r="Q741" s="1" t="str">
        <f t="shared" si="300"/>
        <v>North</v>
      </c>
      <c r="R741" s="1" t="str">
        <f t="shared" si="301"/>
        <v>OK</v>
      </c>
      <c r="S741" s="1" t="s">
        <v>294</v>
      </c>
      <c r="T741" s="1" t="str">
        <f t="shared" si="302"/>
        <v>Haryana</v>
      </c>
      <c r="U741" s="1" t="s">
        <v>295</v>
      </c>
      <c r="V741" s="1" t="str">
        <f t="shared" si="303"/>
        <v>Gurugram</v>
      </c>
      <c r="W741" s="1" t="s">
        <v>29</v>
      </c>
      <c r="X741" s="1" t="str">
        <f t="shared" si="304"/>
        <v>Office Supplies</v>
      </c>
      <c r="Y741" s="1" t="s">
        <v>184</v>
      </c>
      <c r="Z741" s="1" t="str">
        <f t="shared" si="305"/>
        <v>Binders</v>
      </c>
      <c r="AA741" s="1" t="s">
        <v>2163</v>
      </c>
      <c r="AB741" s="1" t="s">
        <v>47</v>
      </c>
      <c r="AC741" s="1" t="str">
        <f t="shared" si="306"/>
        <v>Same Day</v>
      </c>
      <c r="AD741" s="1" t="str">
        <f t="shared" si="307"/>
        <v>OK</v>
      </c>
      <c r="AE741" s="1">
        <v>4</v>
      </c>
      <c r="AF741" s="1">
        <v>2990.42</v>
      </c>
      <c r="AG741" s="9">
        <v>0.25</v>
      </c>
      <c r="AH741" s="9">
        <f t="shared" si="308"/>
        <v>0.25</v>
      </c>
      <c r="AI741" s="1" t="str">
        <f t="shared" si="309"/>
        <v>OK</v>
      </c>
      <c r="AJ741" s="1">
        <v>8971.26</v>
      </c>
      <c r="AK741" s="1">
        <v>6814.35</v>
      </c>
      <c r="AL741" s="1">
        <v>2156.91</v>
      </c>
      <c r="AM741" s="13">
        <f t="shared" si="310"/>
        <v>8971.26</v>
      </c>
      <c r="AN741" s="9">
        <f t="shared" si="311"/>
        <v>2156.91</v>
      </c>
      <c r="AO741" s="9">
        <f t="shared" si="320"/>
        <v>0.24042442198754688</v>
      </c>
      <c r="AP741" s="1" t="s">
        <v>33</v>
      </c>
      <c r="AQ741" s="1" t="str">
        <f t="shared" si="312"/>
        <v>Paid</v>
      </c>
      <c r="AR741" s="1" t="str">
        <f t="shared" si="313"/>
        <v>OK</v>
      </c>
      <c r="AS741" s="1" t="s">
        <v>34</v>
      </c>
      <c r="AT741" s="4" t="str">
        <f t="shared" si="314"/>
        <v>Completed</v>
      </c>
      <c r="AU741" s="3" t="str">
        <f t="shared" si="315"/>
        <v>OK</v>
      </c>
      <c r="AV741" s="3" t="str">
        <f t="shared" si="321"/>
        <v>INVALID</v>
      </c>
      <c r="AW741" t="str">
        <f t="shared" si="322"/>
        <v>MATCH</v>
      </c>
      <c r="AX741" t="str">
        <f t="shared" si="323"/>
        <v>MATCH</v>
      </c>
    </row>
    <row r="742" spans="1:50" ht="15.6">
      <c r="A742" s="1" t="s">
        <v>2167</v>
      </c>
      <c r="B742" s="1">
        <f t="shared" si="297"/>
        <v>1</v>
      </c>
      <c r="C742" s="16">
        <v>45996</v>
      </c>
      <c r="D742" s="16">
        <v>45996</v>
      </c>
      <c r="E742" s="16" t="str">
        <f t="shared" si="316"/>
        <v>Dec</v>
      </c>
      <c r="F742" s="1">
        <f t="shared" si="317"/>
        <v>2025</v>
      </c>
      <c r="G742" t="s">
        <v>1908</v>
      </c>
      <c r="H742" s="17">
        <v>45384</v>
      </c>
      <c r="I742" s="21">
        <f t="shared" si="318"/>
        <v>-612</v>
      </c>
      <c r="J742" s="6" t="str">
        <f t="shared" si="319"/>
        <v>INVALID_SHIPPING</v>
      </c>
      <c r="K742" s="1" t="s">
        <v>2169</v>
      </c>
      <c r="L742" s="1" t="s">
        <v>90</v>
      </c>
      <c r="M742" s="1" t="str">
        <f t="shared" si="298"/>
        <v>Neha Gupta</v>
      </c>
      <c r="N742" s="1" t="s">
        <v>25</v>
      </c>
      <c r="O742" s="1" t="str">
        <f t="shared" si="299"/>
        <v>Consumer</v>
      </c>
      <c r="P742" s="1" t="s">
        <v>71</v>
      </c>
      <c r="Q742" s="1" t="str">
        <f t="shared" si="300"/>
        <v>West</v>
      </c>
      <c r="R742" s="1" t="str">
        <f t="shared" si="301"/>
        <v>OK</v>
      </c>
      <c r="S742" s="1" t="s">
        <v>218</v>
      </c>
      <c r="T742" s="1" t="str">
        <f t="shared" si="302"/>
        <v>Gujarat</v>
      </c>
      <c r="U742" s="1" t="s">
        <v>219</v>
      </c>
      <c r="V742" s="1" t="str">
        <f t="shared" si="303"/>
        <v>Ahmedabad</v>
      </c>
      <c r="W742" s="1" t="s">
        <v>83</v>
      </c>
      <c r="X742" s="1" t="str">
        <f t="shared" si="304"/>
        <v>Technology</v>
      </c>
      <c r="Y742" s="1" t="s">
        <v>347</v>
      </c>
      <c r="Z742" s="1" t="str">
        <f t="shared" si="305"/>
        <v>Machines</v>
      </c>
      <c r="AA742" s="1" t="s">
        <v>2170</v>
      </c>
      <c r="AB742" s="1" t="s">
        <v>47</v>
      </c>
      <c r="AC742" s="1" t="str">
        <f t="shared" si="306"/>
        <v>Same Day</v>
      </c>
      <c r="AD742" s="1" t="str">
        <f t="shared" si="307"/>
        <v>OK</v>
      </c>
      <c r="AE742" s="1">
        <v>8</v>
      </c>
      <c r="AF742" s="1">
        <v>3631.44</v>
      </c>
      <c r="AG742" s="9">
        <v>0.2</v>
      </c>
      <c r="AH742" s="9">
        <f t="shared" si="308"/>
        <v>0.2</v>
      </c>
      <c r="AI742" s="1" t="str">
        <f t="shared" si="309"/>
        <v>OK</v>
      </c>
      <c r="AJ742" s="1">
        <v>23241.22</v>
      </c>
      <c r="AK742" s="1">
        <v>17220.900000000001</v>
      </c>
      <c r="AL742" s="1">
        <v>6020.32</v>
      </c>
      <c r="AM742" s="13">
        <f t="shared" si="310"/>
        <v>23241.216</v>
      </c>
      <c r="AN742" s="9">
        <f t="shared" si="311"/>
        <v>6020.3159999999989</v>
      </c>
      <c r="AO742" s="9">
        <f t="shared" si="320"/>
        <v>0.25903618812371948</v>
      </c>
      <c r="AP742" s="1" t="s">
        <v>33</v>
      </c>
      <c r="AQ742" s="1" t="str">
        <f t="shared" si="312"/>
        <v>Paid</v>
      </c>
      <c r="AR742" s="1" t="str">
        <f t="shared" si="313"/>
        <v>OK</v>
      </c>
      <c r="AS742" s="1" t="s">
        <v>34</v>
      </c>
      <c r="AT742" s="4" t="str">
        <f t="shared" si="314"/>
        <v>Completed</v>
      </c>
      <c r="AU742" s="3" t="str">
        <f t="shared" si="315"/>
        <v>OK</v>
      </c>
      <c r="AV742" s="3" t="str">
        <f t="shared" si="321"/>
        <v>INVALID</v>
      </c>
      <c r="AW742" t="str">
        <f t="shared" si="322"/>
        <v>MATCH</v>
      </c>
      <c r="AX742" t="str">
        <f t="shared" si="323"/>
        <v>MATCH</v>
      </c>
    </row>
    <row r="743" spans="1:50" ht="15.6" hidden="1">
      <c r="A743" s="1" t="s">
        <v>2180</v>
      </c>
      <c r="B743" s="1">
        <f t="shared" si="297"/>
        <v>1</v>
      </c>
      <c r="C743" s="16">
        <v>45691</v>
      </c>
      <c r="D743" s="16">
        <v>45691</v>
      </c>
      <c r="E743" s="16" t="str">
        <f t="shared" si="316"/>
        <v>Feb</v>
      </c>
      <c r="F743" s="1">
        <f t="shared" si="317"/>
        <v>2025</v>
      </c>
      <c r="G743" t="s">
        <v>3014</v>
      </c>
      <c r="H743" s="17">
        <v>45772</v>
      </c>
      <c r="I743" s="21">
        <f t="shared" si="318"/>
        <v>81</v>
      </c>
      <c r="J743" s="6" t="str">
        <f t="shared" si="319"/>
        <v>OK</v>
      </c>
      <c r="K743" s="1" t="s">
        <v>1674</v>
      </c>
      <c r="L743" s="1" t="s">
        <v>52</v>
      </c>
      <c r="M743" s="1" t="str">
        <f t="shared" si="298"/>
        <v>Isha Nair</v>
      </c>
      <c r="N743" s="1" t="s">
        <v>104</v>
      </c>
      <c r="O743" s="1" t="str">
        <f t="shared" si="299"/>
        <v>Corporate</v>
      </c>
      <c r="P743" s="1" t="s">
        <v>60</v>
      </c>
      <c r="Q743" s="1" t="str">
        <f t="shared" si="300"/>
        <v>South</v>
      </c>
      <c r="R743" s="1" t="str">
        <f t="shared" si="301"/>
        <v>OK</v>
      </c>
      <c r="S743" s="1" t="s">
        <v>224</v>
      </c>
      <c r="T743" s="1" t="str">
        <f t="shared" si="302"/>
        <v>Kerala</v>
      </c>
      <c r="U743" s="1" t="s">
        <v>225</v>
      </c>
      <c r="V743" s="1" t="str">
        <f t="shared" si="303"/>
        <v>Kochi</v>
      </c>
      <c r="W743" s="1" t="s">
        <v>29</v>
      </c>
      <c r="X743" s="1" t="str">
        <f t="shared" si="304"/>
        <v>Office Supplies</v>
      </c>
      <c r="Y743" s="1" t="s">
        <v>105</v>
      </c>
      <c r="Z743" s="1" t="str">
        <f t="shared" si="305"/>
        <v>Labels</v>
      </c>
      <c r="AA743" s="1" t="s">
        <v>2182</v>
      </c>
      <c r="AB743" s="1" t="s">
        <v>32</v>
      </c>
      <c r="AC743" s="1" t="str">
        <f t="shared" si="306"/>
        <v>Second Class</v>
      </c>
      <c r="AD743" s="1" t="str">
        <f t="shared" si="307"/>
        <v>OK</v>
      </c>
      <c r="AE743" s="1">
        <v>2</v>
      </c>
      <c r="AF743" s="1">
        <v>4031.45</v>
      </c>
      <c r="AG743" s="9">
        <v>0.25</v>
      </c>
      <c r="AH743" s="9">
        <f t="shared" si="308"/>
        <v>0.25</v>
      </c>
      <c r="AI743" s="1" t="str">
        <f t="shared" si="309"/>
        <v>OK</v>
      </c>
      <c r="AJ743" s="1">
        <v>6047.17</v>
      </c>
      <c r="AK743" s="1">
        <v>3368.79</v>
      </c>
      <c r="AL743" s="1">
        <v>2678.38</v>
      </c>
      <c r="AM743" s="13">
        <f t="shared" si="310"/>
        <v>6047.1749999999993</v>
      </c>
      <c r="AN743" s="9">
        <f t="shared" si="311"/>
        <v>2678.3849999999993</v>
      </c>
      <c r="AO743" s="9">
        <f t="shared" si="320"/>
        <v>0.44291508018206843</v>
      </c>
      <c r="AP743" s="1" t="s">
        <v>33</v>
      </c>
      <c r="AQ743" s="1" t="str">
        <f t="shared" si="312"/>
        <v>Paid</v>
      </c>
      <c r="AR743" s="1" t="str">
        <f t="shared" si="313"/>
        <v>OK</v>
      </c>
      <c r="AS743" s="1" t="s">
        <v>34</v>
      </c>
      <c r="AT743" s="4" t="str">
        <f t="shared" si="314"/>
        <v>Completed</v>
      </c>
      <c r="AU743" s="3" t="str">
        <f t="shared" si="315"/>
        <v>OK</v>
      </c>
      <c r="AV743" s="3" t="str">
        <f t="shared" si="321"/>
        <v>CLEAN</v>
      </c>
      <c r="AW743" t="str">
        <f t="shared" si="322"/>
        <v>MISMATCH</v>
      </c>
      <c r="AX743" t="str">
        <f t="shared" si="323"/>
        <v>MISMATCH</v>
      </c>
    </row>
    <row r="744" spans="1:50" ht="15.6">
      <c r="A744" s="1" t="s">
        <v>2183</v>
      </c>
      <c r="B744" s="1">
        <f t="shared" si="297"/>
        <v>1</v>
      </c>
      <c r="C744" s="16">
        <v>45835</v>
      </c>
      <c r="D744" s="16">
        <v>45835</v>
      </c>
      <c r="E744" s="16" t="str">
        <f t="shared" si="316"/>
        <v>Jun</v>
      </c>
      <c r="F744" s="1">
        <f t="shared" si="317"/>
        <v>2025</v>
      </c>
      <c r="G744" t="s">
        <v>3018</v>
      </c>
      <c r="H744" s="17">
        <v>45587</v>
      </c>
      <c r="I744" s="21">
        <f t="shared" si="318"/>
        <v>-248</v>
      </c>
      <c r="J744" s="6" t="str">
        <f t="shared" si="319"/>
        <v>INVALID_SHIPPING</v>
      </c>
      <c r="K744" s="1" t="s">
        <v>2184</v>
      </c>
      <c r="L744" s="1" t="s">
        <v>153</v>
      </c>
      <c r="M744" s="1" t="str">
        <f t="shared" si="298"/>
        <v>Aarav Sharma</v>
      </c>
      <c r="N744" s="1" t="s">
        <v>104</v>
      </c>
      <c r="O744" s="1" t="str">
        <f t="shared" si="299"/>
        <v>Corporate</v>
      </c>
      <c r="P744" s="1" t="s">
        <v>60</v>
      </c>
      <c r="Q744" s="1" t="str">
        <f t="shared" si="300"/>
        <v>South</v>
      </c>
      <c r="R744" s="1" t="str">
        <f t="shared" si="301"/>
        <v>OK</v>
      </c>
      <c r="S744" s="1" t="s">
        <v>224</v>
      </c>
      <c r="T744" s="1" t="str">
        <f t="shared" si="302"/>
        <v>Kerala</v>
      </c>
      <c r="U744" s="1" t="s">
        <v>225</v>
      </c>
      <c r="V744" s="1" t="str">
        <f t="shared" si="303"/>
        <v>Kochi</v>
      </c>
      <c r="W744" s="1" t="s">
        <v>83</v>
      </c>
      <c r="X744" s="1" t="str">
        <f t="shared" si="304"/>
        <v>Technology</v>
      </c>
      <c r="Y744" s="1" t="s">
        <v>84</v>
      </c>
      <c r="Z744" s="1" t="str">
        <f t="shared" si="305"/>
        <v>Accessories</v>
      </c>
      <c r="AA744" s="1" t="s">
        <v>2185</v>
      </c>
      <c r="AB744" s="1" t="s">
        <v>55</v>
      </c>
      <c r="AC744" s="1" t="str">
        <f t="shared" si="306"/>
        <v>First Class</v>
      </c>
      <c r="AD744" s="1" t="str">
        <f t="shared" si="307"/>
        <v>OK</v>
      </c>
      <c r="AE744" s="1">
        <v>6</v>
      </c>
      <c r="AF744" s="1">
        <v>1099.49</v>
      </c>
      <c r="AG744" s="9">
        <v>0.1</v>
      </c>
      <c r="AH744" s="9">
        <f t="shared" si="308"/>
        <v>0.1</v>
      </c>
      <c r="AI744" s="1" t="str">
        <f t="shared" si="309"/>
        <v>OK</v>
      </c>
      <c r="AJ744" s="1">
        <v>6212.38</v>
      </c>
      <c r="AK744" s="1">
        <v>4088.46</v>
      </c>
      <c r="AL744" s="1">
        <v>1848.79</v>
      </c>
      <c r="AM744" s="13">
        <f t="shared" si="310"/>
        <v>5937.246000000001</v>
      </c>
      <c r="AN744" s="9">
        <f t="shared" si="311"/>
        <v>1848.786000000001</v>
      </c>
      <c r="AO744" s="9">
        <f t="shared" si="320"/>
        <v>0.31138780505304997</v>
      </c>
      <c r="AP744" s="1" t="s">
        <v>33</v>
      </c>
      <c r="AQ744" s="1" t="str">
        <f t="shared" si="312"/>
        <v>Paid</v>
      </c>
      <c r="AR744" s="1" t="str">
        <f t="shared" si="313"/>
        <v>OK</v>
      </c>
      <c r="AS744" s="1" t="s">
        <v>34</v>
      </c>
      <c r="AT744" s="4" t="str">
        <f t="shared" si="314"/>
        <v>Completed</v>
      </c>
      <c r="AU744" s="3" t="str">
        <f t="shared" si="315"/>
        <v>OK</v>
      </c>
      <c r="AV744" s="3" t="str">
        <f t="shared" si="321"/>
        <v>INVALID</v>
      </c>
      <c r="AW744" t="str">
        <f t="shared" si="322"/>
        <v>MISMATCH</v>
      </c>
      <c r="AX744" t="str">
        <f t="shared" si="323"/>
        <v>MATCH</v>
      </c>
    </row>
    <row r="745" spans="1:50" ht="15.6">
      <c r="A745" s="1" t="s">
        <v>2189</v>
      </c>
      <c r="B745" s="1">
        <f t="shared" si="297"/>
        <v>1</v>
      </c>
      <c r="C745" s="16">
        <v>45965</v>
      </c>
      <c r="D745" s="16">
        <v>45965</v>
      </c>
      <c r="E745" s="16" t="str">
        <f t="shared" si="316"/>
        <v>Nov</v>
      </c>
      <c r="F745" s="1">
        <f t="shared" si="317"/>
        <v>2025</v>
      </c>
      <c r="G745" t="s">
        <v>1709</v>
      </c>
      <c r="H745" s="17">
        <v>45702</v>
      </c>
      <c r="I745" s="21">
        <f t="shared" si="318"/>
        <v>-263</v>
      </c>
      <c r="J745" s="6" t="str">
        <f t="shared" si="319"/>
        <v>INVALID_SHIPPING</v>
      </c>
      <c r="K745" s="1" t="s">
        <v>2191</v>
      </c>
      <c r="L745" s="1" t="s">
        <v>141</v>
      </c>
      <c r="M745" s="1" t="str">
        <f t="shared" si="298"/>
        <v>Rahul Verma</v>
      </c>
      <c r="N745" s="1" t="s">
        <v>104</v>
      </c>
      <c r="O745" s="1" t="str">
        <f t="shared" si="299"/>
        <v>Corporate</v>
      </c>
      <c r="P745" s="1" t="s">
        <v>26</v>
      </c>
      <c r="Q745" s="1" t="str">
        <f t="shared" si="300"/>
        <v>North</v>
      </c>
      <c r="R745" s="1" t="str">
        <f t="shared" si="301"/>
        <v>OK</v>
      </c>
      <c r="S745" s="1" t="s">
        <v>454</v>
      </c>
      <c r="T745" s="1" t="str">
        <f t="shared" si="302"/>
        <v>Delhi</v>
      </c>
      <c r="U745" s="1" t="s">
        <v>455</v>
      </c>
      <c r="V745" s="1" t="str">
        <f t="shared" si="303"/>
        <v>New Delhi</v>
      </c>
      <c r="W745" s="1" t="s">
        <v>29</v>
      </c>
      <c r="X745" s="1" t="str">
        <f t="shared" si="304"/>
        <v>Office Supplies</v>
      </c>
      <c r="Y745" s="1" t="s">
        <v>30</v>
      </c>
      <c r="Z745" s="1" t="str">
        <f t="shared" si="305"/>
        <v>Paper</v>
      </c>
      <c r="AA745" s="1" t="s">
        <v>2192</v>
      </c>
      <c r="AB745" s="1" t="s">
        <v>65</v>
      </c>
      <c r="AC745" s="1" t="str">
        <f t="shared" si="306"/>
        <v>Standard Class</v>
      </c>
      <c r="AD745" s="1" t="str">
        <f t="shared" si="307"/>
        <v>OK</v>
      </c>
      <c r="AE745" s="1">
        <v>1</v>
      </c>
      <c r="AF745" s="1">
        <v>4458.49</v>
      </c>
      <c r="AG745" s="9">
        <v>-7.0000000000000007E-2</v>
      </c>
      <c r="AH745" s="9">
        <f t="shared" si="308"/>
        <v>-7.0000000000000007E-2</v>
      </c>
      <c r="AI745" s="1" t="str">
        <f t="shared" si="309"/>
        <v>Invalid Negative Discount</v>
      </c>
      <c r="AJ745" s="1">
        <v>3566.79</v>
      </c>
      <c r="AK745" s="1">
        <v>2083.41</v>
      </c>
      <c r="AL745" s="1">
        <v>1483.38</v>
      </c>
      <c r="AM745" s="13" t="str">
        <f t="shared" si="310"/>
        <v>INVALID</v>
      </c>
      <c r="AN745" s="9" t="str">
        <f t="shared" si="311"/>
        <v>INVALID</v>
      </c>
      <c r="AO745" s="9" t="str">
        <f t="shared" si="320"/>
        <v/>
      </c>
      <c r="AP745" s="1" t="s">
        <v>33</v>
      </c>
      <c r="AQ745" s="1" t="str">
        <f t="shared" si="312"/>
        <v>Paid</v>
      </c>
      <c r="AR745" s="1" t="str">
        <f t="shared" si="313"/>
        <v>OK</v>
      </c>
      <c r="AS745" s="1" t="s">
        <v>34</v>
      </c>
      <c r="AT745" s="4" t="str">
        <f t="shared" si="314"/>
        <v>Completed</v>
      </c>
      <c r="AU745" s="3" t="str">
        <f t="shared" si="315"/>
        <v>OK</v>
      </c>
      <c r="AV745" s="3" t="str">
        <f t="shared" si="321"/>
        <v>INVALID</v>
      </c>
      <c r="AW745" t="str">
        <f t="shared" si="322"/>
        <v>INVALID</v>
      </c>
      <c r="AX745" t="str">
        <f t="shared" si="323"/>
        <v>INVALID</v>
      </c>
    </row>
    <row r="746" spans="1:50" ht="15.6" hidden="1">
      <c r="A746" s="1" t="s">
        <v>2197</v>
      </c>
      <c r="B746" s="1">
        <f t="shared" si="297"/>
        <v>1</v>
      </c>
      <c r="C746" s="16">
        <v>45802</v>
      </c>
      <c r="D746" s="16">
        <v>45802</v>
      </c>
      <c r="E746" s="16" t="str">
        <f t="shared" si="316"/>
        <v>May</v>
      </c>
      <c r="F746" s="1">
        <f t="shared" si="317"/>
        <v>2025</v>
      </c>
      <c r="G746" t="s">
        <v>1293</v>
      </c>
      <c r="H746" s="17">
        <v>45889</v>
      </c>
      <c r="I746" s="21">
        <f t="shared" si="318"/>
        <v>87</v>
      </c>
      <c r="J746" s="6" t="str">
        <f t="shared" si="319"/>
        <v>OK</v>
      </c>
      <c r="K746" s="1" t="s">
        <v>2198</v>
      </c>
      <c r="L746" s="1" t="s">
        <v>141</v>
      </c>
      <c r="M746" s="1" t="str">
        <f t="shared" si="298"/>
        <v>Rahul Verma</v>
      </c>
      <c r="N746" s="1" t="s">
        <v>25</v>
      </c>
      <c r="O746" s="1" t="str">
        <f t="shared" si="299"/>
        <v>Consumer</v>
      </c>
      <c r="P746" s="1" t="s">
        <v>41</v>
      </c>
      <c r="Q746" s="1" t="str">
        <f t="shared" si="300"/>
        <v>East</v>
      </c>
      <c r="R746" s="1" t="str">
        <f t="shared" si="301"/>
        <v>OK</v>
      </c>
      <c r="S746" s="1" t="s">
        <v>42</v>
      </c>
      <c r="T746" s="1" t="str">
        <f t="shared" si="302"/>
        <v>Odisha</v>
      </c>
      <c r="U746" s="1" t="s">
        <v>43</v>
      </c>
      <c r="V746" s="1" t="str">
        <f t="shared" si="303"/>
        <v>Bhubaneswar</v>
      </c>
      <c r="W746" s="1" t="s">
        <v>44</v>
      </c>
      <c r="X746" s="1" t="str">
        <f t="shared" si="304"/>
        <v>Furniture</v>
      </c>
      <c r="Y746" s="1" t="s">
        <v>63</v>
      </c>
      <c r="Z746" s="1" t="str">
        <f t="shared" si="305"/>
        <v>Furnishings</v>
      </c>
      <c r="AA746" s="1" t="s">
        <v>2199</v>
      </c>
      <c r="AB746" s="1" t="s">
        <v>32</v>
      </c>
      <c r="AC746" s="1" t="str">
        <f t="shared" si="306"/>
        <v>Second Class</v>
      </c>
      <c r="AD746" s="1" t="str">
        <f t="shared" si="307"/>
        <v>OK</v>
      </c>
      <c r="AE746" s="1">
        <v>7</v>
      </c>
      <c r="AF746" s="1">
        <v>2123.2800000000002</v>
      </c>
      <c r="AG746" s="9">
        <v>0.2</v>
      </c>
      <c r="AH746" s="9">
        <f t="shared" si="308"/>
        <v>0.2</v>
      </c>
      <c r="AI746" s="1" t="str">
        <f t="shared" si="309"/>
        <v>OK</v>
      </c>
      <c r="AJ746" s="1">
        <v>11890.37</v>
      </c>
      <c r="AK746" s="1">
        <v>9234.5300000000007</v>
      </c>
      <c r="AL746" s="1">
        <v>2655.84</v>
      </c>
      <c r="AM746" s="13">
        <f t="shared" si="310"/>
        <v>11890.368000000002</v>
      </c>
      <c r="AN746" s="9">
        <f t="shared" si="311"/>
        <v>2655.8380000000016</v>
      </c>
      <c r="AO746" s="9">
        <f t="shared" si="320"/>
        <v>0.22336045444514427</v>
      </c>
      <c r="AP746" s="1" t="s">
        <v>119</v>
      </c>
      <c r="AQ746" s="1" t="str">
        <f t="shared" si="312"/>
        <v>Refunded</v>
      </c>
      <c r="AR746" s="1" t="str">
        <f t="shared" si="313"/>
        <v>REFUNDED_PAYMENT</v>
      </c>
      <c r="AS746" s="1" t="s">
        <v>120</v>
      </c>
      <c r="AT746" s="4" t="str">
        <f t="shared" si="314"/>
        <v>Returned</v>
      </c>
      <c r="AU746" s="3" t="str">
        <f t="shared" si="315"/>
        <v>RETURNED_ORDER</v>
      </c>
      <c r="AV746" s="3" t="str">
        <f t="shared" si="321"/>
        <v>CLEAN</v>
      </c>
      <c r="AW746" t="str">
        <f t="shared" si="322"/>
        <v>MATCH</v>
      </c>
      <c r="AX746" t="str">
        <f t="shared" si="323"/>
        <v>MATCH</v>
      </c>
    </row>
    <row r="747" spans="1:50" ht="15.6">
      <c r="A747" s="1" t="s">
        <v>2200</v>
      </c>
      <c r="B747" s="1">
        <f t="shared" si="297"/>
        <v>1</v>
      </c>
      <c r="C747" s="16">
        <v>45777</v>
      </c>
      <c r="D747" s="16">
        <v>45777</v>
      </c>
      <c r="E747" s="16" t="str">
        <f t="shared" si="316"/>
        <v>Apr</v>
      </c>
      <c r="F747" s="1">
        <f t="shared" si="317"/>
        <v>2025</v>
      </c>
      <c r="G747" t="s">
        <v>3029</v>
      </c>
      <c r="H747" s="17">
        <v>45593</v>
      </c>
      <c r="I747" s="21">
        <f t="shared" si="318"/>
        <v>-184</v>
      </c>
      <c r="J747" s="6" t="str">
        <f t="shared" si="319"/>
        <v>INVALID_SHIPPING</v>
      </c>
      <c r="K747" s="1" t="s">
        <v>2202</v>
      </c>
      <c r="L747" s="1" t="s">
        <v>196</v>
      </c>
      <c r="M747" s="1" t="str">
        <f t="shared" si="298"/>
        <v>Diya Patel</v>
      </c>
      <c r="N747" s="1" t="s">
        <v>104</v>
      </c>
      <c r="O747" s="1" t="str">
        <f t="shared" si="299"/>
        <v>Corporate</v>
      </c>
      <c r="P747" s="1" t="s">
        <v>41</v>
      </c>
      <c r="Q747" s="1" t="str">
        <f t="shared" si="300"/>
        <v>East</v>
      </c>
      <c r="R747" s="1" t="str">
        <f t="shared" si="301"/>
        <v>OK</v>
      </c>
      <c r="S747" s="1" t="s">
        <v>42</v>
      </c>
      <c r="T747" s="1" t="str">
        <f t="shared" si="302"/>
        <v>Odisha</v>
      </c>
      <c r="U747" s="1" t="s">
        <v>43</v>
      </c>
      <c r="V747" s="1" t="str">
        <f t="shared" si="303"/>
        <v>Bhubaneswar</v>
      </c>
      <c r="W747" s="1" t="s">
        <v>44</v>
      </c>
      <c r="X747" s="1" t="str">
        <f t="shared" si="304"/>
        <v>Furniture</v>
      </c>
      <c r="Y747" s="1" t="s">
        <v>45</v>
      </c>
      <c r="Z747" s="1" t="str">
        <f t="shared" si="305"/>
        <v>Tables</v>
      </c>
      <c r="AA747" s="1" t="s">
        <v>2203</v>
      </c>
      <c r="AB747" s="1" t="s">
        <v>55</v>
      </c>
      <c r="AC747" s="1" t="str">
        <f t="shared" si="306"/>
        <v>First Class</v>
      </c>
      <c r="AD747" s="1" t="str">
        <f t="shared" si="307"/>
        <v>OK</v>
      </c>
      <c r="AE747" s="1">
        <v>7</v>
      </c>
      <c r="AF747" s="1">
        <v>1604.13</v>
      </c>
      <c r="AG747" s="9">
        <v>0.25</v>
      </c>
      <c r="AH747" s="9">
        <f t="shared" si="308"/>
        <v>0.25</v>
      </c>
      <c r="AI747" s="1" t="str">
        <f t="shared" si="309"/>
        <v>OK</v>
      </c>
      <c r="AJ747" s="1">
        <v>8421.68</v>
      </c>
      <c r="AK747" s="1">
        <v>6534.47</v>
      </c>
      <c r="AL747" s="1">
        <v>1887.21</v>
      </c>
      <c r="AM747" s="13">
        <f t="shared" si="310"/>
        <v>8421.682499999999</v>
      </c>
      <c r="AN747" s="9">
        <f t="shared" si="311"/>
        <v>1887.2124999999987</v>
      </c>
      <c r="AO747" s="9">
        <f t="shared" si="320"/>
        <v>0.22408972316398759</v>
      </c>
      <c r="AP747" s="1" t="s">
        <v>33</v>
      </c>
      <c r="AQ747" s="1" t="str">
        <f t="shared" si="312"/>
        <v>Paid</v>
      </c>
      <c r="AR747" s="1" t="str">
        <f t="shared" si="313"/>
        <v>OK</v>
      </c>
      <c r="AS747" s="1" t="s">
        <v>76</v>
      </c>
      <c r="AT747" s="4" t="str">
        <f t="shared" si="314"/>
        <v>Cancelled</v>
      </c>
      <c r="AU747" s="3" t="str">
        <f t="shared" si="315"/>
        <v>EXCLUDE_FROM_SALES</v>
      </c>
      <c r="AV747" s="3" t="str">
        <f t="shared" si="321"/>
        <v>INVALID</v>
      </c>
      <c r="AW747" t="str">
        <f t="shared" si="322"/>
        <v>MATCH</v>
      </c>
      <c r="AX747" t="str">
        <f t="shared" si="323"/>
        <v>MATCH</v>
      </c>
    </row>
    <row r="748" spans="1:50" ht="15.6" hidden="1">
      <c r="A748" s="1" t="s">
        <v>2204</v>
      </c>
      <c r="B748" s="1">
        <f t="shared" si="297"/>
        <v>1</v>
      </c>
      <c r="C748" s="16">
        <v>45841</v>
      </c>
      <c r="D748" s="16">
        <v>45841</v>
      </c>
      <c r="E748" s="16" t="str">
        <f t="shared" si="316"/>
        <v>Jul</v>
      </c>
      <c r="F748" s="1">
        <f t="shared" si="317"/>
        <v>2025</v>
      </c>
      <c r="G748" t="s">
        <v>3033</v>
      </c>
      <c r="H748" s="17">
        <v>45931</v>
      </c>
      <c r="I748" s="21">
        <f t="shared" si="318"/>
        <v>90</v>
      </c>
      <c r="J748" s="6" t="str">
        <f t="shared" si="319"/>
        <v>OK</v>
      </c>
      <c r="K748" s="1" t="s">
        <v>2206</v>
      </c>
      <c r="L748" s="1" t="s">
        <v>136</v>
      </c>
      <c r="M748" s="1" t="str">
        <f t="shared" si="298"/>
        <v>Priya Menon</v>
      </c>
      <c r="N748" s="1" t="s">
        <v>25</v>
      </c>
      <c r="O748" s="1" t="str">
        <f t="shared" si="299"/>
        <v>Consumer</v>
      </c>
      <c r="P748" s="1" t="s">
        <v>26</v>
      </c>
      <c r="Q748" s="1" t="str">
        <f t="shared" si="300"/>
        <v>North</v>
      </c>
      <c r="R748" s="1" t="str">
        <f t="shared" si="301"/>
        <v>OK</v>
      </c>
      <c r="S748" s="1" t="s">
        <v>163</v>
      </c>
      <c r="T748" s="1" t="str">
        <f t="shared" si="302"/>
        <v>Uttar Pradesh</v>
      </c>
      <c r="U748" s="1" t="s">
        <v>164</v>
      </c>
      <c r="V748" s="1" t="str">
        <f t="shared" si="303"/>
        <v>Noida</v>
      </c>
      <c r="W748" s="1" t="s">
        <v>44</v>
      </c>
      <c r="X748" s="1" t="str">
        <f t="shared" si="304"/>
        <v>Furniture</v>
      </c>
      <c r="Y748" s="1" t="s">
        <v>45</v>
      </c>
      <c r="Z748" s="1" t="str">
        <f t="shared" si="305"/>
        <v>Tables</v>
      </c>
      <c r="AA748" s="1" t="s">
        <v>2207</v>
      </c>
      <c r="AB748" s="1" t="s">
        <v>65</v>
      </c>
      <c r="AC748" s="1" t="str">
        <f t="shared" si="306"/>
        <v>Standard Class</v>
      </c>
      <c r="AD748" s="1" t="str">
        <f t="shared" si="307"/>
        <v>OK</v>
      </c>
      <c r="AE748" s="1">
        <v>4</v>
      </c>
      <c r="AF748" s="1">
        <v>4365.21</v>
      </c>
      <c r="AG748" s="9">
        <v>0.2</v>
      </c>
      <c r="AH748" s="9">
        <f t="shared" si="308"/>
        <v>0.2</v>
      </c>
      <c r="AI748" s="1" t="str">
        <f t="shared" si="309"/>
        <v>OK</v>
      </c>
      <c r="AJ748" s="1">
        <v>13968.67</v>
      </c>
      <c r="AK748" s="1">
        <v>8857.58</v>
      </c>
      <c r="AL748" s="1">
        <v>5111.09</v>
      </c>
      <c r="AM748" s="13">
        <f t="shared" si="310"/>
        <v>13968.672</v>
      </c>
      <c r="AN748" s="9">
        <f t="shared" si="311"/>
        <v>5111.0920000000006</v>
      </c>
      <c r="AO748" s="9">
        <f t="shared" si="320"/>
        <v>0.36589677243477409</v>
      </c>
      <c r="AP748" s="1" t="s">
        <v>131</v>
      </c>
      <c r="AQ748" s="1" t="str">
        <f t="shared" si="312"/>
        <v>Pending</v>
      </c>
      <c r="AR748" s="1" t="str">
        <f t="shared" si="313"/>
        <v>OK</v>
      </c>
      <c r="AS748" s="1" t="s">
        <v>76</v>
      </c>
      <c r="AT748" s="4" t="str">
        <f t="shared" si="314"/>
        <v>Cancelled</v>
      </c>
      <c r="AU748" s="3" t="str">
        <f t="shared" si="315"/>
        <v>EXCLUDE_FROM_SALES</v>
      </c>
      <c r="AV748" s="3" t="str">
        <f t="shared" si="321"/>
        <v>CLEAN</v>
      </c>
      <c r="AW748" t="str">
        <f t="shared" si="322"/>
        <v>MATCH</v>
      </c>
      <c r="AX748" t="str">
        <f t="shared" si="323"/>
        <v>MATCH</v>
      </c>
    </row>
    <row r="749" spans="1:50" ht="15.6">
      <c r="A749" s="1" t="s">
        <v>2212</v>
      </c>
      <c r="B749" s="1">
        <f t="shared" si="297"/>
        <v>1</v>
      </c>
      <c r="C749" s="16">
        <v>45741</v>
      </c>
      <c r="D749" s="16">
        <v>45741</v>
      </c>
      <c r="E749" s="16" t="str">
        <f t="shared" si="316"/>
        <v>Mar</v>
      </c>
      <c r="F749" s="1">
        <f t="shared" si="317"/>
        <v>2025</v>
      </c>
      <c r="G749" t="s">
        <v>3036</v>
      </c>
      <c r="H749" s="17">
        <v>45419</v>
      </c>
      <c r="I749" s="21">
        <f t="shared" si="318"/>
        <v>-322</v>
      </c>
      <c r="J749" s="6" t="str">
        <f t="shared" si="319"/>
        <v>INVALID_SHIPPING</v>
      </c>
      <c r="K749" s="1" t="s">
        <v>2214</v>
      </c>
      <c r="L749" s="1" t="s">
        <v>196</v>
      </c>
      <c r="M749" s="1" t="str">
        <f t="shared" si="298"/>
        <v>Diya Patel</v>
      </c>
      <c r="N749" s="1" t="s">
        <v>25</v>
      </c>
      <c r="O749" s="1" t="str">
        <f t="shared" si="299"/>
        <v>Consumer</v>
      </c>
      <c r="P749" s="1" t="s">
        <v>26</v>
      </c>
      <c r="Q749" s="1" t="str">
        <f t="shared" si="300"/>
        <v>North</v>
      </c>
      <c r="R749" s="1" t="str">
        <f t="shared" si="301"/>
        <v>OK</v>
      </c>
      <c r="S749" s="1" t="s">
        <v>146</v>
      </c>
      <c r="T749" s="1" t="str">
        <f t="shared" si="302"/>
        <v>Punjab</v>
      </c>
      <c r="U749" s="1" t="s">
        <v>147</v>
      </c>
      <c r="V749" s="1" t="str">
        <f t="shared" si="303"/>
        <v>Ludhiana</v>
      </c>
      <c r="W749" s="1" t="s">
        <v>29</v>
      </c>
      <c r="X749" s="1" t="str">
        <f t="shared" si="304"/>
        <v>Office Supplies</v>
      </c>
      <c r="Y749" s="1" t="s">
        <v>105</v>
      </c>
      <c r="Z749" s="1" t="str">
        <f t="shared" si="305"/>
        <v>Labels</v>
      </c>
      <c r="AA749" s="1" t="s">
        <v>2215</v>
      </c>
      <c r="AB749" s="1" t="s">
        <v>32</v>
      </c>
      <c r="AC749" s="1" t="str">
        <f t="shared" si="306"/>
        <v>Second Class</v>
      </c>
      <c r="AD749" s="1" t="str">
        <f t="shared" si="307"/>
        <v>OK</v>
      </c>
      <c r="AE749" s="1">
        <v>6</v>
      </c>
      <c r="AF749" s="1">
        <v>2192.11</v>
      </c>
      <c r="AG749" s="9">
        <v>0.05</v>
      </c>
      <c r="AH749" s="9">
        <f t="shared" si="308"/>
        <v>0.05</v>
      </c>
      <c r="AI749" s="1" t="str">
        <f t="shared" si="309"/>
        <v>OK</v>
      </c>
      <c r="AJ749" s="1">
        <v>12495.03</v>
      </c>
      <c r="AK749" s="1">
        <v>9184.52</v>
      </c>
      <c r="AL749" s="1">
        <v>3310.51</v>
      </c>
      <c r="AM749" s="13">
        <f t="shared" si="310"/>
        <v>12495.027</v>
      </c>
      <c r="AN749" s="9">
        <f t="shared" si="311"/>
        <v>3310.5069999999996</v>
      </c>
      <c r="AO749" s="9">
        <f t="shared" si="320"/>
        <v>0.26494596610315446</v>
      </c>
      <c r="AP749" s="1" t="s">
        <v>33</v>
      </c>
      <c r="AQ749" s="1" t="str">
        <f t="shared" si="312"/>
        <v>Paid</v>
      </c>
      <c r="AR749" s="1" t="str">
        <f t="shared" si="313"/>
        <v>OK</v>
      </c>
      <c r="AS749" s="1" t="s">
        <v>34</v>
      </c>
      <c r="AT749" s="4" t="str">
        <f t="shared" si="314"/>
        <v>Completed</v>
      </c>
      <c r="AU749" s="3" t="str">
        <f t="shared" si="315"/>
        <v>OK</v>
      </c>
      <c r="AV749" s="3" t="str">
        <f t="shared" si="321"/>
        <v>INVALID</v>
      </c>
      <c r="AW749" t="str">
        <f t="shared" si="322"/>
        <v>MATCH</v>
      </c>
      <c r="AX749" t="str">
        <f t="shared" si="323"/>
        <v>MATCH</v>
      </c>
    </row>
    <row r="750" spans="1:50" ht="15.6">
      <c r="A750" s="1" t="s">
        <v>2216</v>
      </c>
      <c r="B750" s="1">
        <f t="shared" si="297"/>
        <v>1</v>
      </c>
      <c r="C750" s="16">
        <v>45716</v>
      </c>
      <c r="D750" s="16">
        <v>45716</v>
      </c>
      <c r="E750" s="16" t="str">
        <f t="shared" si="316"/>
        <v>Feb</v>
      </c>
      <c r="F750" s="1">
        <f t="shared" si="317"/>
        <v>2025</v>
      </c>
      <c r="G750" t="s">
        <v>3040</v>
      </c>
      <c r="H750" s="17">
        <v>45442</v>
      </c>
      <c r="I750" s="21">
        <f t="shared" si="318"/>
        <v>-274</v>
      </c>
      <c r="J750" s="6" t="str">
        <f t="shared" si="319"/>
        <v>INVALID_SHIPPING</v>
      </c>
      <c r="K750" s="1" t="s">
        <v>2218</v>
      </c>
      <c r="L750" s="1" t="s">
        <v>90</v>
      </c>
      <c r="M750" s="1" t="str">
        <f t="shared" si="298"/>
        <v>Neha Gupta</v>
      </c>
      <c r="N750" s="1" t="s">
        <v>40</v>
      </c>
      <c r="O750" s="1" t="str">
        <f t="shared" si="299"/>
        <v>Small Business</v>
      </c>
      <c r="P750" s="1" t="s">
        <v>41</v>
      </c>
      <c r="Q750" s="1" t="str">
        <f t="shared" si="300"/>
        <v>East</v>
      </c>
      <c r="R750" s="1" t="str">
        <f t="shared" si="301"/>
        <v>OK</v>
      </c>
      <c r="S750" s="1" t="s">
        <v>284</v>
      </c>
      <c r="T750" s="1" t="str">
        <f t="shared" si="302"/>
        <v>Jharkhand</v>
      </c>
      <c r="U750" s="1" t="s">
        <v>285</v>
      </c>
      <c r="V750" s="1" t="str">
        <f t="shared" si="303"/>
        <v>Ranchi</v>
      </c>
      <c r="W750" s="1" t="s">
        <v>83</v>
      </c>
      <c r="X750" s="1" t="str">
        <f t="shared" si="304"/>
        <v>Technology</v>
      </c>
      <c r="Y750" s="1" t="s">
        <v>207</v>
      </c>
      <c r="Z750" s="1" t="str">
        <f t="shared" si="305"/>
        <v>Phones</v>
      </c>
      <c r="AA750" s="1" t="s">
        <v>2219</v>
      </c>
      <c r="AB750" s="1" t="s">
        <v>55</v>
      </c>
      <c r="AC750" s="1" t="str">
        <f t="shared" si="306"/>
        <v>First Class</v>
      </c>
      <c r="AD750" s="1" t="str">
        <f t="shared" si="307"/>
        <v>OK</v>
      </c>
      <c r="AE750" s="1">
        <v>9</v>
      </c>
      <c r="AF750" s="1">
        <v>3670.54</v>
      </c>
      <c r="AG750" s="9">
        <v>0</v>
      </c>
      <c r="AH750" s="9">
        <f t="shared" si="308"/>
        <v>0</v>
      </c>
      <c r="AI750" s="1" t="str">
        <f t="shared" si="309"/>
        <v>OK</v>
      </c>
      <c r="AJ750" s="1">
        <v>33034.86</v>
      </c>
      <c r="AK750" s="1">
        <v>24539.83</v>
      </c>
      <c r="AL750" s="1">
        <v>8495.0300000000007</v>
      </c>
      <c r="AM750" s="13">
        <f t="shared" si="310"/>
        <v>33034.86</v>
      </c>
      <c r="AN750" s="9">
        <f t="shared" si="311"/>
        <v>8495.0299999999988</v>
      </c>
      <c r="AO750" s="9">
        <f t="shared" si="320"/>
        <v>0.25715350390466307</v>
      </c>
      <c r="AP750" s="1" t="s">
        <v>33</v>
      </c>
      <c r="AQ750" s="1" t="str">
        <f t="shared" si="312"/>
        <v>Paid</v>
      </c>
      <c r="AR750" s="1" t="str">
        <f t="shared" si="313"/>
        <v>OK</v>
      </c>
      <c r="AS750" s="1" t="s">
        <v>34</v>
      </c>
      <c r="AT750" s="4" t="str">
        <f t="shared" si="314"/>
        <v>Completed</v>
      </c>
      <c r="AU750" s="3" t="str">
        <f t="shared" si="315"/>
        <v>OK</v>
      </c>
      <c r="AV750" s="3" t="str">
        <f t="shared" si="321"/>
        <v>INVALID</v>
      </c>
      <c r="AW750" t="str">
        <f t="shared" si="322"/>
        <v>MATCH</v>
      </c>
      <c r="AX750" t="str">
        <f t="shared" si="323"/>
        <v>MATCH</v>
      </c>
    </row>
    <row r="751" spans="1:50" ht="15.6">
      <c r="A751" s="1" t="s">
        <v>2232</v>
      </c>
      <c r="B751" s="1">
        <f t="shared" si="297"/>
        <v>1</v>
      </c>
      <c r="C751" s="16">
        <v>45856</v>
      </c>
      <c r="D751" s="16">
        <v>45856</v>
      </c>
      <c r="E751" s="16" t="str">
        <f t="shared" si="316"/>
        <v>Jul</v>
      </c>
      <c r="F751" s="1">
        <f t="shared" si="317"/>
        <v>2025</v>
      </c>
      <c r="G751" t="s">
        <v>3044</v>
      </c>
      <c r="H751" s="17">
        <v>45376</v>
      </c>
      <c r="I751" s="21">
        <f t="shared" si="318"/>
        <v>-480</v>
      </c>
      <c r="J751" s="6" t="str">
        <f t="shared" si="319"/>
        <v>INVALID_SHIPPING</v>
      </c>
      <c r="K751" s="1" t="s">
        <v>2234</v>
      </c>
      <c r="L751" s="1" t="s">
        <v>136</v>
      </c>
      <c r="M751" s="1" t="str">
        <f t="shared" si="298"/>
        <v>Priya Menon</v>
      </c>
      <c r="N751" s="1" t="s">
        <v>25</v>
      </c>
      <c r="O751" s="1" t="str">
        <f t="shared" si="299"/>
        <v>Consumer</v>
      </c>
      <c r="P751" s="1" t="s">
        <v>41</v>
      </c>
      <c r="Q751" s="1" t="str">
        <f t="shared" si="300"/>
        <v>East</v>
      </c>
      <c r="R751" s="1" t="str">
        <f t="shared" si="301"/>
        <v>OK</v>
      </c>
      <c r="S751" s="1" t="s">
        <v>42</v>
      </c>
      <c r="T751" s="1" t="str">
        <f t="shared" si="302"/>
        <v>Odisha</v>
      </c>
      <c r="U751" s="1" t="s">
        <v>43</v>
      </c>
      <c r="V751" s="1" t="str">
        <f t="shared" si="303"/>
        <v>Bhubaneswar</v>
      </c>
      <c r="W751" s="1" t="s">
        <v>44</v>
      </c>
      <c r="X751" s="1" t="str">
        <f t="shared" si="304"/>
        <v>Furniture</v>
      </c>
      <c r="Y751" s="1" t="s">
        <v>45</v>
      </c>
      <c r="Z751" s="1" t="str">
        <f t="shared" si="305"/>
        <v>Tables</v>
      </c>
      <c r="AA751" s="1" t="s">
        <v>2235</v>
      </c>
      <c r="AB751" s="1" t="s">
        <v>32</v>
      </c>
      <c r="AC751" s="1" t="str">
        <f t="shared" si="306"/>
        <v>Second Class</v>
      </c>
      <c r="AD751" s="1" t="str">
        <f t="shared" si="307"/>
        <v>OK</v>
      </c>
      <c r="AE751" s="1">
        <v>4</v>
      </c>
      <c r="AF751" s="1">
        <v>284.04000000000002</v>
      </c>
      <c r="AG751" s="9"/>
      <c r="AH751" s="9">
        <f t="shared" si="308"/>
        <v>0</v>
      </c>
      <c r="AI751" s="1" t="str">
        <f t="shared" si="309"/>
        <v>Missing Discount</v>
      </c>
      <c r="AJ751" s="1">
        <v>908.93</v>
      </c>
      <c r="AK751" s="1">
        <v>572.08000000000004</v>
      </c>
      <c r="AL751" s="1">
        <v>336.85</v>
      </c>
      <c r="AM751" s="13">
        <f t="shared" si="310"/>
        <v>1136.1600000000001</v>
      </c>
      <c r="AN751" s="9">
        <f t="shared" si="311"/>
        <v>564.08000000000004</v>
      </c>
      <c r="AO751" s="9">
        <f t="shared" si="320"/>
        <v>0.49647936910294327</v>
      </c>
      <c r="AP751" s="1" t="s">
        <v>33</v>
      </c>
      <c r="AQ751" s="1" t="str">
        <f t="shared" si="312"/>
        <v>Paid</v>
      </c>
      <c r="AR751" s="1" t="str">
        <f t="shared" si="313"/>
        <v>OK</v>
      </c>
      <c r="AS751" s="1" t="s">
        <v>34</v>
      </c>
      <c r="AT751" s="4" t="str">
        <f t="shared" si="314"/>
        <v>Completed</v>
      </c>
      <c r="AU751" s="3" t="str">
        <f t="shared" si="315"/>
        <v>OK</v>
      </c>
      <c r="AV751" s="3" t="str">
        <f t="shared" si="321"/>
        <v>INVALID</v>
      </c>
      <c r="AW751" t="str">
        <f t="shared" si="322"/>
        <v>MISMATCH</v>
      </c>
      <c r="AX751" t="str">
        <f t="shared" si="323"/>
        <v>MISMATCH</v>
      </c>
    </row>
    <row r="752" spans="1:50" ht="15.6">
      <c r="A752" s="1" t="s">
        <v>2236</v>
      </c>
      <c r="B752" s="1">
        <f t="shared" si="297"/>
        <v>1</v>
      </c>
      <c r="C752" s="16">
        <v>45931</v>
      </c>
      <c r="D752" s="16">
        <v>45931</v>
      </c>
      <c r="E752" s="16" t="str">
        <f t="shared" si="316"/>
        <v>Oct</v>
      </c>
      <c r="F752" s="1">
        <f t="shared" si="317"/>
        <v>2025</v>
      </c>
      <c r="G752" t="s">
        <v>341</v>
      </c>
      <c r="H752" s="17">
        <v>45810</v>
      </c>
      <c r="I752" s="21">
        <f t="shared" si="318"/>
        <v>-121</v>
      </c>
      <c r="J752" s="6" t="str">
        <f t="shared" si="319"/>
        <v>INVALID_SHIPPING</v>
      </c>
      <c r="K752" s="1" t="s">
        <v>2238</v>
      </c>
      <c r="L752" s="1" t="s">
        <v>103</v>
      </c>
      <c r="M752" s="1" t="str">
        <f t="shared" si="298"/>
        <v>Aditi Sen</v>
      </c>
      <c r="N752" s="1" t="s">
        <v>110</v>
      </c>
      <c r="O752" s="1" t="str">
        <f t="shared" si="299"/>
        <v>Home Office</v>
      </c>
      <c r="P752" s="1" t="s">
        <v>26</v>
      </c>
      <c r="Q752" s="1" t="str">
        <f t="shared" si="300"/>
        <v>North</v>
      </c>
      <c r="R752" s="1" t="str">
        <f t="shared" si="301"/>
        <v>OK</v>
      </c>
      <c r="S752" s="1" t="s">
        <v>294</v>
      </c>
      <c r="T752" s="1" t="str">
        <f t="shared" si="302"/>
        <v>Haryana</v>
      </c>
      <c r="U752" s="1" t="s">
        <v>295</v>
      </c>
      <c r="V752" s="1" t="str">
        <f t="shared" si="303"/>
        <v>Gurugram</v>
      </c>
      <c r="W752" s="1" t="s">
        <v>29</v>
      </c>
      <c r="X752" s="1" t="str">
        <f t="shared" si="304"/>
        <v>Office Supplies</v>
      </c>
      <c r="Y752" s="1" t="s">
        <v>30</v>
      </c>
      <c r="Z752" s="1" t="str">
        <f t="shared" si="305"/>
        <v>Paper</v>
      </c>
      <c r="AA752" s="1" t="s">
        <v>2239</v>
      </c>
      <c r="AB752" s="1" t="s">
        <v>55</v>
      </c>
      <c r="AC752" s="1" t="str">
        <f t="shared" si="306"/>
        <v>First Class</v>
      </c>
      <c r="AD752" s="1" t="str">
        <f t="shared" si="307"/>
        <v>OK</v>
      </c>
      <c r="AE752" s="1">
        <v>5</v>
      </c>
      <c r="AF752" s="1">
        <v>3247.56</v>
      </c>
      <c r="AG752" s="9">
        <v>0.15</v>
      </c>
      <c r="AH752" s="9">
        <f t="shared" si="308"/>
        <v>0.15</v>
      </c>
      <c r="AI752" s="1" t="str">
        <f t="shared" si="309"/>
        <v>OK</v>
      </c>
      <c r="AJ752" s="1">
        <v>13802.13</v>
      </c>
      <c r="AK752" s="1">
        <v>10075.93</v>
      </c>
      <c r="AL752" s="1">
        <v>3726.2</v>
      </c>
      <c r="AM752" s="13">
        <f t="shared" si="310"/>
        <v>13802.13</v>
      </c>
      <c r="AN752" s="9">
        <f t="shared" si="311"/>
        <v>3726.1999999999989</v>
      </c>
      <c r="AO752" s="9">
        <f t="shared" si="320"/>
        <v>0.26997282303528508</v>
      </c>
      <c r="AP752" s="1" t="s">
        <v>33</v>
      </c>
      <c r="AQ752" s="1" t="str">
        <f t="shared" si="312"/>
        <v>Paid</v>
      </c>
      <c r="AR752" s="1" t="str">
        <f t="shared" si="313"/>
        <v>OK</v>
      </c>
      <c r="AS752" s="1" t="s">
        <v>34</v>
      </c>
      <c r="AT752" s="4" t="str">
        <f t="shared" si="314"/>
        <v>Completed</v>
      </c>
      <c r="AU752" s="3" t="str">
        <f t="shared" si="315"/>
        <v>OK</v>
      </c>
      <c r="AV752" s="3" t="str">
        <f t="shared" si="321"/>
        <v>INVALID</v>
      </c>
      <c r="AW752" t="str">
        <f t="shared" si="322"/>
        <v>MATCH</v>
      </c>
      <c r="AX752" t="str">
        <f t="shared" si="323"/>
        <v>MATCH</v>
      </c>
    </row>
    <row r="753" spans="1:50" ht="15.6" hidden="1">
      <c r="A753" s="1" t="s">
        <v>2247</v>
      </c>
      <c r="B753" s="1">
        <f t="shared" si="297"/>
        <v>1</v>
      </c>
      <c r="C753" s="16">
        <v>45807</v>
      </c>
      <c r="D753" s="16">
        <v>45807</v>
      </c>
      <c r="E753" s="16" t="str">
        <f t="shared" si="316"/>
        <v>May</v>
      </c>
      <c r="F753" s="1">
        <f t="shared" si="317"/>
        <v>2025</v>
      </c>
      <c r="G753" t="s">
        <v>3051</v>
      </c>
      <c r="H753" s="17">
        <v>45857</v>
      </c>
      <c r="I753" s="21">
        <f t="shared" si="318"/>
        <v>50</v>
      </c>
      <c r="J753" s="6" t="str">
        <f t="shared" si="319"/>
        <v>OK</v>
      </c>
      <c r="K753" s="1" t="s">
        <v>2249</v>
      </c>
      <c r="L753" s="1" t="s">
        <v>141</v>
      </c>
      <c r="M753" s="1" t="str">
        <f t="shared" si="298"/>
        <v>Rahul Verma</v>
      </c>
      <c r="N753" s="1" t="s">
        <v>110</v>
      </c>
      <c r="O753" s="1" t="str">
        <f t="shared" si="299"/>
        <v>Home Office</v>
      </c>
      <c r="P753" s="1" t="s">
        <v>60</v>
      </c>
      <c r="Q753" s="1" t="str">
        <f t="shared" si="300"/>
        <v>South</v>
      </c>
      <c r="R753" s="1" t="str">
        <f t="shared" si="301"/>
        <v>OK</v>
      </c>
      <c r="S753" s="1" t="s">
        <v>309</v>
      </c>
      <c r="T753" s="1" t="str">
        <f t="shared" si="302"/>
        <v>Tamil Nadu</v>
      </c>
      <c r="U753" s="1" t="s">
        <v>310</v>
      </c>
      <c r="V753" s="1" t="str">
        <f t="shared" si="303"/>
        <v>Chennai</v>
      </c>
      <c r="W753" s="1" t="s">
        <v>29</v>
      </c>
      <c r="X753" s="1" t="str">
        <f t="shared" si="304"/>
        <v>Office Supplies</v>
      </c>
      <c r="Y753" s="1" t="s">
        <v>184</v>
      </c>
      <c r="Z753" s="1" t="str">
        <f t="shared" si="305"/>
        <v>Binders</v>
      </c>
      <c r="AA753" s="1" t="s">
        <v>2250</v>
      </c>
      <c r="AB753" s="1" t="s">
        <v>65</v>
      </c>
      <c r="AC753" s="1" t="str">
        <f t="shared" si="306"/>
        <v>Standard Class</v>
      </c>
      <c r="AD753" s="1" t="str">
        <f t="shared" si="307"/>
        <v>OK</v>
      </c>
      <c r="AE753" s="1">
        <v>9</v>
      </c>
      <c r="AF753" s="1">
        <v>1994.51</v>
      </c>
      <c r="AG753" s="9">
        <v>0.05</v>
      </c>
      <c r="AH753" s="9">
        <f t="shared" si="308"/>
        <v>0.05</v>
      </c>
      <c r="AI753" s="1" t="str">
        <f t="shared" si="309"/>
        <v>OK</v>
      </c>
      <c r="AJ753" s="1">
        <v>17053.060000000001</v>
      </c>
      <c r="AK753" s="1">
        <v>10742.38</v>
      </c>
      <c r="AL753" s="1">
        <v>6310.68</v>
      </c>
      <c r="AM753" s="13">
        <f t="shared" si="310"/>
        <v>17053.0605</v>
      </c>
      <c r="AN753" s="9">
        <f t="shared" si="311"/>
        <v>6310.6805000000004</v>
      </c>
      <c r="AO753" s="9">
        <f t="shared" si="320"/>
        <v>0.37006146198801093</v>
      </c>
      <c r="AP753" s="1" t="s">
        <v>33</v>
      </c>
      <c r="AQ753" s="1" t="str">
        <f t="shared" si="312"/>
        <v>Paid</v>
      </c>
      <c r="AR753" s="1" t="str">
        <f t="shared" si="313"/>
        <v>OK</v>
      </c>
      <c r="AS753" s="1" t="s">
        <v>34</v>
      </c>
      <c r="AT753" s="4" t="str">
        <f t="shared" si="314"/>
        <v>Completed</v>
      </c>
      <c r="AU753" s="3" t="str">
        <f t="shared" si="315"/>
        <v>OK</v>
      </c>
      <c r="AV753" s="3" t="str">
        <f t="shared" si="321"/>
        <v>CLEAN</v>
      </c>
      <c r="AW753" t="str">
        <f t="shared" si="322"/>
        <v>MATCH</v>
      </c>
      <c r="AX753" t="str">
        <f t="shared" si="323"/>
        <v>MATCH</v>
      </c>
    </row>
    <row r="754" spans="1:50" ht="15.6">
      <c r="A754" s="1" t="s">
        <v>2255</v>
      </c>
      <c r="B754" s="1">
        <f t="shared" si="297"/>
        <v>1</v>
      </c>
      <c r="C754" s="16">
        <v>45787</v>
      </c>
      <c r="D754" s="16">
        <v>45787</v>
      </c>
      <c r="E754" s="16" t="str">
        <f t="shared" si="316"/>
        <v>May</v>
      </c>
      <c r="F754" s="1">
        <f t="shared" si="317"/>
        <v>2025</v>
      </c>
      <c r="G754" t="s">
        <v>2770</v>
      </c>
      <c r="H754" s="17">
        <v>45378</v>
      </c>
      <c r="I754" s="21">
        <f t="shared" si="318"/>
        <v>-409</v>
      </c>
      <c r="J754" s="6" t="str">
        <f t="shared" si="319"/>
        <v>INVALID_SHIPPING</v>
      </c>
      <c r="K754" s="1" t="s">
        <v>2256</v>
      </c>
      <c r="L754" s="1" t="s">
        <v>136</v>
      </c>
      <c r="M754" s="1" t="str">
        <f t="shared" si="298"/>
        <v>Priya Menon</v>
      </c>
      <c r="N754" s="1" t="s">
        <v>104</v>
      </c>
      <c r="O754" s="1" t="str">
        <f t="shared" si="299"/>
        <v>Corporate</v>
      </c>
      <c r="P754" s="1" t="s">
        <v>41</v>
      </c>
      <c r="Q754" s="1" t="str">
        <f t="shared" si="300"/>
        <v>East</v>
      </c>
      <c r="R754" s="1" t="str">
        <f t="shared" si="301"/>
        <v>OK</v>
      </c>
      <c r="S754" s="1" t="s">
        <v>201</v>
      </c>
      <c r="T754" s="1" t="str">
        <f t="shared" si="302"/>
        <v>Assam</v>
      </c>
      <c r="U754" s="1" t="s">
        <v>202</v>
      </c>
      <c r="V754" s="1" t="str">
        <f t="shared" si="303"/>
        <v>Guwahati</v>
      </c>
      <c r="W754" s="1" t="s">
        <v>44</v>
      </c>
      <c r="X754" s="1" t="str">
        <f t="shared" si="304"/>
        <v>Furniture</v>
      </c>
      <c r="Y754" s="1" t="s">
        <v>45</v>
      </c>
      <c r="Z754" s="1" t="str">
        <f t="shared" si="305"/>
        <v>Tables</v>
      </c>
      <c r="AA754" s="1" t="s">
        <v>2257</v>
      </c>
      <c r="AB754" s="1" t="s">
        <v>32</v>
      </c>
      <c r="AC754" s="1" t="str">
        <f t="shared" si="306"/>
        <v>Second Class</v>
      </c>
      <c r="AD754" s="1" t="str">
        <f t="shared" si="307"/>
        <v>OK</v>
      </c>
      <c r="AE754" s="1">
        <v>9</v>
      </c>
      <c r="AF754" s="1">
        <v>2089.14</v>
      </c>
      <c r="AG754" s="9">
        <v>0.05</v>
      </c>
      <c r="AH754" s="9">
        <f t="shared" si="308"/>
        <v>0.05</v>
      </c>
      <c r="AI754" s="1" t="str">
        <f t="shared" si="309"/>
        <v>OK</v>
      </c>
      <c r="AJ754" s="1">
        <v>17862.150000000001</v>
      </c>
      <c r="AK754" s="1">
        <v>9892.2099999999991</v>
      </c>
      <c r="AL754" s="1">
        <v>7969.94</v>
      </c>
      <c r="AM754" s="13">
        <f t="shared" si="310"/>
        <v>17862.146999999997</v>
      </c>
      <c r="AN754" s="9">
        <f t="shared" si="311"/>
        <v>7969.9369999999981</v>
      </c>
      <c r="AO754" s="9">
        <f t="shared" si="320"/>
        <v>0.44619143488182017</v>
      </c>
      <c r="AP754" s="1" t="s">
        <v>186</v>
      </c>
      <c r="AQ754" s="1" t="str">
        <f t="shared" si="312"/>
        <v>Failed</v>
      </c>
      <c r="AR754" s="1" t="str">
        <f t="shared" si="313"/>
        <v>EXCLUDE_FROM_SALES</v>
      </c>
      <c r="AS754" s="1" t="s">
        <v>76</v>
      </c>
      <c r="AT754" s="4" t="str">
        <f t="shared" si="314"/>
        <v>Cancelled</v>
      </c>
      <c r="AU754" s="3" t="str">
        <f t="shared" si="315"/>
        <v>EXCLUDE_FROM_SALES</v>
      </c>
      <c r="AV754" s="3" t="str">
        <f t="shared" si="321"/>
        <v>INVALID</v>
      </c>
      <c r="AW754" t="str">
        <f t="shared" si="322"/>
        <v>MATCH</v>
      </c>
      <c r="AX754" t="str">
        <f t="shared" si="323"/>
        <v>MATCH</v>
      </c>
    </row>
    <row r="755" spans="1:50" ht="15.6">
      <c r="A755" s="1" t="s">
        <v>2261</v>
      </c>
      <c r="B755" s="1">
        <f t="shared" si="297"/>
        <v>1</v>
      </c>
      <c r="C755" s="16">
        <v>45774</v>
      </c>
      <c r="D755" s="16">
        <v>45774</v>
      </c>
      <c r="E755" s="16" t="str">
        <f t="shared" si="316"/>
        <v>Apr</v>
      </c>
      <c r="F755" s="1">
        <f t="shared" si="317"/>
        <v>2025</v>
      </c>
      <c r="G755" t="s">
        <v>2454</v>
      </c>
      <c r="H755" s="17">
        <v>45573</v>
      </c>
      <c r="I755" s="21">
        <f t="shared" si="318"/>
        <v>-201</v>
      </c>
      <c r="J755" s="6" t="str">
        <f t="shared" si="319"/>
        <v>INVALID_SHIPPING</v>
      </c>
      <c r="K755" s="1" t="s">
        <v>2263</v>
      </c>
      <c r="L755" s="1" t="s">
        <v>169</v>
      </c>
      <c r="M755" s="1" t="str">
        <f t="shared" si="298"/>
        <v>Rohan Mehta</v>
      </c>
      <c r="N755" s="1" t="s">
        <v>110</v>
      </c>
      <c r="O755" s="1" t="str">
        <f t="shared" si="299"/>
        <v>Home Office</v>
      </c>
      <c r="P755" s="1" t="s">
        <v>41</v>
      </c>
      <c r="Q755" s="1" t="str">
        <f t="shared" si="300"/>
        <v>East</v>
      </c>
      <c r="R755" s="1" t="str">
        <f t="shared" si="301"/>
        <v>OK</v>
      </c>
      <c r="S755" s="1" t="s">
        <v>174</v>
      </c>
      <c r="T755" s="1" t="str">
        <f t="shared" si="302"/>
        <v>Bihar</v>
      </c>
      <c r="U755" s="1" t="s">
        <v>175</v>
      </c>
      <c r="V755" s="1" t="str">
        <f t="shared" si="303"/>
        <v>Patna</v>
      </c>
      <c r="W755" s="1" t="s">
        <v>83</v>
      </c>
      <c r="X755" s="1" t="str">
        <f t="shared" si="304"/>
        <v>Technology</v>
      </c>
      <c r="Y755" s="1" t="s">
        <v>84</v>
      </c>
      <c r="Z755" s="1" t="str">
        <f t="shared" si="305"/>
        <v>Accessories</v>
      </c>
      <c r="AA755" s="1" t="s">
        <v>2264</v>
      </c>
      <c r="AB755" s="1" t="s">
        <v>32</v>
      </c>
      <c r="AC755" s="1" t="str">
        <f t="shared" si="306"/>
        <v>Second Class</v>
      </c>
      <c r="AD755" s="1" t="str">
        <f t="shared" si="307"/>
        <v>OK</v>
      </c>
      <c r="AE755" s="1">
        <v>4</v>
      </c>
      <c r="AF755" s="1">
        <v>3963.39</v>
      </c>
      <c r="AG755" s="9">
        <v>0.1</v>
      </c>
      <c r="AH755" s="9">
        <f t="shared" si="308"/>
        <v>0.1</v>
      </c>
      <c r="AI755" s="1" t="str">
        <f t="shared" si="309"/>
        <v>OK</v>
      </c>
      <c r="AJ755" s="1">
        <v>14268.2</v>
      </c>
      <c r="AK755" s="1">
        <v>11705.3</v>
      </c>
      <c r="AL755" s="1">
        <v>2562.9</v>
      </c>
      <c r="AM755" s="13">
        <f t="shared" si="310"/>
        <v>14268.204</v>
      </c>
      <c r="AN755" s="9">
        <f t="shared" si="311"/>
        <v>2562.9040000000005</v>
      </c>
      <c r="AO755" s="9">
        <f t="shared" si="320"/>
        <v>0.17962344805274724</v>
      </c>
      <c r="AP755" s="1" t="s">
        <v>131</v>
      </c>
      <c r="AQ755" s="1" t="str">
        <f t="shared" si="312"/>
        <v>Pending</v>
      </c>
      <c r="AR755" s="1" t="str">
        <f t="shared" si="313"/>
        <v>OK</v>
      </c>
      <c r="AS755" s="1" t="s">
        <v>120</v>
      </c>
      <c r="AT755" s="4" t="str">
        <f t="shared" si="314"/>
        <v>Returned</v>
      </c>
      <c r="AU755" s="3" t="str">
        <f t="shared" si="315"/>
        <v>RETURNED_ORDER</v>
      </c>
      <c r="AV755" s="3" t="str">
        <f t="shared" si="321"/>
        <v>INVALID</v>
      </c>
      <c r="AW755" t="str">
        <f t="shared" si="322"/>
        <v>MATCH</v>
      </c>
      <c r="AX755" t="str">
        <f t="shared" si="323"/>
        <v>MATCH</v>
      </c>
    </row>
    <row r="756" spans="1:50" ht="15.6">
      <c r="A756" s="1" t="s">
        <v>2269</v>
      </c>
      <c r="B756" s="1">
        <f t="shared" si="297"/>
        <v>1</v>
      </c>
      <c r="C756" s="16">
        <v>45934</v>
      </c>
      <c r="D756" s="16">
        <v>45934</v>
      </c>
      <c r="E756" s="16" t="str">
        <f t="shared" si="316"/>
        <v>Oct</v>
      </c>
      <c r="F756" s="1">
        <f t="shared" si="317"/>
        <v>2025</v>
      </c>
      <c r="G756" t="s">
        <v>3061</v>
      </c>
      <c r="H756" s="17">
        <v>45812</v>
      </c>
      <c r="I756" s="21">
        <f t="shared" si="318"/>
        <v>-122</v>
      </c>
      <c r="J756" s="6" t="str">
        <f t="shared" si="319"/>
        <v>INVALID_SHIPPING</v>
      </c>
      <c r="K756" s="1" t="s">
        <v>2271</v>
      </c>
      <c r="L756" s="1" t="s">
        <v>70</v>
      </c>
      <c r="M756" s="1" t="str">
        <f t="shared" si="298"/>
        <v>Ananya Rao</v>
      </c>
      <c r="N756" s="1" t="s">
        <v>40</v>
      </c>
      <c r="O756" s="1" t="str">
        <f t="shared" si="299"/>
        <v>Small Business</v>
      </c>
      <c r="P756" s="1" t="s">
        <v>71</v>
      </c>
      <c r="Q756" s="1" t="str">
        <f t="shared" si="300"/>
        <v>West</v>
      </c>
      <c r="R756" s="1" t="str">
        <f t="shared" si="301"/>
        <v>OK</v>
      </c>
      <c r="S756" s="1" t="s">
        <v>27</v>
      </c>
      <c r="T756" s="1" t="str">
        <f t="shared" si="302"/>
        <v>Rajasthan</v>
      </c>
      <c r="U756" s="1" t="s">
        <v>129</v>
      </c>
      <c r="V756" s="1" t="str">
        <f t="shared" si="303"/>
        <v>Udaipur</v>
      </c>
      <c r="W756" s="1" t="s">
        <v>44</v>
      </c>
      <c r="X756" s="1" t="str">
        <f t="shared" si="304"/>
        <v>Furniture</v>
      </c>
      <c r="Y756" s="1" t="s">
        <v>74</v>
      </c>
      <c r="Z756" s="1" t="str">
        <f t="shared" si="305"/>
        <v>Chairs</v>
      </c>
      <c r="AA756" s="1" t="s">
        <v>2272</v>
      </c>
      <c r="AB756" s="1" t="s">
        <v>55</v>
      </c>
      <c r="AC756" s="1" t="str">
        <f t="shared" si="306"/>
        <v>First Class</v>
      </c>
      <c r="AD756" s="1" t="str">
        <f t="shared" si="307"/>
        <v>OK</v>
      </c>
      <c r="AE756" s="1">
        <v>7</v>
      </c>
      <c r="AF756" s="1">
        <v>3788.9</v>
      </c>
      <c r="AG756" s="9">
        <v>0.25</v>
      </c>
      <c r="AH756" s="9">
        <f t="shared" si="308"/>
        <v>0.25</v>
      </c>
      <c r="AI756" s="1" t="str">
        <f t="shared" si="309"/>
        <v>OK</v>
      </c>
      <c r="AJ756" s="1">
        <v>19891.72</v>
      </c>
      <c r="AK756" s="1">
        <v>12295.76</v>
      </c>
      <c r="AL756" s="1">
        <v>7595.96</v>
      </c>
      <c r="AM756" s="13">
        <f t="shared" si="310"/>
        <v>19891.724999999999</v>
      </c>
      <c r="AN756" s="9">
        <f t="shared" si="311"/>
        <v>7595.9649999999983</v>
      </c>
      <c r="AO756" s="9">
        <f t="shared" si="320"/>
        <v>0.38186557475533162</v>
      </c>
      <c r="AP756" s="1" t="s">
        <v>186</v>
      </c>
      <c r="AQ756" s="1" t="str">
        <f t="shared" si="312"/>
        <v>Failed</v>
      </c>
      <c r="AR756" s="1" t="str">
        <f t="shared" si="313"/>
        <v>EXCLUDE_FROM_SALES</v>
      </c>
      <c r="AS756" s="1" t="s">
        <v>76</v>
      </c>
      <c r="AT756" s="4" t="str">
        <f t="shared" si="314"/>
        <v>Cancelled</v>
      </c>
      <c r="AU756" s="3" t="str">
        <f t="shared" si="315"/>
        <v>EXCLUDE_FROM_SALES</v>
      </c>
      <c r="AV756" s="3" t="str">
        <f t="shared" si="321"/>
        <v>INVALID</v>
      </c>
      <c r="AW756" t="str">
        <f t="shared" si="322"/>
        <v>MISMATCH</v>
      </c>
      <c r="AX756" t="str">
        <f t="shared" si="323"/>
        <v>MISMATCH</v>
      </c>
    </row>
    <row r="757" spans="1:50" ht="15.6" hidden="1">
      <c r="A757" s="1" t="s">
        <v>2281</v>
      </c>
      <c r="B757" s="1">
        <f t="shared" si="297"/>
        <v>1</v>
      </c>
      <c r="C757" s="16">
        <v>45754</v>
      </c>
      <c r="D757" s="16">
        <v>45754</v>
      </c>
      <c r="E757" s="16" t="str">
        <f t="shared" si="316"/>
        <v>Apr</v>
      </c>
      <c r="F757" s="1">
        <f t="shared" si="317"/>
        <v>2025</v>
      </c>
      <c r="G757" t="s">
        <v>1519</v>
      </c>
      <c r="H757" s="17">
        <v>45862</v>
      </c>
      <c r="I757" s="21">
        <f t="shared" si="318"/>
        <v>108</v>
      </c>
      <c r="J757" s="6" t="str">
        <f t="shared" si="319"/>
        <v>OK</v>
      </c>
      <c r="K757" s="1" t="s">
        <v>2282</v>
      </c>
      <c r="L757" s="1" t="s">
        <v>2283</v>
      </c>
      <c r="M757" s="1" t="str">
        <f t="shared" si="298"/>
        <v>Mira Das</v>
      </c>
      <c r="N757" s="1" t="s">
        <v>40</v>
      </c>
      <c r="O757" s="1" t="str">
        <f t="shared" si="299"/>
        <v>Small Business</v>
      </c>
      <c r="P757" s="1" t="s">
        <v>60</v>
      </c>
      <c r="Q757" s="1" t="str">
        <f t="shared" si="300"/>
        <v>South</v>
      </c>
      <c r="R757" s="1" t="str">
        <f t="shared" si="301"/>
        <v>OK</v>
      </c>
      <c r="S757" s="1" t="s">
        <v>309</v>
      </c>
      <c r="T757" s="1" t="str">
        <f t="shared" si="302"/>
        <v>Tamil Nadu</v>
      </c>
      <c r="U757" s="1" t="s">
        <v>310</v>
      </c>
      <c r="V757" s="1" t="str">
        <f t="shared" si="303"/>
        <v>Chennai</v>
      </c>
      <c r="W757" s="1" t="s">
        <v>44</v>
      </c>
      <c r="X757" s="1" t="str">
        <f t="shared" si="304"/>
        <v>Furniture</v>
      </c>
      <c r="Y757" s="1" t="s">
        <v>74</v>
      </c>
      <c r="Z757" s="1" t="str">
        <f t="shared" si="305"/>
        <v>Chairs</v>
      </c>
      <c r="AA757" s="1" t="s">
        <v>2284</v>
      </c>
      <c r="AB757" s="1" t="s">
        <v>65</v>
      </c>
      <c r="AC757" s="1" t="str">
        <f t="shared" si="306"/>
        <v>Standard Class</v>
      </c>
      <c r="AD757" s="1" t="str">
        <f t="shared" si="307"/>
        <v>OK</v>
      </c>
      <c r="AE757" s="1">
        <v>3</v>
      </c>
      <c r="AF757" s="1">
        <v>705.35</v>
      </c>
      <c r="AG757" s="9">
        <v>0.1</v>
      </c>
      <c r="AH757" s="9">
        <f t="shared" si="308"/>
        <v>0.1</v>
      </c>
      <c r="AI757" s="1" t="str">
        <f t="shared" si="309"/>
        <v>OK</v>
      </c>
      <c r="AJ757" s="1">
        <v>1904.45</v>
      </c>
      <c r="AK757" s="1">
        <v>1316.54</v>
      </c>
      <c r="AL757" s="1">
        <v>587.91</v>
      </c>
      <c r="AM757" s="13">
        <f t="shared" si="310"/>
        <v>1904.4450000000002</v>
      </c>
      <c r="AN757" s="9">
        <f t="shared" si="311"/>
        <v>587.9050000000002</v>
      </c>
      <c r="AO757" s="9">
        <f t="shared" si="320"/>
        <v>0.30870148520960183</v>
      </c>
      <c r="AP757" s="1" t="s">
        <v>33</v>
      </c>
      <c r="AQ757" s="1" t="str">
        <f t="shared" si="312"/>
        <v>Paid</v>
      </c>
      <c r="AR757" s="1" t="str">
        <f t="shared" si="313"/>
        <v>OK</v>
      </c>
      <c r="AS757" s="1" t="s">
        <v>76</v>
      </c>
      <c r="AT757" s="4" t="str">
        <f t="shared" si="314"/>
        <v>Cancelled</v>
      </c>
      <c r="AU757" s="3" t="str">
        <f t="shared" si="315"/>
        <v>EXCLUDE_FROM_SALES</v>
      </c>
      <c r="AV757" s="3" t="str">
        <f t="shared" si="321"/>
        <v>CLEAN</v>
      </c>
      <c r="AW757" t="str">
        <f t="shared" si="322"/>
        <v>MATCH</v>
      </c>
      <c r="AX757" t="str">
        <f t="shared" si="323"/>
        <v>MATCH</v>
      </c>
    </row>
    <row r="758" spans="1:50" ht="15.6">
      <c r="A758" s="1" t="s">
        <v>2288</v>
      </c>
      <c r="B758" s="1">
        <f t="shared" si="297"/>
        <v>1</v>
      </c>
      <c r="C758" s="16">
        <v>45846</v>
      </c>
      <c r="D758" s="16">
        <v>45846</v>
      </c>
      <c r="E758" s="16" t="str">
        <f t="shared" si="316"/>
        <v>Jul</v>
      </c>
      <c r="F758" s="1">
        <f t="shared" si="317"/>
        <v>2025</v>
      </c>
      <c r="G758" t="s">
        <v>3068</v>
      </c>
      <c r="H758" s="17">
        <v>45597</v>
      </c>
      <c r="I758" s="21">
        <f t="shared" si="318"/>
        <v>-249</v>
      </c>
      <c r="J758" s="6" t="str">
        <f t="shared" si="319"/>
        <v>INVALID_SHIPPING</v>
      </c>
      <c r="K758" s="1" t="s">
        <v>2290</v>
      </c>
      <c r="L758" s="1" t="s">
        <v>158</v>
      </c>
      <c r="M758" s="1" t="str">
        <f t="shared" si="298"/>
        <v>Sneha Kapoor</v>
      </c>
      <c r="N758" s="1" t="s">
        <v>25</v>
      </c>
      <c r="O758" s="1" t="str">
        <f t="shared" si="299"/>
        <v>Consumer</v>
      </c>
      <c r="P758" s="1" t="s">
        <v>71</v>
      </c>
      <c r="Q758" s="1" t="str">
        <f t="shared" si="300"/>
        <v>West</v>
      </c>
      <c r="R758" s="1" t="str">
        <f t="shared" si="301"/>
        <v>OK</v>
      </c>
      <c r="S758" s="1" t="s">
        <v>72</v>
      </c>
      <c r="T758" s="1" t="str">
        <f t="shared" si="302"/>
        <v>Maharashtra</v>
      </c>
      <c r="U758" s="1" t="s">
        <v>73</v>
      </c>
      <c r="V758" s="1" t="str">
        <f t="shared" si="303"/>
        <v>Mumbai</v>
      </c>
      <c r="W758" s="1" t="s">
        <v>83</v>
      </c>
      <c r="X758" s="1" t="str">
        <f t="shared" si="304"/>
        <v>Technology</v>
      </c>
      <c r="Y758" s="1" t="s">
        <v>91</v>
      </c>
      <c r="Z758" s="1" t="str">
        <f t="shared" si="305"/>
        <v>Copiers</v>
      </c>
      <c r="AA758" s="1" t="s">
        <v>2291</v>
      </c>
      <c r="AB758" s="1" t="s">
        <v>47</v>
      </c>
      <c r="AC758" s="1" t="str">
        <f t="shared" si="306"/>
        <v>Same Day</v>
      </c>
      <c r="AD758" s="1" t="str">
        <f t="shared" si="307"/>
        <v>OK</v>
      </c>
      <c r="AE758" s="1">
        <v>3</v>
      </c>
      <c r="AF758" s="1">
        <v>2880.56</v>
      </c>
      <c r="AG758" s="9">
        <v>0</v>
      </c>
      <c r="AH758" s="9">
        <f t="shared" si="308"/>
        <v>0</v>
      </c>
      <c r="AI758" s="1" t="str">
        <f t="shared" si="309"/>
        <v>OK</v>
      </c>
      <c r="AJ758" s="1">
        <v>8641.68</v>
      </c>
      <c r="AK758" s="1">
        <v>5747.09</v>
      </c>
      <c r="AL758" s="1">
        <v>2894.59</v>
      </c>
      <c r="AM758" s="13">
        <f t="shared" si="310"/>
        <v>8641.68</v>
      </c>
      <c r="AN758" s="9">
        <f t="shared" si="311"/>
        <v>2894.59</v>
      </c>
      <c r="AO758" s="9">
        <f t="shared" si="320"/>
        <v>0.33495686024013849</v>
      </c>
      <c r="AP758" s="1" t="s">
        <v>33</v>
      </c>
      <c r="AQ758" s="1" t="str">
        <f t="shared" si="312"/>
        <v>Paid</v>
      </c>
      <c r="AR758" s="1" t="str">
        <f t="shared" si="313"/>
        <v>OK</v>
      </c>
      <c r="AS758" s="1" t="s">
        <v>120</v>
      </c>
      <c r="AT758" s="4" t="str">
        <f t="shared" si="314"/>
        <v>Returned</v>
      </c>
      <c r="AU758" s="3" t="str">
        <f t="shared" si="315"/>
        <v>RETURNED_ORDER</v>
      </c>
      <c r="AV758" s="3" t="str">
        <f t="shared" si="321"/>
        <v>INVALID</v>
      </c>
      <c r="AW758" t="str">
        <f t="shared" si="322"/>
        <v>MATCH</v>
      </c>
      <c r="AX758" t="str">
        <f t="shared" si="323"/>
        <v>MATCH</v>
      </c>
    </row>
    <row r="759" spans="1:50" ht="15.6" hidden="1">
      <c r="A759" s="1" t="s">
        <v>2301</v>
      </c>
      <c r="B759" s="1">
        <f t="shared" si="297"/>
        <v>1</v>
      </c>
      <c r="C759" s="16">
        <v>45686</v>
      </c>
      <c r="D759" s="16">
        <v>45686</v>
      </c>
      <c r="E759" s="16" t="str">
        <f t="shared" si="316"/>
        <v>Jan</v>
      </c>
      <c r="F759" s="1">
        <f t="shared" si="317"/>
        <v>2025</v>
      </c>
      <c r="G759" t="s">
        <v>3072</v>
      </c>
      <c r="H759" s="17">
        <v>45872</v>
      </c>
      <c r="I759" s="21">
        <f t="shared" si="318"/>
        <v>186</v>
      </c>
      <c r="J759" s="6" t="str">
        <f t="shared" si="319"/>
        <v>OK</v>
      </c>
      <c r="K759" s="1" t="s">
        <v>2302</v>
      </c>
      <c r="L759" s="1" t="s">
        <v>70</v>
      </c>
      <c r="M759" s="1" t="str">
        <f t="shared" si="298"/>
        <v>Ananya Rao</v>
      </c>
      <c r="N759" s="1" t="s">
        <v>25</v>
      </c>
      <c r="O759" s="1" t="str">
        <f t="shared" si="299"/>
        <v>Consumer</v>
      </c>
      <c r="P759" s="1" t="s">
        <v>60</v>
      </c>
      <c r="Q759" s="1" t="str">
        <f t="shared" si="300"/>
        <v>South</v>
      </c>
      <c r="R759" s="1" t="str">
        <f t="shared" si="301"/>
        <v>OK</v>
      </c>
      <c r="S759" s="1" t="s">
        <v>224</v>
      </c>
      <c r="T759" s="1" t="str">
        <f t="shared" si="302"/>
        <v>Kerala</v>
      </c>
      <c r="U759" s="1" t="s">
        <v>225</v>
      </c>
      <c r="V759" s="1" t="str">
        <f t="shared" si="303"/>
        <v>Kochi</v>
      </c>
      <c r="W759" s="1" t="s">
        <v>29</v>
      </c>
      <c r="X759" s="1" t="str">
        <f t="shared" si="304"/>
        <v>Office Supplies</v>
      </c>
      <c r="Y759" s="1" t="s">
        <v>53</v>
      </c>
      <c r="Z759" s="1" t="str">
        <f t="shared" si="305"/>
        <v>Art</v>
      </c>
      <c r="AA759" s="1" t="s">
        <v>2303</v>
      </c>
      <c r="AB759" s="1" t="s">
        <v>47</v>
      </c>
      <c r="AC759" s="1" t="str">
        <f t="shared" si="306"/>
        <v>Same Day</v>
      </c>
      <c r="AD759" s="1" t="str">
        <f t="shared" si="307"/>
        <v>OK</v>
      </c>
      <c r="AE759" s="1">
        <v>8</v>
      </c>
      <c r="AF759" s="1">
        <v>3643.62</v>
      </c>
      <c r="AG759" s="9">
        <v>0.25</v>
      </c>
      <c r="AH759" s="9">
        <f t="shared" si="308"/>
        <v>0.25</v>
      </c>
      <c r="AI759" s="1" t="str">
        <f t="shared" si="309"/>
        <v>OK</v>
      </c>
      <c r="AJ759" s="1">
        <v>21861.72</v>
      </c>
      <c r="AK759" s="1">
        <v>18464.34</v>
      </c>
      <c r="AL759" s="1">
        <v>3397.38</v>
      </c>
      <c r="AM759" s="13">
        <f t="shared" si="310"/>
        <v>21861.72</v>
      </c>
      <c r="AN759" s="9">
        <f t="shared" si="311"/>
        <v>3397.380000000001</v>
      </c>
      <c r="AO759" s="9">
        <f t="shared" si="320"/>
        <v>0.1554031430280875</v>
      </c>
      <c r="AP759" s="1" t="s">
        <v>33</v>
      </c>
      <c r="AQ759" s="1" t="str">
        <f t="shared" si="312"/>
        <v>Paid</v>
      </c>
      <c r="AR759" s="1" t="str">
        <f t="shared" si="313"/>
        <v>OK</v>
      </c>
      <c r="AS759" s="1" t="s">
        <v>76</v>
      </c>
      <c r="AT759" s="4" t="str">
        <f t="shared" si="314"/>
        <v>Cancelled</v>
      </c>
      <c r="AU759" s="3" t="str">
        <f t="shared" si="315"/>
        <v>EXCLUDE_FROM_SALES</v>
      </c>
      <c r="AV759" s="3" t="str">
        <f t="shared" si="321"/>
        <v>CLEAN</v>
      </c>
      <c r="AW759" t="str">
        <f t="shared" si="322"/>
        <v>MATCH</v>
      </c>
      <c r="AX759" t="str">
        <f t="shared" si="323"/>
        <v>MATCH</v>
      </c>
    </row>
    <row r="760" spans="1:50" ht="15.6">
      <c r="A760" s="1" t="s">
        <v>2308</v>
      </c>
      <c r="B760" s="1">
        <f t="shared" si="297"/>
        <v>1</v>
      </c>
      <c r="C760" s="16">
        <v>45883</v>
      </c>
      <c r="D760" s="16">
        <v>45883</v>
      </c>
      <c r="E760" s="16" t="str">
        <f t="shared" si="316"/>
        <v>Aug</v>
      </c>
      <c r="F760" s="1">
        <f t="shared" si="317"/>
        <v>2025</v>
      </c>
      <c r="G760" t="s">
        <v>2371</v>
      </c>
      <c r="H760" s="17">
        <v>45422</v>
      </c>
      <c r="I760" s="21">
        <f t="shared" si="318"/>
        <v>-461</v>
      </c>
      <c r="J760" s="6" t="str">
        <f t="shared" si="319"/>
        <v>INVALID_SHIPPING</v>
      </c>
      <c r="K760" s="1" t="s">
        <v>2309</v>
      </c>
      <c r="L760" s="1" t="s">
        <v>59</v>
      </c>
      <c r="M760" s="1" t="str">
        <f t="shared" si="298"/>
        <v>Arjun Bose</v>
      </c>
      <c r="N760" s="1" t="s">
        <v>104</v>
      </c>
      <c r="O760" s="1" t="str">
        <f t="shared" si="299"/>
        <v>Corporate</v>
      </c>
      <c r="P760" s="1" t="s">
        <v>71</v>
      </c>
      <c r="Q760" s="1" t="str">
        <f t="shared" si="300"/>
        <v>West</v>
      </c>
      <c r="R760" s="1" t="str">
        <f t="shared" si="301"/>
        <v>OK</v>
      </c>
      <c r="S760" s="1" t="s">
        <v>218</v>
      </c>
      <c r="T760" s="1" t="str">
        <f t="shared" si="302"/>
        <v>Gujarat</v>
      </c>
      <c r="U760" s="1" t="s">
        <v>219</v>
      </c>
      <c r="V760" s="1" t="str">
        <f t="shared" si="303"/>
        <v>Ahmedabad</v>
      </c>
      <c r="W760" s="1" t="s">
        <v>2310</v>
      </c>
      <c r="X760" s="1" t="str">
        <f t="shared" si="304"/>
        <v>Office Supplies</v>
      </c>
      <c r="Y760" s="1" t="s">
        <v>30</v>
      </c>
      <c r="Z760" s="1" t="str">
        <f t="shared" si="305"/>
        <v>Paper</v>
      </c>
      <c r="AA760" s="1" t="s">
        <v>2311</v>
      </c>
      <c r="AB760" s="1" t="s">
        <v>55</v>
      </c>
      <c r="AC760" s="1" t="str">
        <f t="shared" si="306"/>
        <v>First Class</v>
      </c>
      <c r="AD760" s="1" t="str">
        <f t="shared" si="307"/>
        <v>OK</v>
      </c>
      <c r="AE760" s="1">
        <v>5</v>
      </c>
      <c r="AF760" s="1">
        <v>2567.37</v>
      </c>
      <c r="AG760" s="9">
        <v>0.15</v>
      </c>
      <c r="AH760" s="9">
        <f t="shared" si="308"/>
        <v>0.15</v>
      </c>
      <c r="AI760" s="1" t="str">
        <f t="shared" si="309"/>
        <v>OK</v>
      </c>
      <c r="AJ760" s="1">
        <v>10911.32</v>
      </c>
      <c r="AK760" s="1">
        <v>6966.44</v>
      </c>
      <c r="AL760" s="1">
        <v>4395.17</v>
      </c>
      <c r="AM760" s="13">
        <f t="shared" si="310"/>
        <v>10911.322499999998</v>
      </c>
      <c r="AN760" s="9">
        <f t="shared" si="311"/>
        <v>3944.8824999999988</v>
      </c>
      <c r="AO760" s="9">
        <f t="shared" si="320"/>
        <v>0.36154027158486052</v>
      </c>
      <c r="AP760" s="1" t="s">
        <v>33</v>
      </c>
      <c r="AQ760" s="1" t="str">
        <f t="shared" si="312"/>
        <v>Paid</v>
      </c>
      <c r="AR760" s="1" t="str">
        <f t="shared" si="313"/>
        <v>OK</v>
      </c>
      <c r="AS760" s="1" t="s">
        <v>34</v>
      </c>
      <c r="AT760" s="4" t="str">
        <f t="shared" si="314"/>
        <v>Completed</v>
      </c>
      <c r="AU760" s="3" t="str">
        <f t="shared" si="315"/>
        <v>OK</v>
      </c>
      <c r="AV760" s="3" t="str">
        <f t="shared" si="321"/>
        <v>INVALID</v>
      </c>
      <c r="AW760" t="str">
        <f t="shared" si="322"/>
        <v>MATCH</v>
      </c>
      <c r="AX760" t="str">
        <f t="shared" si="323"/>
        <v>MISMATCH</v>
      </c>
    </row>
    <row r="761" spans="1:50" ht="15.6">
      <c r="A761" s="1" t="s">
        <v>2320</v>
      </c>
      <c r="B761" s="1">
        <f t="shared" si="297"/>
        <v>2</v>
      </c>
      <c r="C761" s="16">
        <v>45971</v>
      </c>
      <c r="D761" s="16">
        <v>45971</v>
      </c>
      <c r="E761" s="16" t="str">
        <f t="shared" si="316"/>
        <v>Nov</v>
      </c>
      <c r="F761" s="1">
        <f t="shared" si="317"/>
        <v>2025</v>
      </c>
      <c r="G761" t="s">
        <v>3079</v>
      </c>
      <c r="H761" s="17">
        <v>45499</v>
      </c>
      <c r="I761" s="21">
        <f t="shared" si="318"/>
        <v>-472</v>
      </c>
      <c r="J761" s="6" t="str">
        <f t="shared" si="319"/>
        <v>INVALID_SHIPPING</v>
      </c>
      <c r="K761" s="1" t="s">
        <v>2322</v>
      </c>
      <c r="L761" s="1" t="s">
        <v>39</v>
      </c>
      <c r="M761" s="1" t="str">
        <f t="shared" si="298"/>
        <v>Mira Das</v>
      </c>
      <c r="N761" s="1" t="s">
        <v>104</v>
      </c>
      <c r="O761" s="1" t="str">
        <f t="shared" si="299"/>
        <v>Corporate</v>
      </c>
      <c r="P761" s="1" t="s">
        <v>60</v>
      </c>
      <c r="Q761" s="1" t="str">
        <f t="shared" si="300"/>
        <v>South</v>
      </c>
      <c r="R761" s="1" t="str">
        <f t="shared" si="301"/>
        <v>OK</v>
      </c>
      <c r="S761" s="1" t="s">
        <v>61</v>
      </c>
      <c r="T761" s="1" t="str">
        <f t="shared" si="302"/>
        <v>Telangana</v>
      </c>
      <c r="U761" s="1" t="s">
        <v>62</v>
      </c>
      <c r="V761" s="1" t="str">
        <f t="shared" si="303"/>
        <v>Hyderabad</v>
      </c>
      <c r="W761" s="1" t="s">
        <v>29</v>
      </c>
      <c r="X761" s="1" t="str">
        <f t="shared" si="304"/>
        <v>Office Supplies</v>
      </c>
      <c r="Y761" s="1" t="s">
        <v>53</v>
      </c>
      <c r="Z761" s="1" t="str">
        <f t="shared" si="305"/>
        <v>Art</v>
      </c>
      <c r="AA761" s="1" t="s">
        <v>2323</v>
      </c>
      <c r="AB761" s="1" t="s">
        <v>32</v>
      </c>
      <c r="AC761" s="1" t="str">
        <f t="shared" si="306"/>
        <v>Second Class</v>
      </c>
      <c r="AD761" s="1" t="str">
        <f t="shared" si="307"/>
        <v>OK</v>
      </c>
      <c r="AE761" s="1">
        <v>3</v>
      </c>
      <c r="AF761" s="1">
        <v>3804.27</v>
      </c>
      <c r="AG761" s="9">
        <v>0.1</v>
      </c>
      <c r="AH761" s="9">
        <f t="shared" si="308"/>
        <v>0.1</v>
      </c>
      <c r="AI761" s="1" t="str">
        <f t="shared" si="309"/>
        <v>OK</v>
      </c>
      <c r="AJ761" s="1">
        <v>10271.530000000001</v>
      </c>
      <c r="AK761" s="1">
        <v>8272.24</v>
      </c>
      <c r="AL761" s="1">
        <v>1999.29</v>
      </c>
      <c r="AM761" s="13">
        <f t="shared" si="310"/>
        <v>10271.529</v>
      </c>
      <c r="AN761" s="9">
        <f t="shared" si="311"/>
        <v>1999.2890000000007</v>
      </c>
      <c r="AO761" s="9">
        <f t="shared" si="320"/>
        <v>0.19464375751652949</v>
      </c>
      <c r="AP761" s="1" t="s">
        <v>33</v>
      </c>
      <c r="AQ761" s="1" t="str">
        <f t="shared" si="312"/>
        <v>Paid</v>
      </c>
      <c r="AR761" s="1" t="str">
        <f t="shared" si="313"/>
        <v>OK</v>
      </c>
      <c r="AS761" s="1" t="s">
        <v>34</v>
      </c>
      <c r="AT761" s="4" t="str">
        <f t="shared" si="314"/>
        <v>Completed</v>
      </c>
      <c r="AU761" s="3" t="str">
        <f t="shared" si="315"/>
        <v>OK</v>
      </c>
      <c r="AV761" s="3" t="str">
        <f t="shared" si="321"/>
        <v>INVALID</v>
      </c>
      <c r="AW761" t="str">
        <f t="shared" si="322"/>
        <v>MATCH</v>
      </c>
      <c r="AX761" t="str">
        <f t="shared" si="323"/>
        <v>MATCH</v>
      </c>
    </row>
    <row r="762" spans="1:50" ht="15.6">
      <c r="A762" s="1" t="s">
        <v>2320</v>
      </c>
      <c r="B762" s="1">
        <f t="shared" si="297"/>
        <v>2</v>
      </c>
      <c r="C762" s="16">
        <v>45971</v>
      </c>
      <c r="D762" s="16">
        <v>45971</v>
      </c>
      <c r="E762" s="16" t="str">
        <f t="shared" si="316"/>
        <v>Nov</v>
      </c>
      <c r="F762" s="1">
        <f t="shared" si="317"/>
        <v>2025</v>
      </c>
      <c r="G762" t="s">
        <v>1054</v>
      </c>
      <c r="H762" s="17">
        <v>45537</v>
      </c>
      <c r="I762" s="21">
        <f t="shared" si="318"/>
        <v>-434</v>
      </c>
      <c r="J762" s="6" t="str">
        <f t="shared" si="319"/>
        <v>INVALID_SHIPPING</v>
      </c>
      <c r="K762" s="1" t="s">
        <v>2322</v>
      </c>
      <c r="L762" s="1" t="s">
        <v>39</v>
      </c>
      <c r="M762" s="1" t="str">
        <f t="shared" si="298"/>
        <v>Mira Das</v>
      </c>
      <c r="N762" s="1" t="s">
        <v>104</v>
      </c>
      <c r="O762" s="1" t="str">
        <f t="shared" si="299"/>
        <v>Corporate</v>
      </c>
      <c r="P762" s="1" t="s">
        <v>60</v>
      </c>
      <c r="Q762" s="1" t="str">
        <f t="shared" si="300"/>
        <v>South</v>
      </c>
      <c r="R762" s="1" t="str">
        <f t="shared" si="301"/>
        <v>OK</v>
      </c>
      <c r="S762" s="1" t="s">
        <v>61</v>
      </c>
      <c r="T762" s="1" t="str">
        <f t="shared" si="302"/>
        <v>Telangana</v>
      </c>
      <c r="U762" s="1" t="s">
        <v>62</v>
      </c>
      <c r="V762" s="1" t="str">
        <f t="shared" si="303"/>
        <v>Hyderabad</v>
      </c>
      <c r="W762" s="1" t="s">
        <v>29</v>
      </c>
      <c r="X762" s="1" t="str">
        <f t="shared" si="304"/>
        <v>Office Supplies</v>
      </c>
      <c r="Y762" s="1" t="s">
        <v>53</v>
      </c>
      <c r="Z762" s="1" t="str">
        <f t="shared" si="305"/>
        <v>Art</v>
      </c>
      <c r="AA762" s="1" t="s">
        <v>2323</v>
      </c>
      <c r="AB762" s="1" t="s">
        <v>32</v>
      </c>
      <c r="AC762" s="1" t="str">
        <f t="shared" si="306"/>
        <v>Second Class</v>
      </c>
      <c r="AD762" s="1" t="str">
        <f t="shared" si="307"/>
        <v>OK</v>
      </c>
      <c r="AE762" s="1">
        <v>3</v>
      </c>
      <c r="AF762" s="1">
        <v>3804.27</v>
      </c>
      <c r="AG762" s="9">
        <v>0.1</v>
      </c>
      <c r="AH762" s="9">
        <f t="shared" si="308"/>
        <v>0.1</v>
      </c>
      <c r="AI762" s="1" t="str">
        <f t="shared" si="309"/>
        <v>OK</v>
      </c>
      <c r="AJ762" s="1">
        <v>10271.530000000001</v>
      </c>
      <c r="AK762" s="1">
        <v>8272.24</v>
      </c>
      <c r="AL762" s="1">
        <v>1999.29</v>
      </c>
      <c r="AM762" s="13">
        <f t="shared" si="310"/>
        <v>10271.529</v>
      </c>
      <c r="AN762" s="9">
        <f t="shared" si="311"/>
        <v>1999.2890000000007</v>
      </c>
      <c r="AO762" s="9">
        <f t="shared" si="320"/>
        <v>0.19464375751652949</v>
      </c>
      <c r="AP762" s="1" t="s">
        <v>33</v>
      </c>
      <c r="AQ762" s="1" t="str">
        <f t="shared" si="312"/>
        <v>Paid</v>
      </c>
      <c r="AR762" s="1" t="str">
        <f t="shared" si="313"/>
        <v>OK</v>
      </c>
      <c r="AS762" s="1" t="s">
        <v>34</v>
      </c>
      <c r="AT762" s="4" t="str">
        <f t="shared" si="314"/>
        <v>Completed</v>
      </c>
      <c r="AU762" s="3" t="str">
        <f t="shared" si="315"/>
        <v>OK</v>
      </c>
      <c r="AV762" s="3" t="str">
        <f t="shared" si="321"/>
        <v>INVALID</v>
      </c>
      <c r="AW762" t="str">
        <f t="shared" si="322"/>
        <v>MATCH</v>
      </c>
      <c r="AX762" t="str">
        <f t="shared" si="323"/>
        <v>MATCH</v>
      </c>
    </row>
    <row r="763" spans="1:50" ht="15.6" hidden="1">
      <c r="A763" s="1" t="s">
        <v>2332</v>
      </c>
      <c r="B763" s="1">
        <f t="shared" si="297"/>
        <v>1</v>
      </c>
      <c r="C763" s="16">
        <v>45681</v>
      </c>
      <c r="D763" s="16">
        <v>45681</v>
      </c>
      <c r="E763" s="16" t="str">
        <f t="shared" si="316"/>
        <v>Jan</v>
      </c>
      <c r="F763" s="1">
        <f t="shared" si="317"/>
        <v>2025</v>
      </c>
      <c r="G763" t="s">
        <v>3086</v>
      </c>
      <c r="H763" s="17">
        <v>45900</v>
      </c>
      <c r="I763" s="21">
        <f t="shared" si="318"/>
        <v>219</v>
      </c>
      <c r="J763" s="6" t="str">
        <f t="shared" si="319"/>
        <v>OK</v>
      </c>
      <c r="K763" s="1" t="s">
        <v>2333</v>
      </c>
      <c r="L763" s="1" t="s">
        <v>70</v>
      </c>
      <c r="M763" s="1" t="str">
        <f t="shared" si="298"/>
        <v>Ananya Rao</v>
      </c>
      <c r="N763" s="1" t="s">
        <v>104</v>
      </c>
      <c r="O763" s="1" t="str">
        <f t="shared" si="299"/>
        <v>Corporate</v>
      </c>
      <c r="P763" s="1" t="s">
        <v>41</v>
      </c>
      <c r="Q763" s="1" t="str">
        <f t="shared" si="300"/>
        <v>East</v>
      </c>
      <c r="R763" s="1" t="str">
        <f t="shared" si="301"/>
        <v>OK</v>
      </c>
      <c r="S763" s="1" t="s">
        <v>116</v>
      </c>
      <c r="T763" s="1" t="str">
        <f t="shared" si="302"/>
        <v>West Bengal</v>
      </c>
      <c r="U763" s="1" t="s">
        <v>117</v>
      </c>
      <c r="V763" s="1" t="str">
        <f t="shared" si="303"/>
        <v>Kolkata</v>
      </c>
      <c r="W763" s="1" t="s">
        <v>83</v>
      </c>
      <c r="X763" s="1" t="str">
        <f t="shared" si="304"/>
        <v>Technology</v>
      </c>
      <c r="Y763" s="1" t="s">
        <v>91</v>
      </c>
      <c r="Z763" s="1" t="str">
        <f t="shared" si="305"/>
        <v>Copiers</v>
      </c>
      <c r="AA763" s="1" t="s">
        <v>2334</v>
      </c>
      <c r="AB763" s="1" t="s">
        <v>65</v>
      </c>
      <c r="AC763" s="1" t="str">
        <f t="shared" si="306"/>
        <v>Standard Class</v>
      </c>
      <c r="AD763" s="1" t="str">
        <f t="shared" si="307"/>
        <v>OK</v>
      </c>
      <c r="AE763" s="1">
        <v>8</v>
      </c>
      <c r="AF763" s="1">
        <v>312.52999999999997</v>
      </c>
      <c r="AG763" s="9" t="s">
        <v>607</v>
      </c>
      <c r="AH763" s="9">
        <f t="shared" si="308"/>
        <v>0.7</v>
      </c>
      <c r="AI763" s="1" t="str">
        <f t="shared" si="309"/>
        <v>OK</v>
      </c>
      <c r="AJ763" s="1">
        <v>1875.18</v>
      </c>
      <c r="AK763" s="1">
        <v>1579.17</v>
      </c>
      <c r="AL763" s="1">
        <v>296.01</v>
      </c>
      <c r="AM763" s="13">
        <f t="shared" si="310"/>
        <v>750.072</v>
      </c>
      <c r="AN763" s="9">
        <f t="shared" si="311"/>
        <v>-829.09800000000007</v>
      </c>
      <c r="AO763" s="9">
        <f t="shared" si="320"/>
        <v>-1.1053578856429784</v>
      </c>
      <c r="AP763" s="1" t="s">
        <v>33</v>
      </c>
      <c r="AQ763" s="1" t="str">
        <f t="shared" si="312"/>
        <v>Paid</v>
      </c>
      <c r="AR763" s="1" t="str">
        <f t="shared" si="313"/>
        <v>OK</v>
      </c>
      <c r="AS763" s="1" t="s">
        <v>34</v>
      </c>
      <c r="AT763" s="4" t="str">
        <f t="shared" si="314"/>
        <v>Completed</v>
      </c>
      <c r="AU763" s="3" t="str">
        <f t="shared" si="315"/>
        <v>OK</v>
      </c>
      <c r="AV763" s="3" t="str">
        <f t="shared" si="321"/>
        <v>CLEAN</v>
      </c>
      <c r="AW763" t="str">
        <f t="shared" si="322"/>
        <v>MISMATCH</v>
      </c>
      <c r="AX763" t="str">
        <f t="shared" si="323"/>
        <v>MISMATCH</v>
      </c>
    </row>
    <row r="764" spans="1:50" ht="15.6">
      <c r="A764" s="1" t="s">
        <v>2335</v>
      </c>
      <c r="B764" s="1">
        <f t="shared" si="297"/>
        <v>1</v>
      </c>
      <c r="C764" s="16">
        <v>45772</v>
      </c>
      <c r="D764" s="16">
        <v>45772</v>
      </c>
      <c r="E764" s="16" t="str">
        <f t="shared" si="316"/>
        <v>Apr</v>
      </c>
      <c r="F764" s="1">
        <f t="shared" si="317"/>
        <v>2025</v>
      </c>
      <c r="G764" t="s">
        <v>3090</v>
      </c>
      <c r="H764" s="17">
        <v>45296</v>
      </c>
      <c r="I764" s="21">
        <f t="shared" si="318"/>
        <v>-476</v>
      </c>
      <c r="J764" s="6" t="str">
        <f t="shared" si="319"/>
        <v>INVALID_SHIPPING</v>
      </c>
      <c r="K764" s="1" t="s">
        <v>2337</v>
      </c>
      <c r="L764" s="1" t="s">
        <v>153</v>
      </c>
      <c r="M764" s="1" t="str">
        <f t="shared" si="298"/>
        <v>Aarav Sharma</v>
      </c>
      <c r="N764" s="1" t="s">
        <v>40</v>
      </c>
      <c r="O764" s="1" t="str">
        <f t="shared" si="299"/>
        <v>Small Business</v>
      </c>
      <c r="P764" s="1" t="s">
        <v>71</v>
      </c>
      <c r="Q764" s="1" t="str">
        <f t="shared" si="300"/>
        <v>West</v>
      </c>
      <c r="R764" s="1" t="str">
        <f t="shared" si="301"/>
        <v>OK</v>
      </c>
      <c r="S764" s="1" t="s">
        <v>218</v>
      </c>
      <c r="T764" s="1" t="str">
        <f t="shared" si="302"/>
        <v>Gujarat</v>
      </c>
      <c r="U764" s="1" t="s">
        <v>219</v>
      </c>
      <c r="V764" s="1" t="str">
        <f t="shared" si="303"/>
        <v>Ahmedabad</v>
      </c>
      <c r="W764" s="1" t="s">
        <v>29</v>
      </c>
      <c r="X764" s="1" t="str">
        <f t="shared" si="304"/>
        <v>Office Supplies</v>
      </c>
      <c r="Y764" s="1" t="s">
        <v>148</v>
      </c>
      <c r="Z764" s="1" t="str">
        <f t="shared" si="305"/>
        <v>Storage</v>
      </c>
      <c r="AA764" s="1" t="s">
        <v>2338</v>
      </c>
      <c r="AB764" s="1" t="s">
        <v>55</v>
      </c>
      <c r="AC764" s="1" t="str">
        <f t="shared" si="306"/>
        <v>First Class</v>
      </c>
      <c r="AD764" s="1" t="str">
        <f t="shared" si="307"/>
        <v>OK</v>
      </c>
      <c r="AE764" s="1">
        <v>9</v>
      </c>
      <c r="AF764" s="1">
        <v>1294.1099999999999</v>
      </c>
      <c r="AG764" s="9">
        <v>0.25</v>
      </c>
      <c r="AH764" s="9">
        <f t="shared" si="308"/>
        <v>0.25</v>
      </c>
      <c r="AI764" s="1" t="str">
        <f t="shared" si="309"/>
        <v>OK</v>
      </c>
      <c r="AJ764" s="1">
        <v>8735.24</v>
      </c>
      <c r="AK764" s="1">
        <v>6620.07</v>
      </c>
      <c r="AL764" s="1">
        <v>2115.17</v>
      </c>
      <c r="AM764" s="13">
        <f t="shared" si="310"/>
        <v>8735.2425000000003</v>
      </c>
      <c r="AN764" s="9">
        <f t="shared" si="311"/>
        <v>2115.1725000000006</v>
      </c>
      <c r="AO764" s="9">
        <f t="shared" si="320"/>
        <v>0.24214239043735769</v>
      </c>
      <c r="AP764" s="1" t="s">
        <v>33</v>
      </c>
      <c r="AQ764" s="1" t="str">
        <f t="shared" si="312"/>
        <v>Paid</v>
      </c>
      <c r="AR764" s="1" t="str">
        <f t="shared" si="313"/>
        <v>OK</v>
      </c>
      <c r="AS764" s="1" t="s">
        <v>34</v>
      </c>
      <c r="AT764" s="4" t="str">
        <f t="shared" si="314"/>
        <v>Completed</v>
      </c>
      <c r="AU764" s="3" t="str">
        <f t="shared" si="315"/>
        <v>OK</v>
      </c>
      <c r="AV764" s="3" t="str">
        <f t="shared" si="321"/>
        <v>INVALID</v>
      </c>
      <c r="AW764" t="str">
        <f t="shared" si="322"/>
        <v>MATCH</v>
      </c>
      <c r="AX764" t="str">
        <f t="shared" si="323"/>
        <v>MATCH</v>
      </c>
    </row>
    <row r="765" spans="1:50" ht="15.6" hidden="1">
      <c r="A765" s="1" t="s">
        <v>2343</v>
      </c>
      <c r="B765" s="1">
        <f t="shared" si="297"/>
        <v>1</v>
      </c>
      <c r="C765" s="16">
        <v>45692</v>
      </c>
      <c r="D765" s="16">
        <v>45692</v>
      </c>
      <c r="E765" s="16" t="str">
        <f t="shared" si="316"/>
        <v>Feb</v>
      </c>
      <c r="F765" s="1">
        <f t="shared" si="317"/>
        <v>2025</v>
      </c>
      <c r="G765" t="s">
        <v>3094</v>
      </c>
      <c r="H765" s="17">
        <v>45894</v>
      </c>
      <c r="I765" s="21">
        <f t="shared" si="318"/>
        <v>202</v>
      </c>
      <c r="J765" s="6" t="str">
        <f t="shared" si="319"/>
        <v>OK</v>
      </c>
      <c r="K765" s="1" t="s">
        <v>2345</v>
      </c>
      <c r="L765" s="1" t="s">
        <v>70</v>
      </c>
      <c r="M765" s="1" t="str">
        <f t="shared" si="298"/>
        <v>Ananya Rao</v>
      </c>
      <c r="N765" s="1" t="s">
        <v>40</v>
      </c>
      <c r="O765" s="1" t="str">
        <f t="shared" si="299"/>
        <v>Small Business</v>
      </c>
      <c r="P765" s="1" t="s">
        <v>60</v>
      </c>
      <c r="Q765" s="1" t="str">
        <f t="shared" si="300"/>
        <v>South</v>
      </c>
      <c r="R765" s="1" t="str">
        <f t="shared" si="301"/>
        <v>OK</v>
      </c>
      <c r="S765" s="1" t="s">
        <v>61</v>
      </c>
      <c r="T765" s="1" t="str">
        <f t="shared" si="302"/>
        <v>Telangana</v>
      </c>
      <c r="U765" s="1" t="s">
        <v>62</v>
      </c>
      <c r="V765" s="1" t="str">
        <f t="shared" si="303"/>
        <v>Hyderabad</v>
      </c>
      <c r="W765" s="1" t="s">
        <v>29</v>
      </c>
      <c r="X765" s="1" t="str">
        <f t="shared" si="304"/>
        <v>Office Supplies</v>
      </c>
      <c r="Y765" s="1" t="s">
        <v>148</v>
      </c>
      <c r="Z765" s="1" t="str">
        <f t="shared" si="305"/>
        <v>Storage</v>
      </c>
      <c r="AA765" s="1" t="s">
        <v>2346</v>
      </c>
      <c r="AB765" s="1" t="s">
        <v>65</v>
      </c>
      <c r="AC765" s="1" t="str">
        <f t="shared" si="306"/>
        <v>Standard Class</v>
      </c>
      <c r="AD765" s="1" t="str">
        <f t="shared" si="307"/>
        <v>OK</v>
      </c>
      <c r="AE765" s="1">
        <v>6</v>
      </c>
      <c r="AF765" s="1">
        <v>1042.8</v>
      </c>
      <c r="AG765" s="9">
        <v>0.05</v>
      </c>
      <c r="AH765" s="9">
        <f t="shared" si="308"/>
        <v>0.05</v>
      </c>
      <c r="AI765" s="1" t="str">
        <f t="shared" si="309"/>
        <v>OK</v>
      </c>
      <c r="AJ765" s="1">
        <v>5943.96</v>
      </c>
      <c r="AK765" s="1">
        <v>3604.14</v>
      </c>
      <c r="AL765" s="1">
        <v>2339.8200000000002</v>
      </c>
      <c r="AM765" s="13">
        <f t="shared" si="310"/>
        <v>5943.9599999999991</v>
      </c>
      <c r="AN765" s="9">
        <f t="shared" si="311"/>
        <v>2339.8199999999993</v>
      </c>
      <c r="AO765" s="9">
        <f t="shared" si="320"/>
        <v>0.39364665980255581</v>
      </c>
      <c r="AP765" s="1" t="s">
        <v>33</v>
      </c>
      <c r="AQ765" s="1" t="str">
        <f t="shared" si="312"/>
        <v>Paid</v>
      </c>
      <c r="AR765" s="1" t="str">
        <f t="shared" si="313"/>
        <v>OK</v>
      </c>
      <c r="AS765" s="1" t="s">
        <v>34</v>
      </c>
      <c r="AT765" s="4" t="str">
        <f t="shared" si="314"/>
        <v>Completed</v>
      </c>
      <c r="AU765" s="3" t="str">
        <f t="shared" si="315"/>
        <v>OK</v>
      </c>
      <c r="AV765" s="3" t="str">
        <f t="shared" si="321"/>
        <v>CLEAN</v>
      </c>
      <c r="AW765" t="str">
        <f t="shared" si="322"/>
        <v>MATCH</v>
      </c>
      <c r="AX765" t="str">
        <f t="shared" si="323"/>
        <v>MATCH</v>
      </c>
    </row>
    <row r="766" spans="1:50" ht="15.6" hidden="1">
      <c r="A766" s="1" t="s">
        <v>2355</v>
      </c>
      <c r="B766" s="1">
        <f t="shared" si="297"/>
        <v>1</v>
      </c>
      <c r="C766" s="16">
        <v>45756</v>
      </c>
      <c r="D766" s="16">
        <v>45756</v>
      </c>
      <c r="E766" s="16" t="str">
        <f t="shared" si="316"/>
        <v>Apr</v>
      </c>
      <c r="F766" s="1">
        <f t="shared" si="317"/>
        <v>2025</v>
      </c>
      <c r="G766" t="s">
        <v>2558</v>
      </c>
      <c r="H766" s="17">
        <v>45760</v>
      </c>
      <c r="I766" s="21">
        <f t="shared" si="318"/>
        <v>4</v>
      </c>
      <c r="J766" s="6" t="str">
        <f t="shared" si="319"/>
        <v>OK</v>
      </c>
      <c r="K766" s="1" t="s">
        <v>2357</v>
      </c>
      <c r="L766" s="1" t="s">
        <v>103</v>
      </c>
      <c r="M766" s="1" t="str">
        <f t="shared" si="298"/>
        <v>Aditi Sen</v>
      </c>
      <c r="N766" s="1" t="s">
        <v>104</v>
      </c>
      <c r="O766" s="1" t="str">
        <f t="shared" si="299"/>
        <v>Corporate</v>
      </c>
      <c r="P766" s="1" t="s">
        <v>26</v>
      </c>
      <c r="Q766" s="1" t="str">
        <f t="shared" si="300"/>
        <v>North</v>
      </c>
      <c r="R766" s="1" t="str">
        <f t="shared" si="301"/>
        <v>OK</v>
      </c>
      <c r="S766" s="1" t="s">
        <v>146</v>
      </c>
      <c r="T766" s="1" t="str">
        <f t="shared" si="302"/>
        <v>Punjab</v>
      </c>
      <c r="U766" s="1" t="s">
        <v>147</v>
      </c>
      <c r="V766" s="1" t="str">
        <f t="shared" si="303"/>
        <v>Ludhiana</v>
      </c>
      <c r="W766" s="1" t="s">
        <v>83</v>
      </c>
      <c r="X766" s="1" t="str">
        <f t="shared" si="304"/>
        <v>Technology</v>
      </c>
      <c r="Y766" s="1" t="s">
        <v>347</v>
      </c>
      <c r="Z766" s="1" t="str">
        <f t="shared" si="305"/>
        <v>Machines</v>
      </c>
      <c r="AA766" s="1" t="s">
        <v>2358</v>
      </c>
      <c r="AB766" s="1" t="s">
        <v>55</v>
      </c>
      <c r="AC766" s="1" t="str">
        <f t="shared" si="306"/>
        <v>First Class</v>
      </c>
      <c r="AD766" s="1" t="str">
        <f t="shared" si="307"/>
        <v>OK</v>
      </c>
      <c r="AE766" s="1">
        <v>8</v>
      </c>
      <c r="AF766" s="1">
        <v>3079.95</v>
      </c>
      <c r="AG766" s="9">
        <v>0.2</v>
      </c>
      <c r="AH766" s="9">
        <f t="shared" si="308"/>
        <v>0.2</v>
      </c>
      <c r="AI766" s="1" t="str">
        <f t="shared" si="309"/>
        <v>OK</v>
      </c>
      <c r="AJ766" s="1">
        <v>19711.68</v>
      </c>
      <c r="AK766" s="1">
        <v>14461.8</v>
      </c>
      <c r="AL766" s="1">
        <v>5249.88</v>
      </c>
      <c r="AM766" s="13">
        <f t="shared" si="310"/>
        <v>19711.68</v>
      </c>
      <c r="AN766" s="9">
        <f t="shared" si="311"/>
        <v>5249.880000000001</v>
      </c>
      <c r="AO766" s="9">
        <f t="shared" si="320"/>
        <v>0.26633346320557155</v>
      </c>
      <c r="AP766" s="1" t="s">
        <v>33</v>
      </c>
      <c r="AQ766" s="1" t="str">
        <f t="shared" si="312"/>
        <v>Paid</v>
      </c>
      <c r="AR766" s="1" t="str">
        <f t="shared" si="313"/>
        <v>OK</v>
      </c>
      <c r="AS766" s="1" t="s">
        <v>34</v>
      </c>
      <c r="AT766" s="4" t="str">
        <f t="shared" si="314"/>
        <v>Completed</v>
      </c>
      <c r="AU766" s="3" t="str">
        <f t="shared" si="315"/>
        <v>OK</v>
      </c>
      <c r="AV766" s="3" t="str">
        <f t="shared" si="321"/>
        <v>CLEAN</v>
      </c>
      <c r="AW766" t="str">
        <f t="shared" si="322"/>
        <v>MATCH</v>
      </c>
      <c r="AX766" t="str">
        <f t="shared" si="323"/>
        <v>MATCH</v>
      </c>
    </row>
    <row r="767" spans="1:50" ht="15.6">
      <c r="A767" s="1" t="s">
        <v>2359</v>
      </c>
      <c r="B767" s="1">
        <f t="shared" si="297"/>
        <v>1</v>
      </c>
      <c r="C767" s="16">
        <v>45930</v>
      </c>
      <c r="D767" s="16">
        <v>45930</v>
      </c>
      <c r="E767" s="16" t="str">
        <f t="shared" si="316"/>
        <v>Sep</v>
      </c>
      <c r="F767" s="1">
        <f t="shared" si="317"/>
        <v>2025</v>
      </c>
      <c r="G767" t="s">
        <v>3100</v>
      </c>
      <c r="H767" s="17">
        <v>45841</v>
      </c>
      <c r="I767" s="21">
        <f t="shared" si="318"/>
        <v>-89</v>
      </c>
      <c r="J767" s="6" t="str">
        <f t="shared" si="319"/>
        <v>INVALID_SHIPPING</v>
      </c>
      <c r="K767" s="1" t="s">
        <v>2361</v>
      </c>
      <c r="L767" s="1" t="s">
        <v>196</v>
      </c>
      <c r="M767" s="1" t="str">
        <f t="shared" si="298"/>
        <v>Diya Patel</v>
      </c>
      <c r="N767" s="1" t="s">
        <v>104</v>
      </c>
      <c r="O767" s="1" t="str">
        <f t="shared" si="299"/>
        <v>Corporate</v>
      </c>
      <c r="P767" s="1" t="s">
        <v>41</v>
      </c>
      <c r="Q767" s="1" t="str">
        <f t="shared" si="300"/>
        <v>East</v>
      </c>
      <c r="R767" s="1" t="str">
        <f t="shared" si="301"/>
        <v>OK</v>
      </c>
      <c r="S767" s="1" t="s">
        <v>174</v>
      </c>
      <c r="T767" s="1" t="str">
        <f t="shared" si="302"/>
        <v>Bihar</v>
      </c>
      <c r="U767" s="1" t="s">
        <v>175</v>
      </c>
      <c r="V767" s="1" t="str">
        <f t="shared" si="303"/>
        <v>Patna</v>
      </c>
      <c r="W767" s="1" t="s">
        <v>83</v>
      </c>
      <c r="X767" s="1" t="str">
        <f t="shared" si="304"/>
        <v>Technology</v>
      </c>
      <c r="Y767" s="1" t="s">
        <v>91</v>
      </c>
      <c r="Z767" s="1" t="str">
        <f t="shared" si="305"/>
        <v>Copiers</v>
      </c>
      <c r="AA767" s="1" t="s">
        <v>2362</v>
      </c>
      <c r="AB767" s="1" t="s">
        <v>32</v>
      </c>
      <c r="AC767" s="1" t="str">
        <f t="shared" si="306"/>
        <v>Second Class</v>
      </c>
      <c r="AD767" s="1" t="str">
        <f t="shared" si="307"/>
        <v>OK</v>
      </c>
      <c r="AE767" s="1">
        <v>5</v>
      </c>
      <c r="AF767" s="1">
        <v>3277.82</v>
      </c>
      <c r="AG767" s="9">
        <v>0.1</v>
      </c>
      <c r="AH767" s="9">
        <f t="shared" si="308"/>
        <v>0.1</v>
      </c>
      <c r="AI767" s="1" t="str">
        <f t="shared" si="309"/>
        <v>OK</v>
      </c>
      <c r="AJ767" s="1">
        <v>14750.19</v>
      </c>
      <c r="AK767" s="1">
        <v>9482.58</v>
      </c>
      <c r="AL767" s="1">
        <v>5267.61</v>
      </c>
      <c r="AM767" s="13">
        <f t="shared" si="310"/>
        <v>14750.190000000002</v>
      </c>
      <c r="AN767" s="9">
        <f t="shared" si="311"/>
        <v>5267.6100000000024</v>
      </c>
      <c r="AO767" s="9">
        <f t="shared" si="320"/>
        <v>0.35712150148574368</v>
      </c>
      <c r="AP767" s="1" t="s">
        <v>33</v>
      </c>
      <c r="AQ767" s="1" t="str">
        <f t="shared" si="312"/>
        <v>Paid</v>
      </c>
      <c r="AR767" s="1" t="str">
        <f t="shared" si="313"/>
        <v>OK</v>
      </c>
      <c r="AS767" s="1" t="s">
        <v>120</v>
      </c>
      <c r="AT767" s="4" t="str">
        <f t="shared" si="314"/>
        <v>Returned</v>
      </c>
      <c r="AU767" s="3" t="str">
        <f t="shared" si="315"/>
        <v>RETURNED_ORDER</v>
      </c>
      <c r="AV767" s="3" t="str">
        <f t="shared" si="321"/>
        <v>INVALID</v>
      </c>
      <c r="AW767" t="str">
        <f t="shared" si="322"/>
        <v>MATCH</v>
      </c>
      <c r="AX767" t="str">
        <f t="shared" si="323"/>
        <v>MATCH</v>
      </c>
    </row>
    <row r="768" spans="1:50" ht="15.6">
      <c r="A768" s="1" t="s">
        <v>2366</v>
      </c>
      <c r="B768" s="1">
        <f t="shared" si="297"/>
        <v>1</v>
      </c>
      <c r="C768" s="16">
        <v>45852</v>
      </c>
      <c r="D768" s="16">
        <v>45852</v>
      </c>
      <c r="E768" s="16" t="str">
        <f t="shared" si="316"/>
        <v>Jul</v>
      </c>
      <c r="F768" s="1">
        <f t="shared" si="317"/>
        <v>2025</v>
      </c>
      <c r="G768" t="s">
        <v>1767</v>
      </c>
      <c r="H768" s="17">
        <v>45559</v>
      </c>
      <c r="I768" s="21">
        <f t="shared" si="318"/>
        <v>-293</v>
      </c>
      <c r="J768" s="6" t="str">
        <f t="shared" si="319"/>
        <v>INVALID_SHIPPING</v>
      </c>
      <c r="K768" s="1" t="s">
        <v>2368</v>
      </c>
      <c r="L768" s="1" t="s">
        <v>103</v>
      </c>
      <c r="M768" s="1" t="str">
        <f t="shared" si="298"/>
        <v>Aditi Sen</v>
      </c>
      <c r="N768" s="1" t="s">
        <v>25</v>
      </c>
      <c r="O768" s="1" t="str">
        <f t="shared" si="299"/>
        <v>Consumer</v>
      </c>
      <c r="P768" s="1" t="s">
        <v>26</v>
      </c>
      <c r="Q768" s="1" t="str">
        <f t="shared" si="300"/>
        <v>North</v>
      </c>
      <c r="R768" s="1" t="str">
        <f t="shared" si="301"/>
        <v>OK</v>
      </c>
      <c r="S768" s="1" t="s">
        <v>146</v>
      </c>
      <c r="T768" s="1" t="str">
        <f t="shared" si="302"/>
        <v>Punjab</v>
      </c>
      <c r="U768" s="1" t="s">
        <v>147</v>
      </c>
      <c r="V768" s="1" t="str">
        <f t="shared" si="303"/>
        <v>Ludhiana</v>
      </c>
      <c r="W768" s="1" t="s">
        <v>83</v>
      </c>
      <c r="X768" s="1" t="str">
        <f t="shared" si="304"/>
        <v>Technology</v>
      </c>
      <c r="Y768" s="1" t="s">
        <v>91</v>
      </c>
      <c r="Z768" s="1" t="str">
        <f t="shared" si="305"/>
        <v>Copiers</v>
      </c>
      <c r="AA768" s="1" t="s">
        <v>2369</v>
      </c>
      <c r="AB768" s="1" t="s">
        <v>55</v>
      </c>
      <c r="AC768" s="1" t="str">
        <f t="shared" si="306"/>
        <v>First Class</v>
      </c>
      <c r="AD768" s="1" t="str">
        <f t="shared" si="307"/>
        <v>OK</v>
      </c>
      <c r="AE768" s="1">
        <v>4</v>
      </c>
      <c r="AF768" s="1">
        <v>725.22</v>
      </c>
      <c r="AG768" s="9">
        <v>0</v>
      </c>
      <c r="AH768" s="9">
        <f t="shared" si="308"/>
        <v>0</v>
      </c>
      <c r="AI768" s="1" t="str">
        <f t="shared" si="309"/>
        <v>OK</v>
      </c>
      <c r="AJ768" s="1">
        <v>2900.88</v>
      </c>
      <c r="AK768" s="1">
        <v>2391.85</v>
      </c>
      <c r="AL768" s="1">
        <v>509.03</v>
      </c>
      <c r="AM768" s="13">
        <f t="shared" si="310"/>
        <v>2900.88</v>
      </c>
      <c r="AN768" s="9">
        <f t="shared" si="311"/>
        <v>509.0300000000002</v>
      </c>
      <c r="AO768" s="9">
        <f t="shared" si="320"/>
        <v>0.17547433882132324</v>
      </c>
      <c r="AP768" s="1" t="s">
        <v>131</v>
      </c>
      <c r="AQ768" s="1" t="str">
        <f t="shared" si="312"/>
        <v>Pending</v>
      </c>
      <c r="AR768" s="1" t="str">
        <f t="shared" si="313"/>
        <v>OK</v>
      </c>
      <c r="AS768" s="1" t="s">
        <v>120</v>
      </c>
      <c r="AT768" s="4" t="str">
        <f t="shared" si="314"/>
        <v>Returned</v>
      </c>
      <c r="AU768" s="3" t="str">
        <f t="shared" si="315"/>
        <v>RETURNED_ORDER</v>
      </c>
      <c r="AV768" s="3" t="str">
        <f t="shared" si="321"/>
        <v>INVALID</v>
      </c>
      <c r="AW768" t="str">
        <f t="shared" si="322"/>
        <v>MATCH</v>
      </c>
      <c r="AX768" t="str">
        <f t="shared" si="323"/>
        <v>MATCH</v>
      </c>
    </row>
    <row r="769" spans="1:50" ht="15.6">
      <c r="A769" s="1" t="s">
        <v>2382</v>
      </c>
      <c r="B769" s="1">
        <f t="shared" si="297"/>
        <v>1</v>
      </c>
      <c r="C769" s="16">
        <v>45846</v>
      </c>
      <c r="D769" s="16">
        <v>45846</v>
      </c>
      <c r="E769" s="16" t="str">
        <f t="shared" si="316"/>
        <v>Jul</v>
      </c>
      <c r="F769" s="1">
        <f t="shared" si="317"/>
        <v>2025</v>
      </c>
      <c r="G769" t="s">
        <v>2375</v>
      </c>
      <c r="H769" s="17">
        <v>45418</v>
      </c>
      <c r="I769" s="21">
        <f t="shared" si="318"/>
        <v>-428</v>
      </c>
      <c r="J769" s="6" t="str">
        <f t="shared" si="319"/>
        <v>INVALID_SHIPPING</v>
      </c>
      <c r="K769" s="1" t="s">
        <v>2383</v>
      </c>
      <c r="L769" s="1" t="s">
        <v>39</v>
      </c>
      <c r="M769" s="1" t="str">
        <f t="shared" si="298"/>
        <v>Mira Das</v>
      </c>
      <c r="N769" s="1" t="s">
        <v>104</v>
      </c>
      <c r="O769" s="1" t="str">
        <f t="shared" si="299"/>
        <v>Corporate</v>
      </c>
      <c r="P769" s="1" t="s">
        <v>26</v>
      </c>
      <c r="Q769" s="1" t="str">
        <f t="shared" si="300"/>
        <v>North</v>
      </c>
      <c r="R769" s="1" t="str">
        <f t="shared" si="301"/>
        <v>OK</v>
      </c>
      <c r="S769" s="1" t="s">
        <v>454</v>
      </c>
      <c r="T769" s="1" t="str">
        <f t="shared" si="302"/>
        <v>Delhi</v>
      </c>
      <c r="U769" s="1" t="s">
        <v>455</v>
      </c>
      <c r="V769" s="1" t="str">
        <f t="shared" si="303"/>
        <v>New Delhi</v>
      </c>
      <c r="W769" s="1" t="s">
        <v>83</v>
      </c>
      <c r="X769" s="1" t="str">
        <f t="shared" si="304"/>
        <v>Technology</v>
      </c>
      <c r="Y769" s="1" t="s">
        <v>207</v>
      </c>
      <c r="Z769" s="1" t="str">
        <f t="shared" si="305"/>
        <v>Phones</v>
      </c>
      <c r="AA769" s="1" t="s">
        <v>2384</v>
      </c>
      <c r="AB769" s="1" t="s">
        <v>65</v>
      </c>
      <c r="AC769" s="1" t="str">
        <f t="shared" si="306"/>
        <v>Standard Class</v>
      </c>
      <c r="AD769" s="1" t="str">
        <f t="shared" si="307"/>
        <v>OK</v>
      </c>
      <c r="AE769" s="1">
        <v>6</v>
      </c>
      <c r="AF769" s="1">
        <v>1921.86</v>
      </c>
      <c r="AG769" s="9">
        <v>0.2</v>
      </c>
      <c r="AH769" s="9">
        <f t="shared" si="308"/>
        <v>0.2</v>
      </c>
      <c r="AI769" s="1" t="str">
        <f t="shared" si="309"/>
        <v>OK</v>
      </c>
      <c r="AJ769" s="1">
        <v>9224.93</v>
      </c>
      <c r="AK769" s="1">
        <v>7005.2</v>
      </c>
      <c r="AL769" s="1">
        <v>2219.73</v>
      </c>
      <c r="AM769" s="13">
        <f t="shared" si="310"/>
        <v>9224.9279999999999</v>
      </c>
      <c r="AN769" s="9">
        <f t="shared" si="311"/>
        <v>2219.7280000000001</v>
      </c>
      <c r="AO769" s="9">
        <f t="shared" si="320"/>
        <v>0.24062279944081949</v>
      </c>
      <c r="AP769" s="1" t="s">
        <v>119</v>
      </c>
      <c r="AQ769" s="1" t="str">
        <f t="shared" si="312"/>
        <v>Refunded</v>
      </c>
      <c r="AR769" s="1" t="str">
        <f t="shared" si="313"/>
        <v>REFUNDED_PAYMENT</v>
      </c>
      <c r="AS769" s="1" t="s">
        <v>76</v>
      </c>
      <c r="AT769" s="4" t="str">
        <f t="shared" si="314"/>
        <v>Cancelled</v>
      </c>
      <c r="AU769" s="3" t="str">
        <f t="shared" si="315"/>
        <v>EXCLUDE_FROM_SALES</v>
      </c>
      <c r="AV769" s="3" t="str">
        <f t="shared" si="321"/>
        <v>INVALID</v>
      </c>
      <c r="AW769" t="str">
        <f t="shared" si="322"/>
        <v>MATCH</v>
      </c>
      <c r="AX769" t="str">
        <f t="shared" si="323"/>
        <v>MATCH</v>
      </c>
    </row>
    <row r="770" spans="1:50" ht="15.6">
      <c r="A770" s="1" t="s">
        <v>2396</v>
      </c>
      <c r="B770" s="1">
        <f t="shared" ref="B770:B833" si="324">COUNTIF($A:$A,A770)</f>
        <v>1</v>
      </c>
      <c r="C770" s="16">
        <v>45878</v>
      </c>
      <c r="D770" s="16">
        <v>45878</v>
      </c>
      <c r="E770" s="16" t="str">
        <f t="shared" si="316"/>
        <v>Aug</v>
      </c>
      <c r="F770" s="1">
        <f t="shared" si="317"/>
        <v>2025</v>
      </c>
      <c r="G770" t="s">
        <v>3110</v>
      </c>
      <c r="H770" s="17">
        <v>45751</v>
      </c>
      <c r="I770" s="21">
        <f t="shared" si="318"/>
        <v>-127</v>
      </c>
      <c r="J770" s="6" t="str">
        <f t="shared" si="319"/>
        <v>INVALID_SHIPPING</v>
      </c>
      <c r="K770" s="1" t="s">
        <v>2399</v>
      </c>
      <c r="L770" s="1" t="s">
        <v>141</v>
      </c>
      <c r="M770" s="1" t="str">
        <f t="shared" ref="M770:M833" si="325">PROPER(TRIM(SUBSTITUTE(L770,CHAR(160)," ")))</f>
        <v>Rahul Verma</v>
      </c>
      <c r="N770" s="1" t="s">
        <v>110</v>
      </c>
      <c r="O770" s="1" t="str">
        <f t="shared" ref="O770:O833" si="326">PROPER(TRIM(SUBSTITUTE(N770,CHAR(160)," ")))</f>
        <v>Home Office</v>
      </c>
      <c r="P770" s="1" t="s">
        <v>71</v>
      </c>
      <c r="Q770" s="1" t="str">
        <f t="shared" ref="Q770:Q833" si="327">IF(TRIM(P770)="","Unknown",PROPER(TRIM(P770)))</f>
        <v>West</v>
      </c>
      <c r="R770" s="1" t="str">
        <f t="shared" ref="R770:R833" si="328">IF(Q770="Unknown","MISSING_REGION","OK")</f>
        <v>OK</v>
      </c>
      <c r="S770" s="1" t="s">
        <v>72</v>
      </c>
      <c r="T770" s="1" t="str">
        <f t="shared" ref="T770:T833" si="329">PROPER(TRIM(SUBSTITUTE(S770,CHAR(160)," ")))</f>
        <v>Maharashtra</v>
      </c>
      <c r="U770" s="1" t="s">
        <v>73</v>
      </c>
      <c r="V770" s="1" t="str">
        <f t="shared" ref="V770:V833" si="330">PROPER(TRIM(SUBSTITUTE(U770,CHAR(160)," ")))</f>
        <v>Mumbai</v>
      </c>
      <c r="W770" s="1" t="s">
        <v>44</v>
      </c>
      <c r="X770" s="1" t="str">
        <f t="shared" ref="X770:X833" si="331">PROPER(TRIM(SUBSTITUTE(W770,CHAR(160)," ")))</f>
        <v>Furniture</v>
      </c>
      <c r="Y770" s="1" t="s">
        <v>63</v>
      </c>
      <c r="Z770" s="1" t="str">
        <f t="shared" ref="Z770:Z833" si="332">PROPER(TRIM(SUBSTITUTE(Y770,CHAR(160)," ")))</f>
        <v>Furnishings</v>
      </c>
      <c r="AA770" s="1" t="s">
        <v>2400</v>
      </c>
      <c r="AB770" s="1" t="s">
        <v>65</v>
      </c>
      <c r="AC770" s="1" t="str">
        <f t="shared" ref="AC770:AC833" si="333">IF(TRIM(AB770)="","Unknown",PROPER(TRIM(AB770)))</f>
        <v>Standard Class</v>
      </c>
      <c r="AD770" s="1" t="str">
        <f t="shared" ref="AD770:AD833" si="334">IF(AC770="Unknown","MISSING_SHIP_MODE","OK")</f>
        <v>OK</v>
      </c>
      <c r="AE770" s="1">
        <v>6</v>
      </c>
      <c r="AF770" s="1">
        <v>3251.17</v>
      </c>
      <c r="AG770" s="9">
        <v>0.25</v>
      </c>
      <c r="AH770" s="9">
        <f t="shared" ref="AH770:AH833" si="335">IF(RIGHT(AG770,1)="%",VALUE(SUBSTITUTE(AG770,"%",""))/100,AG770)</f>
        <v>0.25</v>
      </c>
      <c r="AI770" s="1" t="str">
        <f t="shared" ref="AI770:AI833" si="336">IF(AG770="","Missing Discount",
IF(AG770&lt;0,"Invalid Negative Discount",
"OK"))</f>
        <v>OK</v>
      </c>
      <c r="AJ770" s="1">
        <v>14630.26</v>
      </c>
      <c r="AK770" s="1">
        <v>11906.36</v>
      </c>
      <c r="AL770" s="1">
        <v>2723.9</v>
      </c>
      <c r="AM770" s="13">
        <f t="shared" ref="AM770:AM833" si="337">IF(AH770&lt;0,"INVALID",AE770*AF770*(1-AH770))</f>
        <v>14630.264999999999</v>
      </c>
      <c r="AN770" s="9">
        <f t="shared" ref="AN770:AN833" si="338">IF(AM770="INVALID","INVALID",
AM770-AK770)</f>
        <v>2723.9049999999988</v>
      </c>
      <c r="AO770" s="9">
        <f t="shared" si="320"/>
        <v>0.18618288868998606</v>
      </c>
      <c r="AP770" s="1" t="s">
        <v>119</v>
      </c>
      <c r="AQ770" s="1" t="str">
        <f t="shared" ref="AQ770:AQ833" si="339">PROPER(TRIM(SUBSTITUTE(AP770,CHAR(160)," ")))</f>
        <v>Refunded</v>
      </c>
      <c r="AR770" s="1" t="str">
        <f t="shared" ref="AR770:AR833" si="340">IF(AQ770="Failed","EXCLUDE_FROM_SALES",
IF(AQ770="Refunded","REFUNDED_PAYMENT",
"OK"))</f>
        <v>REFUNDED_PAYMENT</v>
      </c>
      <c r="AS770" s="1" t="s">
        <v>120</v>
      </c>
      <c r="AT770" s="4" t="str">
        <f t="shared" ref="AT770:AT833" si="341">PROPER(TRIM(SUBSTITUTE(AS770,CHAR(160)," ")))</f>
        <v>Returned</v>
      </c>
      <c r="AU770" s="3" t="str">
        <f t="shared" ref="AU770:AU833" si="342">IF(AT770="Cancelled","EXCLUDE_FROM_SALES",
IF(AT770="Returned","RETURNED_ORDER",
"OK"))</f>
        <v>RETURNED_ORDER</v>
      </c>
      <c r="AV770" s="3" t="str">
        <f t="shared" si="321"/>
        <v>INVALID</v>
      </c>
      <c r="AW770" t="str">
        <f t="shared" si="322"/>
        <v>MISMATCH</v>
      </c>
      <c r="AX770" t="str">
        <f t="shared" si="323"/>
        <v>MISMATCH</v>
      </c>
    </row>
    <row r="771" spans="1:50" ht="15.6">
      <c r="A771" s="1" t="s">
        <v>2401</v>
      </c>
      <c r="B771" s="1">
        <f t="shared" si="324"/>
        <v>1</v>
      </c>
      <c r="C771" s="16">
        <v>45887</v>
      </c>
      <c r="D771" s="16">
        <v>45887</v>
      </c>
      <c r="E771" s="16" t="str">
        <f t="shared" ref="E771:E834" si="343">TEXT(D771,"mmm")</f>
        <v>Aug</v>
      </c>
      <c r="F771" s="1">
        <f t="shared" ref="F771:F834" si="344">YEAR(D771)</f>
        <v>2025</v>
      </c>
      <c r="G771" t="s">
        <v>1775</v>
      </c>
      <c r="H771" s="17">
        <v>45425</v>
      </c>
      <c r="I771" s="21">
        <f t="shared" ref="I771:I834" si="345">H771-D771</f>
        <v>-462</v>
      </c>
      <c r="J771" s="6" t="str">
        <f t="shared" ref="J771:J834" si="346">IF(I771&lt;0,"INVALID_SHIPPING","OK")</f>
        <v>INVALID_SHIPPING</v>
      </c>
      <c r="K771" s="1" t="s">
        <v>2402</v>
      </c>
      <c r="L771" s="1" t="s">
        <v>59</v>
      </c>
      <c r="M771" s="1" t="str">
        <f t="shared" si="325"/>
        <v>Arjun Bose</v>
      </c>
      <c r="N771" s="1" t="s">
        <v>25</v>
      </c>
      <c r="O771" s="1" t="str">
        <f t="shared" si="326"/>
        <v>Consumer</v>
      </c>
      <c r="P771" s="1" t="s">
        <v>41</v>
      </c>
      <c r="Q771" s="1" t="str">
        <f t="shared" si="327"/>
        <v>East</v>
      </c>
      <c r="R771" s="1" t="str">
        <f t="shared" si="328"/>
        <v>OK</v>
      </c>
      <c r="S771" s="1" t="s">
        <v>284</v>
      </c>
      <c r="T771" s="1" t="str">
        <f t="shared" si="329"/>
        <v>Jharkhand</v>
      </c>
      <c r="U771" s="1" t="s">
        <v>285</v>
      </c>
      <c r="V771" s="1" t="str">
        <f t="shared" si="330"/>
        <v>Ranchi</v>
      </c>
      <c r="W771" s="1" t="s">
        <v>44</v>
      </c>
      <c r="X771" s="1" t="str">
        <f t="shared" si="331"/>
        <v>Furniture</v>
      </c>
      <c r="Y771" s="1" t="s">
        <v>63</v>
      </c>
      <c r="Z771" s="1" t="str">
        <f t="shared" si="332"/>
        <v>Furnishings</v>
      </c>
      <c r="AA771" s="1" t="s">
        <v>2403</v>
      </c>
      <c r="AB771" s="1" t="s">
        <v>32</v>
      </c>
      <c r="AC771" s="1" t="str">
        <f t="shared" si="333"/>
        <v>Second Class</v>
      </c>
      <c r="AD771" s="1" t="str">
        <f t="shared" si="334"/>
        <v>OK</v>
      </c>
      <c r="AE771" s="1">
        <v>3</v>
      </c>
      <c r="AF771" s="1">
        <v>3946.44</v>
      </c>
      <c r="AG771" s="9">
        <v>0.25</v>
      </c>
      <c r="AH771" s="9">
        <f t="shared" si="335"/>
        <v>0.25</v>
      </c>
      <c r="AI771" s="1" t="str">
        <f t="shared" si="336"/>
        <v>OK</v>
      </c>
      <c r="AJ771" s="1">
        <v>8879.49</v>
      </c>
      <c r="AK771" s="1">
        <v>6344.57</v>
      </c>
      <c r="AL771" s="1">
        <v>2534.92</v>
      </c>
      <c r="AM771" s="13">
        <f t="shared" si="337"/>
        <v>8879.49</v>
      </c>
      <c r="AN771" s="9">
        <f t="shared" si="338"/>
        <v>2534.92</v>
      </c>
      <c r="AO771" s="9">
        <f t="shared" ref="AO771:AO834" si="347">IF(OR(AM771="INVALID",AN771="INVALID"),"",AN771/AM771)</f>
        <v>0.28548035979543873</v>
      </c>
      <c r="AP771" s="1" t="s">
        <v>186</v>
      </c>
      <c r="AQ771" s="1" t="str">
        <f t="shared" si="339"/>
        <v>Failed</v>
      </c>
      <c r="AR771" s="1" t="str">
        <f t="shared" si="340"/>
        <v>EXCLUDE_FROM_SALES</v>
      </c>
      <c r="AS771" s="1" t="s">
        <v>120</v>
      </c>
      <c r="AT771" s="4" t="str">
        <f t="shared" si="341"/>
        <v>Returned</v>
      </c>
      <c r="AU771" s="3" t="str">
        <f t="shared" si="342"/>
        <v>RETURNED_ORDER</v>
      </c>
      <c r="AV771" s="3" t="str">
        <f t="shared" ref="AV771:AV834" si="348">IF(OR(AI771&lt;&gt;"OK",J771="INVALID_SHIPPING"),
"INVALID",
IF(OR(R771&lt;&gt;"OK",AD771&lt;&gt;"OK"),
"WARNING",
"CLEAN"))</f>
        <v>INVALID</v>
      </c>
      <c r="AW771" t="str">
        <f t="shared" ref="AW771:AW834" si="349">IF(AM771="INVALID","INVALID",
IF(ROUND(AJ771,2)=ROUND(AM771,2),"MATCH","MISMATCH"))</f>
        <v>MATCH</v>
      </c>
      <c r="AX771" t="str">
        <f t="shared" ref="AX771:AX834" si="350">IF(AN771="INVALID","INVALID",IF(ROUND(AL771,2)=ROUND(AN771,2),"MATCH","MISMATCH"))</f>
        <v>MATCH</v>
      </c>
    </row>
    <row r="772" spans="1:50" ht="15.6">
      <c r="A772" s="1" t="s">
        <v>2404</v>
      </c>
      <c r="B772" s="1">
        <f t="shared" si="324"/>
        <v>2</v>
      </c>
      <c r="C772" s="16">
        <v>45932</v>
      </c>
      <c r="D772" s="16">
        <v>45932</v>
      </c>
      <c r="E772" s="16" t="str">
        <f t="shared" si="343"/>
        <v>Oct</v>
      </c>
      <c r="F772" s="1">
        <f t="shared" si="344"/>
        <v>2025</v>
      </c>
      <c r="G772" t="s">
        <v>2423</v>
      </c>
      <c r="H772" s="17">
        <v>45339</v>
      </c>
      <c r="I772" s="21">
        <f t="shared" si="345"/>
        <v>-593</v>
      </c>
      <c r="J772" s="6" t="str">
        <f t="shared" si="346"/>
        <v>INVALID_SHIPPING</v>
      </c>
      <c r="K772" s="1" t="s">
        <v>2406</v>
      </c>
      <c r="L772" s="1" t="s">
        <v>136</v>
      </c>
      <c r="M772" s="1" t="str">
        <f t="shared" si="325"/>
        <v>Priya Menon</v>
      </c>
      <c r="N772" s="1" t="s">
        <v>40</v>
      </c>
      <c r="O772" s="1" t="str">
        <f t="shared" si="326"/>
        <v>Small Business</v>
      </c>
      <c r="P772" s="1" t="s">
        <v>26</v>
      </c>
      <c r="Q772" s="1" t="str">
        <f t="shared" si="327"/>
        <v>North</v>
      </c>
      <c r="R772" s="1" t="str">
        <f t="shared" si="328"/>
        <v>OK</v>
      </c>
      <c r="S772" s="1" t="s">
        <v>163</v>
      </c>
      <c r="T772" s="1" t="str">
        <f t="shared" si="329"/>
        <v>Uttar Pradesh</v>
      </c>
      <c r="U772" s="1" t="s">
        <v>164</v>
      </c>
      <c r="V772" s="1" t="str">
        <f t="shared" si="330"/>
        <v>Noida</v>
      </c>
      <c r="W772" s="1" t="s">
        <v>83</v>
      </c>
      <c r="X772" s="1" t="str">
        <f t="shared" si="331"/>
        <v>Technology</v>
      </c>
      <c r="Y772" s="1" t="s">
        <v>207</v>
      </c>
      <c r="Z772" s="1" t="str">
        <f t="shared" si="332"/>
        <v>Phones</v>
      </c>
      <c r="AA772" s="1" t="s">
        <v>2407</v>
      </c>
      <c r="AB772" s="1"/>
      <c r="AC772" s="1" t="str">
        <f t="shared" si="333"/>
        <v>Unknown</v>
      </c>
      <c r="AD772" s="1" t="str">
        <f t="shared" si="334"/>
        <v>MISSING_SHIP_MODE</v>
      </c>
      <c r="AE772" s="1">
        <v>5</v>
      </c>
      <c r="AF772" s="1">
        <v>4276.29</v>
      </c>
      <c r="AG772" s="9">
        <v>0</v>
      </c>
      <c r="AH772" s="9">
        <f t="shared" si="335"/>
        <v>0</v>
      </c>
      <c r="AI772" s="1" t="str">
        <f t="shared" si="336"/>
        <v>OK</v>
      </c>
      <c r="AJ772" s="1">
        <v>21381.45</v>
      </c>
      <c r="AK772" s="1">
        <v>13240.21</v>
      </c>
      <c r="AL772" s="1">
        <v>8141.24</v>
      </c>
      <c r="AM772" s="13">
        <f t="shared" si="337"/>
        <v>21381.45</v>
      </c>
      <c r="AN772" s="9">
        <f t="shared" si="338"/>
        <v>8141.2400000000016</v>
      </c>
      <c r="AO772" s="9">
        <f t="shared" si="347"/>
        <v>0.38076182859441249</v>
      </c>
      <c r="AP772" s="1" t="s">
        <v>186</v>
      </c>
      <c r="AQ772" s="1" t="str">
        <f t="shared" si="339"/>
        <v>Failed</v>
      </c>
      <c r="AR772" s="1" t="str">
        <f t="shared" si="340"/>
        <v>EXCLUDE_FROM_SALES</v>
      </c>
      <c r="AS772" s="1" t="s">
        <v>120</v>
      </c>
      <c r="AT772" s="4" t="str">
        <f t="shared" si="341"/>
        <v>Returned</v>
      </c>
      <c r="AU772" s="3" t="str">
        <f t="shared" si="342"/>
        <v>RETURNED_ORDER</v>
      </c>
      <c r="AV772" s="3" t="str">
        <f t="shared" si="348"/>
        <v>INVALID</v>
      </c>
      <c r="AW772" t="str">
        <f t="shared" si="349"/>
        <v>MATCH</v>
      </c>
      <c r="AX772" t="str">
        <f t="shared" si="350"/>
        <v>MATCH</v>
      </c>
    </row>
    <row r="773" spans="1:50" ht="15.6">
      <c r="A773" s="1" t="s">
        <v>2404</v>
      </c>
      <c r="B773" s="1">
        <f t="shared" si="324"/>
        <v>2</v>
      </c>
      <c r="C773" s="16">
        <v>45932</v>
      </c>
      <c r="D773" s="16">
        <v>45932</v>
      </c>
      <c r="E773" s="16" t="str">
        <f t="shared" si="343"/>
        <v>Oct</v>
      </c>
      <c r="F773" s="1">
        <f t="shared" si="344"/>
        <v>2025</v>
      </c>
      <c r="G773" t="s">
        <v>2298</v>
      </c>
      <c r="H773" s="17">
        <v>45487</v>
      </c>
      <c r="I773" s="21">
        <f t="shared" si="345"/>
        <v>-445</v>
      </c>
      <c r="J773" s="6" t="str">
        <f t="shared" si="346"/>
        <v>INVALID_SHIPPING</v>
      </c>
      <c r="K773" s="1" t="s">
        <v>2406</v>
      </c>
      <c r="L773" s="1" t="s">
        <v>136</v>
      </c>
      <c r="M773" s="1" t="str">
        <f t="shared" si="325"/>
        <v>Priya Menon</v>
      </c>
      <c r="N773" s="1" t="s">
        <v>40</v>
      </c>
      <c r="O773" s="1" t="str">
        <f t="shared" si="326"/>
        <v>Small Business</v>
      </c>
      <c r="P773" s="1" t="s">
        <v>26</v>
      </c>
      <c r="Q773" s="1" t="str">
        <f t="shared" si="327"/>
        <v>North</v>
      </c>
      <c r="R773" s="1" t="str">
        <f t="shared" si="328"/>
        <v>OK</v>
      </c>
      <c r="S773" s="1" t="s">
        <v>163</v>
      </c>
      <c r="T773" s="1" t="str">
        <f t="shared" si="329"/>
        <v>Uttar Pradesh</v>
      </c>
      <c r="U773" s="1" t="s">
        <v>164</v>
      </c>
      <c r="V773" s="1" t="str">
        <f t="shared" si="330"/>
        <v>Noida</v>
      </c>
      <c r="W773" s="1" t="s">
        <v>83</v>
      </c>
      <c r="X773" s="1" t="str">
        <f t="shared" si="331"/>
        <v>Technology</v>
      </c>
      <c r="Y773" s="1" t="s">
        <v>207</v>
      </c>
      <c r="Z773" s="1" t="str">
        <f t="shared" si="332"/>
        <v>Phones</v>
      </c>
      <c r="AA773" s="1" t="s">
        <v>2407</v>
      </c>
      <c r="AB773" s="1"/>
      <c r="AC773" s="1" t="str">
        <f t="shared" si="333"/>
        <v>Unknown</v>
      </c>
      <c r="AD773" s="1" t="str">
        <f t="shared" si="334"/>
        <v>MISSING_SHIP_MODE</v>
      </c>
      <c r="AE773" s="1">
        <v>5</v>
      </c>
      <c r="AF773" s="1">
        <v>4276.29</v>
      </c>
      <c r="AG773" s="9">
        <v>0</v>
      </c>
      <c r="AH773" s="9">
        <f t="shared" si="335"/>
        <v>0</v>
      </c>
      <c r="AI773" s="1" t="str">
        <f t="shared" si="336"/>
        <v>OK</v>
      </c>
      <c r="AJ773" s="1">
        <v>21443.63</v>
      </c>
      <c r="AK773" s="1">
        <v>13240.21</v>
      </c>
      <c r="AL773" s="1">
        <v>8141.24</v>
      </c>
      <c r="AM773" s="13">
        <f t="shared" si="337"/>
        <v>21381.45</v>
      </c>
      <c r="AN773" s="9">
        <f t="shared" si="338"/>
        <v>8141.2400000000016</v>
      </c>
      <c r="AO773" s="9">
        <f t="shared" si="347"/>
        <v>0.38076182859441249</v>
      </c>
      <c r="AP773" s="1" t="s">
        <v>186</v>
      </c>
      <c r="AQ773" s="1" t="str">
        <f t="shared" si="339"/>
        <v>Failed</v>
      </c>
      <c r="AR773" s="1" t="str">
        <f t="shared" si="340"/>
        <v>EXCLUDE_FROM_SALES</v>
      </c>
      <c r="AS773" s="1" t="s">
        <v>34</v>
      </c>
      <c r="AT773" s="4" t="str">
        <f t="shared" si="341"/>
        <v>Completed</v>
      </c>
      <c r="AU773" s="3" t="str">
        <f t="shared" si="342"/>
        <v>OK</v>
      </c>
      <c r="AV773" s="3" t="str">
        <f t="shared" si="348"/>
        <v>INVALID</v>
      </c>
      <c r="AW773" t="str">
        <f t="shared" si="349"/>
        <v>MISMATCH</v>
      </c>
      <c r="AX773" t="str">
        <f t="shared" si="350"/>
        <v>MATCH</v>
      </c>
    </row>
    <row r="774" spans="1:50" ht="15.6">
      <c r="A774" s="1" t="s">
        <v>2412</v>
      </c>
      <c r="B774" s="1">
        <f t="shared" si="324"/>
        <v>1</v>
      </c>
      <c r="C774" s="16">
        <v>45922</v>
      </c>
      <c r="D774" s="16">
        <v>45922</v>
      </c>
      <c r="E774" s="16" t="str">
        <f t="shared" si="343"/>
        <v>Sep</v>
      </c>
      <c r="F774" s="1">
        <f t="shared" si="344"/>
        <v>2025</v>
      </c>
      <c r="G774" t="s">
        <v>1384</v>
      </c>
      <c r="H774" s="17">
        <v>45857</v>
      </c>
      <c r="I774" s="21">
        <f t="shared" si="345"/>
        <v>-65</v>
      </c>
      <c r="J774" s="6" t="str">
        <f t="shared" si="346"/>
        <v>INVALID_SHIPPING</v>
      </c>
      <c r="K774" s="1" t="s">
        <v>2414</v>
      </c>
      <c r="L774" s="1" t="s">
        <v>52</v>
      </c>
      <c r="M774" s="1" t="str">
        <f t="shared" si="325"/>
        <v>Isha Nair</v>
      </c>
      <c r="N774" s="1" t="s">
        <v>25</v>
      </c>
      <c r="O774" s="1" t="str">
        <f t="shared" si="326"/>
        <v>Consumer</v>
      </c>
      <c r="P774" s="1" t="s">
        <v>60</v>
      </c>
      <c r="Q774" s="1" t="str">
        <f t="shared" si="327"/>
        <v>South</v>
      </c>
      <c r="R774" s="1" t="str">
        <f t="shared" si="328"/>
        <v>OK</v>
      </c>
      <c r="S774" s="1" t="s">
        <v>97</v>
      </c>
      <c r="T774" s="1" t="str">
        <f t="shared" si="329"/>
        <v>Andhra Pradesh</v>
      </c>
      <c r="U774" s="1" t="s">
        <v>98</v>
      </c>
      <c r="V774" s="1" t="str">
        <f t="shared" si="330"/>
        <v>Vijayawada</v>
      </c>
      <c r="W774" s="1" t="s">
        <v>83</v>
      </c>
      <c r="X774" s="1" t="str">
        <f t="shared" si="331"/>
        <v>Technology</v>
      </c>
      <c r="Y774" s="1" t="s">
        <v>207</v>
      </c>
      <c r="Z774" s="1" t="str">
        <f t="shared" si="332"/>
        <v>Phones</v>
      </c>
      <c r="AA774" s="1" t="s">
        <v>2415</v>
      </c>
      <c r="AB774" s="1" t="s">
        <v>65</v>
      </c>
      <c r="AC774" s="1" t="str">
        <f t="shared" si="333"/>
        <v>Standard Class</v>
      </c>
      <c r="AD774" s="1" t="str">
        <f t="shared" si="334"/>
        <v>OK</v>
      </c>
      <c r="AE774" s="1">
        <v>1</v>
      </c>
      <c r="AF774" s="1">
        <v>573.65</v>
      </c>
      <c r="AG774" s="9">
        <v>0</v>
      </c>
      <c r="AH774" s="9">
        <f t="shared" si="335"/>
        <v>0</v>
      </c>
      <c r="AI774" s="1" t="str">
        <f t="shared" si="336"/>
        <v>OK</v>
      </c>
      <c r="AJ774" s="1">
        <v>573.65</v>
      </c>
      <c r="AK774" s="1">
        <v>322.67</v>
      </c>
      <c r="AL774" s="1">
        <v>250.98</v>
      </c>
      <c r="AM774" s="13">
        <f t="shared" si="337"/>
        <v>573.65</v>
      </c>
      <c r="AN774" s="9">
        <f t="shared" si="338"/>
        <v>250.97999999999996</v>
      </c>
      <c r="AO774" s="9">
        <f t="shared" si="347"/>
        <v>0.43751416368866031</v>
      </c>
      <c r="AP774" s="1" t="s">
        <v>33</v>
      </c>
      <c r="AQ774" s="1" t="str">
        <f t="shared" si="339"/>
        <v>Paid</v>
      </c>
      <c r="AR774" s="1" t="str">
        <f t="shared" si="340"/>
        <v>OK</v>
      </c>
      <c r="AS774" s="1" t="s">
        <v>34</v>
      </c>
      <c r="AT774" s="4" t="str">
        <f t="shared" si="341"/>
        <v>Completed</v>
      </c>
      <c r="AU774" s="3" t="str">
        <f t="shared" si="342"/>
        <v>OK</v>
      </c>
      <c r="AV774" s="3" t="str">
        <f t="shared" si="348"/>
        <v>INVALID</v>
      </c>
      <c r="AW774" t="str">
        <f t="shared" si="349"/>
        <v>MATCH</v>
      </c>
      <c r="AX774" t="str">
        <f t="shared" si="350"/>
        <v>MATCH</v>
      </c>
    </row>
    <row r="775" spans="1:50" ht="15.6">
      <c r="A775" s="1" t="s">
        <v>2418</v>
      </c>
      <c r="B775" s="1">
        <f t="shared" si="324"/>
        <v>1</v>
      </c>
      <c r="C775" s="16">
        <v>45964</v>
      </c>
      <c r="D775" s="16">
        <v>45964</v>
      </c>
      <c r="E775" s="16" t="str">
        <f t="shared" si="343"/>
        <v>Nov</v>
      </c>
      <c r="F775" s="1">
        <f t="shared" si="344"/>
        <v>2025</v>
      </c>
      <c r="G775" t="s">
        <v>3125</v>
      </c>
      <c r="H775" s="17">
        <v>45709</v>
      </c>
      <c r="I775" s="21">
        <f t="shared" si="345"/>
        <v>-255</v>
      </c>
      <c r="J775" s="6" t="str">
        <f t="shared" si="346"/>
        <v>INVALID_SHIPPING</v>
      </c>
      <c r="K775" s="1" t="s">
        <v>2420</v>
      </c>
      <c r="L775" s="1" t="s">
        <v>158</v>
      </c>
      <c r="M775" s="1" t="str">
        <f t="shared" si="325"/>
        <v>Sneha Kapoor</v>
      </c>
      <c r="N775" s="1" t="s">
        <v>110</v>
      </c>
      <c r="O775" s="1" t="str">
        <f t="shared" si="326"/>
        <v>Home Office</v>
      </c>
      <c r="P775" s="1" t="s">
        <v>60</v>
      </c>
      <c r="Q775" s="1" t="str">
        <f t="shared" si="327"/>
        <v>South</v>
      </c>
      <c r="R775" s="1" t="str">
        <f t="shared" si="328"/>
        <v>OK</v>
      </c>
      <c r="S775" s="1" t="s">
        <v>224</v>
      </c>
      <c r="T775" s="1" t="str">
        <f t="shared" si="329"/>
        <v>Kerala</v>
      </c>
      <c r="U775" s="1" t="s">
        <v>225</v>
      </c>
      <c r="V775" s="1" t="str">
        <f t="shared" si="330"/>
        <v>Kochi</v>
      </c>
      <c r="W775" s="1" t="s">
        <v>44</v>
      </c>
      <c r="X775" s="1" t="str">
        <f t="shared" si="331"/>
        <v>Furniture</v>
      </c>
      <c r="Y775" s="1" t="s">
        <v>63</v>
      </c>
      <c r="Z775" s="1" t="str">
        <f t="shared" si="332"/>
        <v>Furnishings</v>
      </c>
      <c r="AA775" s="1" t="s">
        <v>2421</v>
      </c>
      <c r="AB775" s="1" t="s">
        <v>47</v>
      </c>
      <c r="AC775" s="1" t="str">
        <f t="shared" si="333"/>
        <v>Same Day</v>
      </c>
      <c r="AD775" s="1" t="str">
        <f t="shared" si="334"/>
        <v>OK</v>
      </c>
      <c r="AE775" s="1">
        <v>4</v>
      </c>
      <c r="AF775" s="1">
        <v>1244.82</v>
      </c>
      <c r="AG775" s="9">
        <v>0.2</v>
      </c>
      <c r="AH775" s="9">
        <f t="shared" si="335"/>
        <v>0.2</v>
      </c>
      <c r="AI775" s="1" t="str">
        <f t="shared" si="336"/>
        <v>OK</v>
      </c>
      <c r="AJ775" s="1">
        <v>3983.42</v>
      </c>
      <c r="AK775" s="1">
        <v>3174.91</v>
      </c>
      <c r="AL775" s="1">
        <v>808.51</v>
      </c>
      <c r="AM775" s="13">
        <f t="shared" si="337"/>
        <v>3983.424</v>
      </c>
      <c r="AN775" s="9">
        <f t="shared" si="338"/>
        <v>808.51400000000012</v>
      </c>
      <c r="AO775" s="9">
        <f t="shared" si="347"/>
        <v>0.2029696060474607</v>
      </c>
      <c r="AP775" s="1" t="s">
        <v>186</v>
      </c>
      <c r="AQ775" s="1" t="str">
        <f t="shared" si="339"/>
        <v>Failed</v>
      </c>
      <c r="AR775" s="1" t="str">
        <f t="shared" si="340"/>
        <v>EXCLUDE_FROM_SALES</v>
      </c>
      <c r="AS775" s="1" t="s">
        <v>120</v>
      </c>
      <c r="AT775" s="4" t="str">
        <f t="shared" si="341"/>
        <v>Returned</v>
      </c>
      <c r="AU775" s="3" t="str">
        <f t="shared" si="342"/>
        <v>RETURNED_ORDER</v>
      </c>
      <c r="AV775" s="3" t="str">
        <f t="shared" si="348"/>
        <v>INVALID</v>
      </c>
      <c r="AW775" t="str">
        <f t="shared" si="349"/>
        <v>MATCH</v>
      </c>
      <c r="AX775" t="str">
        <f t="shared" si="350"/>
        <v>MATCH</v>
      </c>
    </row>
    <row r="776" spans="1:50" ht="15.6">
      <c r="A776" s="1" t="s">
        <v>2427</v>
      </c>
      <c r="B776" s="1">
        <f t="shared" si="324"/>
        <v>1</v>
      </c>
      <c r="C776" s="16">
        <v>45897</v>
      </c>
      <c r="D776" s="16">
        <v>45897</v>
      </c>
      <c r="E776" s="16" t="str">
        <f t="shared" si="343"/>
        <v>Aug</v>
      </c>
      <c r="F776" s="1">
        <f t="shared" si="344"/>
        <v>2025</v>
      </c>
      <c r="G776" t="s">
        <v>1583</v>
      </c>
      <c r="H776" s="17">
        <v>45876</v>
      </c>
      <c r="I776" s="21">
        <f t="shared" si="345"/>
        <v>-21</v>
      </c>
      <c r="J776" s="6" t="str">
        <f t="shared" si="346"/>
        <v>INVALID_SHIPPING</v>
      </c>
      <c r="K776" s="1" t="s">
        <v>2429</v>
      </c>
      <c r="L776" s="1" t="s">
        <v>136</v>
      </c>
      <c r="M776" s="1" t="str">
        <f t="shared" si="325"/>
        <v>Priya Menon</v>
      </c>
      <c r="N776" s="1" t="s">
        <v>104</v>
      </c>
      <c r="O776" s="1" t="str">
        <f t="shared" si="326"/>
        <v>Corporate</v>
      </c>
      <c r="P776" s="1" t="s">
        <v>71</v>
      </c>
      <c r="Q776" s="1" t="str">
        <f t="shared" si="327"/>
        <v>West</v>
      </c>
      <c r="R776" s="1" t="str">
        <f t="shared" si="328"/>
        <v>OK</v>
      </c>
      <c r="S776" s="1" t="s">
        <v>81</v>
      </c>
      <c r="T776" s="1" t="str">
        <f t="shared" si="329"/>
        <v>Madhya Pradesh</v>
      </c>
      <c r="U776" s="1" t="s">
        <v>82</v>
      </c>
      <c r="V776" s="1" t="str">
        <f t="shared" si="330"/>
        <v>Indore</v>
      </c>
      <c r="W776" s="1" t="s">
        <v>44</v>
      </c>
      <c r="X776" s="1" t="str">
        <f t="shared" si="331"/>
        <v>Furniture</v>
      </c>
      <c r="Y776" s="1" t="s">
        <v>63</v>
      </c>
      <c r="Z776" s="1" t="str">
        <f t="shared" si="332"/>
        <v>Furnishings</v>
      </c>
      <c r="AA776" s="1" t="s">
        <v>2430</v>
      </c>
      <c r="AB776" s="1" t="s">
        <v>65</v>
      </c>
      <c r="AC776" s="1" t="str">
        <f t="shared" si="333"/>
        <v>Standard Class</v>
      </c>
      <c r="AD776" s="1" t="str">
        <f t="shared" si="334"/>
        <v>OK</v>
      </c>
      <c r="AE776" s="1">
        <v>7</v>
      </c>
      <c r="AF776" s="1">
        <v>268.45</v>
      </c>
      <c r="AG776" s="9">
        <v>0</v>
      </c>
      <c r="AH776" s="9">
        <f t="shared" si="335"/>
        <v>0</v>
      </c>
      <c r="AI776" s="1" t="str">
        <f t="shared" si="336"/>
        <v>OK</v>
      </c>
      <c r="AJ776" s="1">
        <v>1879.15</v>
      </c>
      <c r="AK776" s="1">
        <v>1134.9000000000001</v>
      </c>
      <c r="AL776" s="1">
        <v>744.25</v>
      </c>
      <c r="AM776" s="13">
        <f t="shared" si="337"/>
        <v>1879.1499999999999</v>
      </c>
      <c r="AN776" s="9">
        <f t="shared" si="338"/>
        <v>744.24999999999977</v>
      </c>
      <c r="AO776" s="9">
        <f t="shared" si="347"/>
        <v>0.39605672777585599</v>
      </c>
      <c r="AP776" s="1" t="s">
        <v>33</v>
      </c>
      <c r="AQ776" s="1" t="str">
        <f t="shared" si="339"/>
        <v>Paid</v>
      </c>
      <c r="AR776" s="1" t="str">
        <f t="shared" si="340"/>
        <v>OK</v>
      </c>
      <c r="AS776" s="1" t="s">
        <v>34</v>
      </c>
      <c r="AT776" s="4" t="str">
        <f t="shared" si="341"/>
        <v>Completed</v>
      </c>
      <c r="AU776" s="3" t="str">
        <f t="shared" si="342"/>
        <v>OK</v>
      </c>
      <c r="AV776" s="3" t="str">
        <f t="shared" si="348"/>
        <v>INVALID</v>
      </c>
      <c r="AW776" t="str">
        <f t="shared" si="349"/>
        <v>MATCH</v>
      </c>
      <c r="AX776" t="str">
        <f t="shared" si="350"/>
        <v>MATCH</v>
      </c>
    </row>
    <row r="777" spans="1:50" ht="15.6">
      <c r="A777" s="1" t="s">
        <v>2438</v>
      </c>
      <c r="B777" s="1">
        <f t="shared" si="324"/>
        <v>1</v>
      </c>
      <c r="C777" s="16">
        <v>45722</v>
      </c>
      <c r="D777" s="16">
        <v>45722</v>
      </c>
      <c r="E777" s="16" t="str">
        <f t="shared" si="343"/>
        <v>Mar</v>
      </c>
      <c r="F777" s="1">
        <f t="shared" si="344"/>
        <v>2025</v>
      </c>
      <c r="G777" t="s">
        <v>3133</v>
      </c>
      <c r="H777" s="17">
        <v>45404</v>
      </c>
      <c r="I777" s="21">
        <f t="shared" si="345"/>
        <v>-318</v>
      </c>
      <c r="J777" s="6" t="str">
        <f t="shared" si="346"/>
        <v>INVALID_SHIPPING</v>
      </c>
      <c r="K777" s="1" t="s">
        <v>2439</v>
      </c>
      <c r="L777" s="1" t="s">
        <v>334</v>
      </c>
      <c r="M777" s="1" t="str">
        <f t="shared" si="325"/>
        <v>Kabir Singh</v>
      </c>
      <c r="N777" s="1" t="s">
        <v>25</v>
      </c>
      <c r="O777" s="1" t="str">
        <f t="shared" si="326"/>
        <v>Consumer</v>
      </c>
      <c r="P777" s="1" t="s">
        <v>60</v>
      </c>
      <c r="Q777" s="1" t="str">
        <f t="shared" si="327"/>
        <v>South</v>
      </c>
      <c r="R777" s="1" t="str">
        <f t="shared" si="328"/>
        <v>OK</v>
      </c>
      <c r="S777" s="1" t="s">
        <v>224</v>
      </c>
      <c r="T777" s="1" t="str">
        <f t="shared" si="329"/>
        <v>Kerala</v>
      </c>
      <c r="U777" s="1" t="s">
        <v>225</v>
      </c>
      <c r="V777" s="1" t="str">
        <f t="shared" si="330"/>
        <v>Kochi</v>
      </c>
      <c r="W777" s="1" t="s">
        <v>44</v>
      </c>
      <c r="X777" s="1" t="str">
        <f t="shared" si="331"/>
        <v>Furniture</v>
      </c>
      <c r="Y777" s="1" t="s">
        <v>74</v>
      </c>
      <c r="Z777" s="1" t="str">
        <f t="shared" si="332"/>
        <v>Chairs</v>
      </c>
      <c r="AA777" s="1" t="s">
        <v>2440</v>
      </c>
      <c r="AB777" s="1" t="s">
        <v>65</v>
      </c>
      <c r="AC777" s="1" t="str">
        <f t="shared" si="333"/>
        <v>Standard Class</v>
      </c>
      <c r="AD777" s="1" t="str">
        <f t="shared" si="334"/>
        <v>OK</v>
      </c>
      <c r="AE777" s="1">
        <v>3</v>
      </c>
      <c r="AF777" s="1">
        <v>163.72</v>
      </c>
      <c r="AG777" s="9">
        <v>0.15</v>
      </c>
      <c r="AH777" s="9">
        <f t="shared" si="335"/>
        <v>0.15</v>
      </c>
      <c r="AI777" s="1" t="str">
        <f t="shared" si="336"/>
        <v>OK</v>
      </c>
      <c r="AJ777" s="1">
        <v>417.49</v>
      </c>
      <c r="AK777" s="1">
        <v>261.67</v>
      </c>
      <c r="AL777" s="1">
        <v>155.82</v>
      </c>
      <c r="AM777" s="13">
        <f t="shared" si="337"/>
        <v>417.48599999999999</v>
      </c>
      <c r="AN777" s="9">
        <f t="shared" si="338"/>
        <v>155.81599999999997</v>
      </c>
      <c r="AO777" s="9">
        <f t="shared" si="347"/>
        <v>0.37322449136018926</v>
      </c>
      <c r="AP777" s="1" t="s">
        <v>186</v>
      </c>
      <c r="AQ777" s="1" t="str">
        <f t="shared" si="339"/>
        <v>Failed</v>
      </c>
      <c r="AR777" s="1" t="str">
        <f t="shared" si="340"/>
        <v>EXCLUDE_FROM_SALES</v>
      </c>
      <c r="AS777" s="1" t="s">
        <v>120</v>
      </c>
      <c r="AT777" s="4" t="str">
        <f t="shared" si="341"/>
        <v>Returned</v>
      </c>
      <c r="AU777" s="3" t="str">
        <f t="shared" si="342"/>
        <v>RETURNED_ORDER</v>
      </c>
      <c r="AV777" s="3" t="str">
        <f t="shared" si="348"/>
        <v>INVALID</v>
      </c>
      <c r="AW777" t="str">
        <f t="shared" si="349"/>
        <v>MATCH</v>
      </c>
      <c r="AX777" t="str">
        <f t="shared" si="350"/>
        <v>MATCH</v>
      </c>
    </row>
    <row r="778" spans="1:50" ht="15.6">
      <c r="A778" s="1" t="s">
        <v>2441</v>
      </c>
      <c r="B778" s="1">
        <f t="shared" si="324"/>
        <v>1</v>
      </c>
      <c r="C778" s="16">
        <v>45908</v>
      </c>
      <c r="D778" s="16">
        <v>45908</v>
      </c>
      <c r="E778" s="16" t="str">
        <f t="shared" si="343"/>
        <v>Sep</v>
      </c>
      <c r="F778" s="1">
        <f t="shared" si="344"/>
        <v>2025</v>
      </c>
      <c r="G778" t="s">
        <v>2061</v>
      </c>
      <c r="H778" s="17">
        <v>45821</v>
      </c>
      <c r="I778" s="21">
        <f t="shared" si="345"/>
        <v>-87</v>
      </c>
      <c r="J778" s="6" t="str">
        <f t="shared" si="346"/>
        <v>INVALID_SHIPPING</v>
      </c>
      <c r="K778" s="1" t="s">
        <v>2443</v>
      </c>
      <c r="L778" s="1" t="s">
        <v>90</v>
      </c>
      <c r="M778" s="1" t="str">
        <f t="shared" si="325"/>
        <v>Neha Gupta</v>
      </c>
      <c r="N778" s="1" t="s">
        <v>25</v>
      </c>
      <c r="O778" s="1" t="str">
        <f t="shared" si="326"/>
        <v>Consumer</v>
      </c>
      <c r="P778" s="1" t="s">
        <v>26</v>
      </c>
      <c r="Q778" s="1" t="str">
        <f t="shared" si="327"/>
        <v>North</v>
      </c>
      <c r="R778" s="1" t="str">
        <f t="shared" si="328"/>
        <v>OK</v>
      </c>
      <c r="S778" s="1" t="s">
        <v>454</v>
      </c>
      <c r="T778" s="1" t="str">
        <f t="shared" si="329"/>
        <v>Delhi</v>
      </c>
      <c r="U778" s="1" t="s">
        <v>455</v>
      </c>
      <c r="V778" s="1" t="str">
        <f t="shared" si="330"/>
        <v>New Delhi</v>
      </c>
      <c r="W778" s="1" t="s">
        <v>29</v>
      </c>
      <c r="X778" s="1" t="str">
        <f t="shared" si="331"/>
        <v>Office Supplies</v>
      </c>
      <c r="Y778" s="1" t="s">
        <v>53</v>
      </c>
      <c r="Z778" s="1" t="str">
        <f t="shared" si="332"/>
        <v>Art</v>
      </c>
      <c r="AA778" s="1" t="s">
        <v>2444</v>
      </c>
      <c r="AB778" s="1" t="s">
        <v>32</v>
      </c>
      <c r="AC778" s="1" t="str">
        <f t="shared" si="333"/>
        <v>Second Class</v>
      </c>
      <c r="AD778" s="1" t="str">
        <f t="shared" si="334"/>
        <v>OK</v>
      </c>
      <c r="AE778" s="1">
        <v>4</v>
      </c>
      <c r="AF778" s="1">
        <v>4080.95</v>
      </c>
      <c r="AG778" s="9">
        <v>0</v>
      </c>
      <c r="AH778" s="9">
        <f t="shared" si="335"/>
        <v>0</v>
      </c>
      <c r="AI778" s="1" t="str">
        <f t="shared" si="336"/>
        <v>OK</v>
      </c>
      <c r="AJ778" s="1">
        <v>16323.8</v>
      </c>
      <c r="AK778" s="1">
        <v>9965.7900000000009</v>
      </c>
      <c r="AL778" s="1">
        <v>6358.01</v>
      </c>
      <c r="AM778" s="13">
        <f t="shared" si="337"/>
        <v>16323.8</v>
      </c>
      <c r="AN778" s="9">
        <f t="shared" si="338"/>
        <v>6358.0099999999984</v>
      </c>
      <c r="AO778" s="9">
        <f t="shared" si="347"/>
        <v>0.38949325524693995</v>
      </c>
      <c r="AP778" s="1" t="s">
        <v>119</v>
      </c>
      <c r="AQ778" s="1" t="str">
        <f t="shared" si="339"/>
        <v>Refunded</v>
      </c>
      <c r="AR778" s="1" t="str">
        <f t="shared" si="340"/>
        <v>REFUNDED_PAYMENT</v>
      </c>
      <c r="AS778" s="1" t="s">
        <v>120</v>
      </c>
      <c r="AT778" s="4" t="str">
        <f t="shared" si="341"/>
        <v>Returned</v>
      </c>
      <c r="AU778" s="3" t="str">
        <f t="shared" si="342"/>
        <v>RETURNED_ORDER</v>
      </c>
      <c r="AV778" s="3" t="str">
        <f t="shared" si="348"/>
        <v>INVALID</v>
      </c>
      <c r="AW778" t="str">
        <f t="shared" si="349"/>
        <v>MATCH</v>
      </c>
      <c r="AX778" t="str">
        <f t="shared" si="350"/>
        <v>MATCH</v>
      </c>
    </row>
    <row r="779" spans="1:50" ht="15.6">
      <c r="A779" s="1" t="s">
        <v>2457</v>
      </c>
      <c r="B779" s="1">
        <f t="shared" si="324"/>
        <v>1</v>
      </c>
      <c r="C779" s="16">
        <v>45830</v>
      </c>
      <c r="D779" s="16">
        <v>45830</v>
      </c>
      <c r="E779" s="16" t="str">
        <f t="shared" si="343"/>
        <v>Jun</v>
      </c>
      <c r="F779" s="1">
        <f t="shared" si="344"/>
        <v>2025</v>
      </c>
      <c r="G779" t="s">
        <v>2002</v>
      </c>
      <c r="H779" s="17">
        <v>45328</v>
      </c>
      <c r="I779" s="21">
        <f t="shared" si="345"/>
        <v>-502</v>
      </c>
      <c r="J779" s="6" t="str">
        <f t="shared" si="346"/>
        <v>INVALID_SHIPPING</v>
      </c>
      <c r="K779" s="1" t="s">
        <v>2459</v>
      </c>
      <c r="L779" s="1" t="s">
        <v>196</v>
      </c>
      <c r="M779" s="1" t="str">
        <f t="shared" si="325"/>
        <v>Diya Patel</v>
      </c>
      <c r="N779" s="1" t="s">
        <v>40</v>
      </c>
      <c r="O779" s="1" t="str">
        <f t="shared" si="326"/>
        <v>Small Business</v>
      </c>
      <c r="P779" s="1" t="s">
        <v>928</v>
      </c>
      <c r="Q779" s="1" t="str">
        <f t="shared" si="327"/>
        <v>West</v>
      </c>
      <c r="R779" s="1" t="str">
        <f t="shared" si="328"/>
        <v>OK</v>
      </c>
      <c r="S779" s="1" t="s">
        <v>72</v>
      </c>
      <c r="T779" s="1" t="str">
        <f t="shared" si="329"/>
        <v>Maharashtra</v>
      </c>
      <c r="U779" s="1" t="s">
        <v>73</v>
      </c>
      <c r="V779" s="1" t="str">
        <f t="shared" si="330"/>
        <v>Mumbai</v>
      </c>
      <c r="W779" s="1" t="s">
        <v>83</v>
      </c>
      <c r="X779" s="1" t="str">
        <f t="shared" si="331"/>
        <v>Technology</v>
      </c>
      <c r="Y779" s="1" t="s">
        <v>207</v>
      </c>
      <c r="Z779" s="1" t="str">
        <f t="shared" si="332"/>
        <v>Phones</v>
      </c>
      <c r="AA779" s="1" t="s">
        <v>2460</v>
      </c>
      <c r="AB779" s="1" t="s">
        <v>55</v>
      </c>
      <c r="AC779" s="1" t="str">
        <f t="shared" si="333"/>
        <v>First Class</v>
      </c>
      <c r="AD779" s="1" t="str">
        <f t="shared" si="334"/>
        <v>OK</v>
      </c>
      <c r="AE779" s="1">
        <v>8</v>
      </c>
      <c r="AF779" s="1">
        <v>3453.66</v>
      </c>
      <c r="AG779" s="9">
        <v>0</v>
      </c>
      <c r="AH779" s="9">
        <f t="shared" si="335"/>
        <v>0</v>
      </c>
      <c r="AI779" s="1" t="str">
        <f t="shared" si="336"/>
        <v>OK</v>
      </c>
      <c r="AJ779" s="1">
        <v>27629.279999999999</v>
      </c>
      <c r="AK779" s="1">
        <v>22026.48</v>
      </c>
      <c r="AL779" s="1">
        <v>5602.8</v>
      </c>
      <c r="AM779" s="13">
        <f t="shared" si="337"/>
        <v>27629.279999999999</v>
      </c>
      <c r="AN779" s="9">
        <f t="shared" si="338"/>
        <v>5602.7999999999993</v>
      </c>
      <c r="AO779" s="9">
        <f t="shared" si="347"/>
        <v>0.20278487170132553</v>
      </c>
      <c r="AP779" s="1" t="s">
        <v>33</v>
      </c>
      <c r="AQ779" s="1" t="str">
        <f t="shared" si="339"/>
        <v>Paid</v>
      </c>
      <c r="AR779" s="1" t="str">
        <f t="shared" si="340"/>
        <v>OK</v>
      </c>
      <c r="AS779" s="1" t="s">
        <v>34</v>
      </c>
      <c r="AT779" s="4" t="str">
        <f t="shared" si="341"/>
        <v>Completed</v>
      </c>
      <c r="AU779" s="3" t="str">
        <f t="shared" si="342"/>
        <v>OK</v>
      </c>
      <c r="AV779" s="3" t="str">
        <f t="shared" si="348"/>
        <v>INVALID</v>
      </c>
      <c r="AW779" t="str">
        <f t="shared" si="349"/>
        <v>MATCH</v>
      </c>
      <c r="AX779" t="str">
        <f t="shared" si="350"/>
        <v>MATCH</v>
      </c>
    </row>
    <row r="780" spans="1:50" ht="15.6">
      <c r="A780" s="1" t="s">
        <v>2461</v>
      </c>
      <c r="B780" s="1">
        <f t="shared" si="324"/>
        <v>1</v>
      </c>
      <c r="C780" s="16">
        <v>45759</v>
      </c>
      <c r="D780" s="16">
        <v>45759</v>
      </c>
      <c r="E780" s="16" t="str">
        <f t="shared" si="343"/>
        <v>Apr</v>
      </c>
      <c r="F780" s="1">
        <f t="shared" si="344"/>
        <v>2025</v>
      </c>
      <c r="G780" t="s">
        <v>3143</v>
      </c>
      <c r="H780" s="17">
        <v>45497</v>
      </c>
      <c r="I780" s="21">
        <f t="shared" si="345"/>
        <v>-262</v>
      </c>
      <c r="J780" s="6" t="str">
        <f t="shared" si="346"/>
        <v>INVALID_SHIPPING</v>
      </c>
      <c r="K780" s="1" t="s">
        <v>2463</v>
      </c>
      <c r="L780" s="1" t="s">
        <v>39</v>
      </c>
      <c r="M780" s="1" t="str">
        <f t="shared" si="325"/>
        <v>Mira Das</v>
      </c>
      <c r="N780" s="1" t="s">
        <v>110</v>
      </c>
      <c r="O780" s="1" t="str">
        <f t="shared" si="326"/>
        <v>Home Office</v>
      </c>
      <c r="P780" s="1" t="s">
        <v>26</v>
      </c>
      <c r="Q780" s="1" t="str">
        <f t="shared" si="327"/>
        <v>North</v>
      </c>
      <c r="R780" s="1" t="str">
        <f t="shared" si="328"/>
        <v>OK</v>
      </c>
      <c r="S780" s="1" t="s">
        <v>146</v>
      </c>
      <c r="T780" s="1" t="str">
        <f t="shared" si="329"/>
        <v>Punjab</v>
      </c>
      <c r="U780" s="1" t="s">
        <v>147</v>
      </c>
      <c r="V780" s="1" t="str">
        <f t="shared" si="330"/>
        <v>Ludhiana</v>
      </c>
      <c r="W780" s="1" t="s">
        <v>29</v>
      </c>
      <c r="X780" s="1" t="str">
        <f t="shared" si="331"/>
        <v>Office Supplies</v>
      </c>
      <c r="Y780" s="1" t="s">
        <v>184</v>
      </c>
      <c r="Z780" s="1" t="str">
        <f t="shared" si="332"/>
        <v>Binders</v>
      </c>
      <c r="AA780" s="1" t="s">
        <v>2464</v>
      </c>
      <c r="AB780" s="1" t="s">
        <v>32</v>
      </c>
      <c r="AC780" s="1" t="str">
        <f t="shared" si="333"/>
        <v>Second Class</v>
      </c>
      <c r="AD780" s="1" t="str">
        <f t="shared" si="334"/>
        <v>OK</v>
      </c>
      <c r="AE780" s="1">
        <v>7</v>
      </c>
      <c r="AF780" s="1">
        <v>1334.2</v>
      </c>
      <c r="AG780" s="9">
        <v>0.2</v>
      </c>
      <c r="AH780" s="9">
        <f t="shared" si="335"/>
        <v>0.2</v>
      </c>
      <c r="AI780" s="1" t="str">
        <f t="shared" si="336"/>
        <v>OK</v>
      </c>
      <c r="AJ780" s="1">
        <v>7471.52</v>
      </c>
      <c r="AK780" s="1">
        <v>6184.32</v>
      </c>
      <c r="AL780" s="1">
        <v>1287.2</v>
      </c>
      <c r="AM780" s="13">
        <f t="shared" si="337"/>
        <v>7471.52</v>
      </c>
      <c r="AN780" s="9">
        <f t="shared" si="338"/>
        <v>1287.2000000000007</v>
      </c>
      <c r="AO780" s="9">
        <f t="shared" si="347"/>
        <v>0.17228087457438387</v>
      </c>
      <c r="AP780" s="1" t="s">
        <v>33</v>
      </c>
      <c r="AQ780" s="1" t="str">
        <f t="shared" si="339"/>
        <v>Paid</v>
      </c>
      <c r="AR780" s="1" t="str">
        <f t="shared" si="340"/>
        <v>OK</v>
      </c>
      <c r="AS780" s="1" t="s">
        <v>34</v>
      </c>
      <c r="AT780" s="4" t="str">
        <f t="shared" si="341"/>
        <v>Completed</v>
      </c>
      <c r="AU780" s="3" t="str">
        <f t="shared" si="342"/>
        <v>OK</v>
      </c>
      <c r="AV780" s="3" t="str">
        <f t="shared" si="348"/>
        <v>INVALID</v>
      </c>
      <c r="AW780" t="str">
        <f t="shared" si="349"/>
        <v>MATCH</v>
      </c>
      <c r="AX780" t="str">
        <f t="shared" si="350"/>
        <v>MATCH</v>
      </c>
    </row>
    <row r="781" spans="1:50" ht="15.6">
      <c r="A781" s="1" t="s">
        <v>2465</v>
      </c>
      <c r="B781" s="1">
        <f t="shared" si="324"/>
        <v>1</v>
      </c>
      <c r="C781" s="16">
        <v>45861</v>
      </c>
      <c r="D781" s="16">
        <v>45861</v>
      </c>
      <c r="E781" s="16" t="str">
        <f t="shared" si="343"/>
        <v>Jul</v>
      </c>
      <c r="F781" s="1">
        <f t="shared" si="344"/>
        <v>2025</v>
      </c>
      <c r="G781" t="s">
        <v>3147</v>
      </c>
      <c r="H781" s="17">
        <v>45311</v>
      </c>
      <c r="I781" s="21">
        <f t="shared" si="345"/>
        <v>-550</v>
      </c>
      <c r="J781" s="6" t="str">
        <f t="shared" si="346"/>
        <v>INVALID_SHIPPING</v>
      </c>
      <c r="K781" s="1" t="s">
        <v>2467</v>
      </c>
      <c r="L781" s="1" t="s">
        <v>334</v>
      </c>
      <c r="M781" s="1" t="str">
        <f t="shared" si="325"/>
        <v>Kabir Singh</v>
      </c>
      <c r="N781" s="1" t="s">
        <v>110</v>
      </c>
      <c r="O781" s="1" t="str">
        <f t="shared" si="326"/>
        <v>Home Office</v>
      </c>
      <c r="P781" s="1" t="s">
        <v>71</v>
      </c>
      <c r="Q781" s="1" t="str">
        <f t="shared" si="327"/>
        <v>West</v>
      </c>
      <c r="R781" s="1" t="str">
        <f t="shared" si="328"/>
        <v>OK</v>
      </c>
      <c r="S781" s="1" t="s">
        <v>81</v>
      </c>
      <c r="T781" s="1" t="str">
        <f t="shared" si="329"/>
        <v>Madhya Pradesh</v>
      </c>
      <c r="U781" s="1" t="s">
        <v>82</v>
      </c>
      <c r="V781" s="1" t="str">
        <f t="shared" si="330"/>
        <v>Indore</v>
      </c>
      <c r="W781" s="1" t="s">
        <v>83</v>
      </c>
      <c r="X781" s="1" t="str">
        <f t="shared" si="331"/>
        <v>Technology</v>
      </c>
      <c r="Y781" s="1" t="s">
        <v>84</v>
      </c>
      <c r="Z781" s="1" t="str">
        <f t="shared" si="332"/>
        <v>Accessories</v>
      </c>
      <c r="AA781" s="1" t="s">
        <v>2468</v>
      </c>
      <c r="AB781" s="1" t="s">
        <v>55</v>
      </c>
      <c r="AC781" s="1" t="str">
        <f t="shared" si="333"/>
        <v>First Class</v>
      </c>
      <c r="AD781" s="1" t="str">
        <f t="shared" si="334"/>
        <v>OK</v>
      </c>
      <c r="AE781" s="1">
        <v>1</v>
      </c>
      <c r="AF781" s="1">
        <v>4253.84</v>
      </c>
      <c r="AG781" s="9">
        <v>0.15</v>
      </c>
      <c r="AH781" s="9">
        <f t="shared" si="335"/>
        <v>0.15</v>
      </c>
      <c r="AI781" s="1" t="str">
        <f t="shared" si="336"/>
        <v>OK</v>
      </c>
      <c r="AJ781" s="1">
        <v>3615.76</v>
      </c>
      <c r="AK781" s="1">
        <v>2951.52</v>
      </c>
      <c r="AL781" s="1">
        <v>664.24</v>
      </c>
      <c r="AM781" s="13">
        <f t="shared" si="337"/>
        <v>3615.7640000000001</v>
      </c>
      <c r="AN781" s="9">
        <f t="shared" si="338"/>
        <v>664.24400000000014</v>
      </c>
      <c r="AO781" s="9">
        <f t="shared" si="347"/>
        <v>0.18370778623826114</v>
      </c>
      <c r="AP781" s="1" t="s">
        <v>119</v>
      </c>
      <c r="AQ781" s="1" t="str">
        <f t="shared" si="339"/>
        <v>Refunded</v>
      </c>
      <c r="AR781" s="1" t="str">
        <f t="shared" si="340"/>
        <v>REFUNDED_PAYMENT</v>
      </c>
      <c r="AS781" s="1" t="s">
        <v>76</v>
      </c>
      <c r="AT781" s="4" t="str">
        <f t="shared" si="341"/>
        <v>Cancelled</v>
      </c>
      <c r="AU781" s="3" t="str">
        <f t="shared" si="342"/>
        <v>EXCLUDE_FROM_SALES</v>
      </c>
      <c r="AV781" s="3" t="str">
        <f t="shared" si="348"/>
        <v>INVALID</v>
      </c>
      <c r="AW781" t="str">
        <f t="shared" si="349"/>
        <v>MATCH</v>
      </c>
      <c r="AX781" t="str">
        <f t="shared" si="350"/>
        <v>MATCH</v>
      </c>
    </row>
    <row r="782" spans="1:50" ht="15.6">
      <c r="A782" s="1" t="s">
        <v>2469</v>
      </c>
      <c r="B782" s="1">
        <f t="shared" si="324"/>
        <v>1</v>
      </c>
      <c r="C782" s="16">
        <v>45964</v>
      </c>
      <c r="D782" s="16">
        <v>45964</v>
      </c>
      <c r="E782" s="16" t="str">
        <f t="shared" si="343"/>
        <v>Nov</v>
      </c>
      <c r="F782" s="1">
        <f t="shared" si="344"/>
        <v>2025</v>
      </c>
      <c r="G782" t="s">
        <v>2325</v>
      </c>
      <c r="H782" s="17">
        <v>45514</v>
      </c>
      <c r="I782" s="21">
        <f t="shared" si="345"/>
        <v>-450</v>
      </c>
      <c r="J782" s="6" t="str">
        <f t="shared" si="346"/>
        <v>INVALID_SHIPPING</v>
      </c>
      <c r="K782" s="1" t="s">
        <v>2471</v>
      </c>
      <c r="L782" s="1" t="s">
        <v>153</v>
      </c>
      <c r="M782" s="1" t="str">
        <f t="shared" si="325"/>
        <v>Aarav Sharma</v>
      </c>
      <c r="N782" s="1" t="s">
        <v>110</v>
      </c>
      <c r="O782" s="1" t="str">
        <f t="shared" si="326"/>
        <v>Home Office</v>
      </c>
      <c r="P782" s="1" t="s">
        <v>60</v>
      </c>
      <c r="Q782" s="1" t="str">
        <f t="shared" si="327"/>
        <v>South</v>
      </c>
      <c r="R782" s="1" t="str">
        <f t="shared" si="328"/>
        <v>OK</v>
      </c>
      <c r="S782" s="1" t="s">
        <v>212</v>
      </c>
      <c r="T782" s="1" t="str">
        <f t="shared" si="329"/>
        <v>Karnataka</v>
      </c>
      <c r="U782" s="1" t="s">
        <v>213</v>
      </c>
      <c r="V782" s="1" t="str">
        <f t="shared" si="330"/>
        <v>Bengaluru</v>
      </c>
      <c r="W782" s="1" t="s">
        <v>83</v>
      </c>
      <c r="X782" s="1" t="str">
        <f t="shared" si="331"/>
        <v>Technology</v>
      </c>
      <c r="Y782" s="1" t="s">
        <v>84</v>
      </c>
      <c r="Z782" s="1" t="str">
        <f t="shared" si="332"/>
        <v>Accessories</v>
      </c>
      <c r="AA782" s="1" t="s">
        <v>2472</v>
      </c>
      <c r="AB782" s="1" t="s">
        <v>32</v>
      </c>
      <c r="AC782" s="1" t="str">
        <f t="shared" si="333"/>
        <v>Second Class</v>
      </c>
      <c r="AD782" s="1" t="str">
        <f t="shared" si="334"/>
        <v>OK</v>
      </c>
      <c r="AE782" s="1">
        <v>8</v>
      </c>
      <c r="AF782" s="1">
        <v>4446.3599999999997</v>
      </c>
      <c r="AG782" s="9">
        <v>0.1</v>
      </c>
      <c r="AH782" s="9">
        <f t="shared" si="335"/>
        <v>0.1</v>
      </c>
      <c r="AI782" s="1" t="str">
        <f t="shared" si="336"/>
        <v>OK</v>
      </c>
      <c r="AJ782" s="1">
        <v>32013.79</v>
      </c>
      <c r="AK782" s="1">
        <v>20896.88</v>
      </c>
      <c r="AL782" s="1">
        <v>11116.91</v>
      </c>
      <c r="AM782" s="13">
        <f t="shared" si="337"/>
        <v>32013.791999999998</v>
      </c>
      <c r="AN782" s="9">
        <f t="shared" si="338"/>
        <v>11116.911999999997</v>
      </c>
      <c r="AO782" s="9">
        <f t="shared" si="347"/>
        <v>0.34725383359771933</v>
      </c>
      <c r="AP782" s="1" t="s">
        <v>119</v>
      </c>
      <c r="AQ782" s="1" t="str">
        <f t="shared" si="339"/>
        <v>Refunded</v>
      </c>
      <c r="AR782" s="1" t="str">
        <f t="shared" si="340"/>
        <v>REFUNDED_PAYMENT</v>
      </c>
      <c r="AS782" s="1" t="s">
        <v>76</v>
      </c>
      <c r="AT782" s="4" t="str">
        <f t="shared" si="341"/>
        <v>Cancelled</v>
      </c>
      <c r="AU782" s="3" t="str">
        <f t="shared" si="342"/>
        <v>EXCLUDE_FROM_SALES</v>
      </c>
      <c r="AV782" s="3" t="str">
        <f t="shared" si="348"/>
        <v>INVALID</v>
      </c>
      <c r="AW782" t="str">
        <f t="shared" si="349"/>
        <v>MATCH</v>
      </c>
      <c r="AX782" t="str">
        <f t="shared" si="350"/>
        <v>MATCH</v>
      </c>
    </row>
    <row r="783" spans="1:50" ht="15.6">
      <c r="A783" s="1" t="s">
        <v>2490</v>
      </c>
      <c r="B783" s="1">
        <f t="shared" si="324"/>
        <v>1</v>
      </c>
      <c r="C783" s="16">
        <v>45927</v>
      </c>
      <c r="D783" s="16">
        <v>45927</v>
      </c>
      <c r="E783" s="16" t="str">
        <f t="shared" si="343"/>
        <v>Sep</v>
      </c>
      <c r="F783" s="1">
        <f t="shared" si="344"/>
        <v>2025</v>
      </c>
      <c r="G783" t="s">
        <v>1873</v>
      </c>
      <c r="H783" s="17">
        <v>45332</v>
      </c>
      <c r="I783" s="21">
        <f t="shared" si="345"/>
        <v>-595</v>
      </c>
      <c r="J783" s="6" t="str">
        <f t="shared" si="346"/>
        <v>INVALID_SHIPPING</v>
      </c>
      <c r="K783" s="1" t="s">
        <v>2218</v>
      </c>
      <c r="L783" s="1" t="s">
        <v>59</v>
      </c>
      <c r="M783" s="1" t="str">
        <f t="shared" si="325"/>
        <v>Arjun Bose</v>
      </c>
      <c r="N783" s="1" t="s">
        <v>110</v>
      </c>
      <c r="O783" s="1" t="str">
        <f t="shared" si="326"/>
        <v>Home Office</v>
      </c>
      <c r="P783" s="1" t="s">
        <v>26</v>
      </c>
      <c r="Q783" s="1" t="str">
        <f t="shared" si="327"/>
        <v>North</v>
      </c>
      <c r="R783" s="1" t="str">
        <f t="shared" si="328"/>
        <v>OK</v>
      </c>
      <c r="S783" s="1" t="s">
        <v>163</v>
      </c>
      <c r="T783" s="1" t="str">
        <f t="shared" si="329"/>
        <v>Uttar Pradesh</v>
      </c>
      <c r="U783" s="1" t="s">
        <v>164</v>
      </c>
      <c r="V783" s="1" t="str">
        <f t="shared" si="330"/>
        <v>Noida</v>
      </c>
      <c r="W783" s="1" t="s">
        <v>44</v>
      </c>
      <c r="X783" s="1" t="str">
        <f t="shared" si="331"/>
        <v>Furniture</v>
      </c>
      <c r="Y783" s="1" t="s">
        <v>45</v>
      </c>
      <c r="Z783" s="1" t="str">
        <f t="shared" si="332"/>
        <v>Tables</v>
      </c>
      <c r="AA783" s="1" t="s">
        <v>2492</v>
      </c>
      <c r="AB783" s="1" t="s">
        <v>32</v>
      </c>
      <c r="AC783" s="1" t="str">
        <f t="shared" si="333"/>
        <v>Second Class</v>
      </c>
      <c r="AD783" s="1" t="str">
        <f t="shared" si="334"/>
        <v>OK</v>
      </c>
      <c r="AE783" s="1">
        <v>9</v>
      </c>
      <c r="AF783" s="1">
        <v>4100.1099999999997</v>
      </c>
      <c r="AG783" s="9">
        <v>0.25</v>
      </c>
      <c r="AH783" s="9">
        <f t="shared" si="335"/>
        <v>0.25</v>
      </c>
      <c r="AI783" s="1" t="str">
        <f t="shared" si="336"/>
        <v>OK</v>
      </c>
      <c r="AJ783" s="1">
        <v>27675.74</v>
      </c>
      <c r="AK783" s="1">
        <v>15571.08</v>
      </c>
      <c r="AL783" s="1">
        <v>12104.66</v>
      </c>
      <c r="AM783" s="13">
        <f t="shared" si="337"/>
        <v>27675.7425</v>
      </c>
      <c r="AN783" s="9">
        <f t="shared" si="338"/>
        <v>12104.6625</v>
      </c>
      <c r="AO783" s="9">
        <f t="shared" si="347"/>
        <v>0.4373744444254748</v>
      </c>
      <c r="AP783" s="1" t="s">
        <v>33</v>
      </c>
      <c r="AQ783" s="1" t="str">
        <f t="shared" si="339"/>
        <v>Paid</v>
      </c>
      <c r="AR783" s="1" t="str">
        <f t="shared" si="340"/>
        <v>OK</v>
      </c>
      <c r="AS783" s="1" t="s">
        <v>34</v>
      </c>
      <c r="AT783" s="4" t="str">
        <f t="shared" si="341"/>
        <v>Completed</v>
      </c>
      <c r="AU783" s="3" t="str">
        <f t="shared" si="342"/>
        <v>OK</v>
      </c>
      <c r="AV783" s="3" t="str">
        <f t="shared" si="348"/>
        <v>INVALID</v>
      </c>
      <c r="AW783" t="str">
        <f t="shared" si="349"/>
        <v>MATCH</v>
      </c>
      <c r="AX783" t="str">
        <f t="shared" si="350"/>
        <v>MATCH</v>
      </c>
    </row>
    <row r="784" spans="1:50" ht="15.6">
      <c r="A784" s="1" t="s">
        <v>2496</v>
      </c>
      <c r="B784" s="1">
        <f t="shared" si="324"/>
        <v>1</v>
      </c>
      <c r="C784" s="16">
        <v>45963</v>
      </c>
      <c r="D784" s="16">
        <v>45963</v>
      </c>
      <c r="E784" s="16" t="str">
        <f t="shared" si="343"/>
        <v>Nov</v>
      </c>
      <c r="F784" s="1">
        <f t="shared" si="344"/>
        <v>2025</v>
      </c>
      <c r="G784" t="s">
        <v>3157</v>
      </c>
      <c r="H784" s="17">
        <v>45738</v>
      </c>
      <c r="I784" s="21">
        <f t="shared" si="345"/>
        <v>-225</v>
      </c>
      <c r="J784" s="6" t="str">
        <f t="shared" si="346"/>
        <v>INVALID_SHIPPING</v>
      </c>
      <c r="K784" s="1" t="s">
        <v>2498</v>
      </c>
      <c r="L784" s="1" t="s">
        <v>39</v>
      </c>
      <c r="M784" s="1" t="str">
        <f t="shared" si="325"/>
        <v>Mira Das</v>
      </c>
      <c r="N784" s="1" t="s">
        <v>104</v>
      </c>
      <c r="O784" s="1" t="str">
        <f t="shared" si="326"/>
        <v>Corporate</v>
      </c>
      <c r="P784" s="1" t="s">
        <v>26</v>
      </c>
      <c r="Q784" s="1" t="str">
        <f t="shared" si="327"/>
        <v>North</v>
      </c>
      <c r="R784" s="1" t="str">
        <f t="shared" si="328"/>
        <v>OK</v>
      </c>
      <c r="S784" s="1" t="s">
        <v>163</v>
      </c>
      <c r="T784" s="1" t="str">
        <f t="shared" si="329"/>
        <v>Uttar Pradesh</v>
      </c>
      <c r="U784" s="1" t="s">
        <v>164</v>
      </c>
      <c r="V784" s="1" t="str">
        <f t="shared" si="330"/>
        <v>Noida</v>
      </c>
      <c r="W784" s="1" t="s">
        <v>83</v>
      </c>
      <c r="X784" s="1" t="str">
        <f t="shared" si="331"/>
        <v>Technology</v>
      </c>
      <c r="Y784" s="1" t="s">
        <v>207</v>
      </c>
      <c r="Z784" s="1" t="str">
        <f t="shared" si="332"/>
        <v>Phones</v>
      </c>
      <c r="AA784" s="1" t="s">
        <v>2499</v>
      </c>
      <c r="AB784" s="1" t="s">
        <v>55</v>
      </c>
      <c r="AC784" s="1" t="str">
        <f t="shared" si="333"/>
        <v>First Class</v>
      </c>
      <c r="AD784" s="1" t="str">
        <f t="shared" si="334"/>
        <v>OK</v>
      </c>
      <c r="AE784" s="1">
        <v>8</v>
      </c>
      <c r="AF784" s="1">
        <v>1825.56</v>
      </c>
      <c r="AG784" s="9">
        <v>0.1</v>
      </c>
      <c r="AH784" s="9">
        <f t="shared" si="335"/>
        <v>0.1</v>
      </c>
      <c r="AI784" s="1" t="str">
        <f t="shared" si="336"/>
        <v>OK</v>
      </c>
      <c r="AJ784" s="1">
        <v>13144.03</v>
      </c>
      <c r="AK784" s="1">
        <v>9764</v>
      </c>
      <c r="AL784" s="1">
        <v>3380.03</v>
      </c>
      <c r="AM784" s="13">
        <f t="shared" si="337"/>
        <v>13144.031999999999</v>
      </c>
      <c r="AN784" s="9">
        <f t="shared" si="338"/>
        <v>3380.0319999999992</v>
      </c>
      <c r="AO784" s="9">
        <f t="shared" si="347"/>
        <v>0.25715336055176974</v>
      </c>
      <c r="AP784" s="1" t="s">
        <v>33</v>
      </c>
      <c r="AQ784" s="1" t="str">
        <f t="shared" si="339"/>
        <v>Paid</v>
      </c>
      <c r="AR784" s="1" t="str">
        <f t="shared" si="340"/>
        <v>OK</v>
      </c>
      <c r="AS784" s="1" t="s">
        <v>34</v>
      </c>
      <c r="AT784" s="4" t="str">
        <f t="shared" si="341"/>
        <v>Completed</v>
      </c>
      <c r="AU784" s="3" t="str">
        <f t="shared" si="342"/>
        <v>OK</v>
      </c>
      <c r="AV784" s="3" t="str">
        <f t="shared" si="348"/>
        <v>INVALID</v>
      </c>
      <c r="AW784" t="str">
        <f t="shared" si="349"/>
        <v>MATCH</v>
      </c>
      <c r="AX784" t="str">
        <f t="shared" si="350"/>
        <v>MATCH</v>
      </c>
    </row>
    <row r="785" spans="1:50" ht="15.6">
      <c r="A785" s="1" t="s">
        <v>2503</v>
      </c>
      <c r="B785" s="1">
        <f t="shared" si="324"/>
        <v>1</v>
      </c>
      <c r="C785" s="16">
        <v>45876</v>
      </c>
      <c r="D785" s="16">
        <v>45876</v>
      </c>
      <c r="E785" s="16" t="str">
        <f t="shared" si="343"/>
        <v>Aug</v>
      </c>
      <c r="F785" s="1">
        <f t="shared" si="344"/>
        <v>2025</v>
      </c>
      <c r="G785" t="s">
        <v>3161</v>
      </c>
      <c r="H785" s="17">
        <v>45450</v>
      </c>
      <c r="I785" s="21">
        <f t="shared" si="345"/>
        <v>-426</v>
      </c>
      <c r="J785" s="6" t="str">
        <f t="shared" si="346"/>
        <v>INVALID_SHIPPING</v>
      </c>
      <c r="K785" s="1" t="s">
        <v>2505</v>
      </c>
      <c r="L785" s="1" t="s">
        <v>103</v>
      </c>
      <c r="M785" s="1" t="str">
        <f t="shared" si="325"/>
        <v>Aditi Sen</v>
      </c>
      <c r="N785" s="1" t="s">
        <v>25</v>
      </c>
      <c r="O785" s="1" t="str">
        <f t="shared" si="326"/>
        <v>Consumer</v>
      </c>
      <c r="P785" s="1" t="s">
        <v>60</v>
      </c>
      <c r="Q785" s="1" t="str">
        <f t="shared" si="327"/>
        <v>South</v>
      </c>
      <c r="R785" s="1" t="str">
        <f t="shared" si="328"/>
        <v>OK</v>
      </c>
      <c r="S785" s="1" t="s">
        <v>61</v>
      </c>
      <c r="T785" s="1" t="str">
        <f t="shared" si="329"/>
        <v>Telangana</v>
      </c>
      <c r="U785" s="1" t="s">
        <v>62</v>
      </c>
      <c r="V785" s="1" t="str">
        <f t="shared" si="330"/>
        <v>Hyderabad</v>
      </c>
      <c r="W785" s="1" t="s">
        <v>83</v>
      </c>
      <c r="X785" s="1" t="str">
        <f t="shared" si="331"/>
        <v>Technology</v>
      </c>
      <c r="Y785" s="1" t="s">
        <v>91</v>
      </c>
      <c r="Z785" s="1" t="str">
        <f t="shared" si="332"/>
        <v>Copiers</v>
      </c>
      <c r="AA785" s="1" t="s">
        <v>2506</v>
      </c>
      <c r="AB785" s="1" t="s">
        <v>47</v>
      </c>
      <c r="AC785" s="1" t="str">
        <f t="shared" si="333"/>
        <v>Same Day</v>
      </c>
      <c r="AD785" s="1" t="str">
        <f t="shared" si="334"/>
        <v>OK</v>
      </c>
      <c r="AE785" s="1">
        <v>9</v>
      </c>
      <c r="AF785" s="1">
        <v>274.88</v>
      </c>
      <c r="AG785" s="9">
        <v>0.25</v>
      </c>
      <c r="AH785" s="9">
        <f t="shared" si="335"/>
        <v>0.25</v>
      </c>
      <c r="AI785" s="1" t="str">
        <f t="shared" si="336"/>
        <v>OK</v>
      </c>
      <c r="AJ785" s="1">
        <v>1855.44</v>
      </c>
      <c r="AK785" s="1">
        <v>1262.74</v>
      </c>
      <c r="AL785" s="1">
        <v>592.70000000000005</v>
      </c>
      <c r="AM785" s="13">
        <f t="shared" si="337"/>
        <v>1855.44</v>
      </c>
      <c r="AN785" s="9">
        <f t="shared" si="338"/>
        <v>592.70000000000005</v>
      </c>
      <c r="AO785" s="9">
        <f t="shared" si="347"/>
        <v>0.3194390548872505</v>
      </c>
      <c r="AP785" s="1" t="s">
        <v>33</v>
      </c>
      <c r="AQ785" s="1" t="str">
        <f t="shared" si="339"/>
        <v>Paid</v>
      </c>
      <c r="AR785" s="1" t="str">
        <f t="shared" si="340"/>
        <v>OK</v>
      </c>
      <c r="AS785" s="1" t="s">
        <v>34</v>
      </c>
      <c r="AT785" s="4" t="str">
        <f t="shared" si="341"/>
        <v>Completed</v>
      </c>
      <c r="AU785" s="3" t="str">
        <f t="shared" si="342"/>
        <v>OK</v>
      </c>
      <c r="AV785" s="3" t="str">
        <f t="shared" si="348"/>
        <v>INVALID</v>
      </c>
      <c r="AW785" t="str">
        <f t="shared" si="349"/>
        <v>MATCH</v>
      </c>
      <c r="AX785" t="str">
        <f t="shared" si="350"/>
        <v>MATCH</v>
      </c>
    </row>
    <row r="786" spans="1:50" ht="15.6">
      <c r="A786" s="1" t="s">
        <v>2515</v>
      </c>
      <c r="B786" s="1">
        <f t="shared" si="324"/>
        <v>1</v>
      </c>
      <c r="C786" s="16">
        <v>45721</v>
      </c>
      <c r="D786" s="16">
        <v>45721</v>
      </c>
      <c r="E786" s="16" t="str">
        <f t="shared" si="343"/>
        <v>Mar</v>
      </c>
      <c r="F786" s="1">
        <f t="shared" si="344"/>
        <v>2025</v>
      </c>
      <c r="G786" t="s">
        <v>2237</v>
      </c>
      <c r="H786" s="17">
        <v>45935</v>
      </c>
      <c r="I786" s="21">
        <f t="shared" si="345"/>
        <v>214</v>
      </c>
      <c r="J786" s="6" t="str">
        <f t="shared" si="346"/>
        <v>OK</v>
      </c>
      <c r="K786" s="1" t="s">
        <v>2517</v>
      </c>
      <c r="L786" s="1" t="s">
        <v>70</v>
      </c>
      <c r="M786" s="1" t="str">
        <f t="shared" si="325"/>
        <v>Ananya Rao</v>
      </c>
      <c r="N786" s="1" t="s">
        <v>104</v>
      </c>
      <c r="O786" s="1" t="str">
        <f t="shared" si="326"/>
        <v>Corporate</v>
      </c>
      <c r="P786" s="1" t="s">
        <v>71</v>
      </c>
      <c r="Q786" s="1" t="str">
        <f t="shared" si="327"/>
        <v>West</v>
      </c>
      <c r="R786" s="1" t="str">
        <f t="shared" si="328"/>
        <v>OK</v>
      </c>
      <c r="S786" s="1" t="s">
        <v>81</v>
      </c>
      <c r="T786" s="1" t="str">
        <f t="shared" si="329"/>
        <v>Madhya Pradesh</v>
      </c>
      <c r="U786" s="1" t="s">
        <v>82</v>
      </c>
      <c r="V786" s="1" t="str">
        <f t="shared" si="330"/>
        <v>Indore</v>
      </c>
      <c r="W786" s="1" t="s">
        <v>29</v>
      </c>
      <c r="X786" s="1" t="str">
        <f t="shared" si="331"/>
        <v>Office Supplies</v>
      </c>
      <c r="Y786" s="1" t="s">
        <v>148</v>
      </c>
      <c r="Z786" s="1" t="str">
        <f t="shared" si="332"/>
        <v>Storage</v>
      </c>
      <c r="AA786" s="1" t="s">
        <v>2518</v>
      </c>
      <c r="AB786" s="1" t="s">
        <v>47</v>
      </c>
      <c r="AC786" s="1" t="str">
        <f t="shared" si="333"/>
        <v>Same Day</v>
      </c>
      <c r="AD786" s="1" t="str">
        <f t="shared" si="334"/>
        <v>OK</v>
      </c>
      <c r="AE786" s="1">
        <v>3</v>
      </c>
      <c r="AF786" s="1">
        <v>3682.75</v>
      </c>
      <c r="AG786" s="9"/>
      <c r="AH786" s="9">
        <f t="shared" si="335"/>
        <v>0</v>
      </c>
      <c r="AI786" s="1" t="str">
        <f t="shared" si="336"/>
        <v>Missing Discount</v>
      </c>
      <c r="AJ786" s="1">
        <v>11048.25</v>
      </c>
      <c r="AK786" s="1">
        <v>9062.7199999999993</v>
      </c>
      <c r="AL786" s="1">
        <v>1985.53</v>
      </c>
      <c r="AM786" s="13">
        <f t="shared" si="337"/>
        <v>11048.25</v>
      </c>
      <c r="AN786" s="9">
        <f t="shared" si="338"/>
        <v>1985.5300000000007</v>
      </c>
      <c r="AO786" s="9">
        <f t="shared" si="347"/>
        <v>0.17971443441268986</v>
      </c>
      <c r="AP786" s="1" t="s">
        <v>33</v>
      </c>
      <c r="AQ786" s="1" t="str">
        <f t="shared" si="339"/>
        <v>Paid</v>
      </c>
      <c r="AR786" s="1" t="str">
        <f t="shared" si="340"/>
        <v>OK</v>
      </c>
      <c r="AS786" s="1" t="s">
        <v>34</v>
      </c>
      <c r="AT786" s="4" t="str">
        <f t="shared" si="341"/>
        <v>Completed</v>
      </c>
      <c r="AU786" s="3" t="str">
        <f t="shared" si="342"/>
        <v>OK</v>
      </c>
      <c r="AV786" s="3" t="str">
        <f t="shared" si="348"/>
        <v>INVALID</v>
      </c>
      <c r="AW786" t="str">
        <f t="shared" si="349"/>
        <v>MATCH</v>
      </c>
      <c r="AX786" t="str">
        <f t="shared" si="350"/>
        <v>MATCH</v>
      </c>
    </row>
    <row r="787" spans="1:50" ht="15.6">
      <c r="A787" s="1" t="s">
        <v>2527</v>
      </c>
      <c r="B787" s="1">
        <f t="shared" si="324"/>
        <v>1</v>
      </c>
      <c r="C787" s="16">
        <v>45717</v>
      </c>
      <c r="D787" s="16">
        <v>45717</v>
      </c>
      <c r="E787" s="16" t="str">
        <f t="shared" si="343"/>
        <v>Mar</v>
      </c>
      <c r="F787" s="1">
        <f t="shared" si="344"/>
        <v>2025</v>
      </c>
      <c r="G787" t="s">
        <v>251</v>
      </c>
      <c r="H787" s="17">
        <v>45441</v>
      </c>
      <c r="I787" s="21">
        <f t="shared" si="345"/>
        <v>-276</v>
      </c>
      <c r="J787" s="6" t="str">
        <f t="shared" si="346"/>
        <v>INVALID_SHIPPING</v>
      </c>
      <c r="K787" s="1" t="s">
        <v>431</v>
      </c>
      <c r="L787" s="1" t="s">
        <v>80</v>
      </c>
      <c r="M787" s="1" t="str">
        <f t="shared" si="325"/>
        <v>Vikram Iyer</v>
      </c>
      <c r="N787" s="1" t="s">
        <v>104</v>
      </c>
      <c r="O787" s="1" t="str">
        <f t="shared" si="326"/>
        <v>Corporate</v>
      </c>
      <c r="P787" s="1" t="s">
        <v>41</v>
      </c>
      <c r="Q787" s="1" t="str">
        <f t="shared" si="327"/>
        <v>East</v>
      </c>
      <c r="R787" s="1" t="str">
        <f t="shared" si="328"/>
        <v>OK</v>
      </c>
      <c r="S787" s="1" t="s">
        <v>174</v>
      </c>
      <c r="T787" s="1" t="str">
        <f t="shared" si="329"/>
        <v>Bihar</v>
      </c>
      <c r="U787" s="1" t="s">
        <v>175</v>
      </c>
      <c r="V787" s="1" t="str">
        <f t="shared" si="330"/>
        <v>Patna</v>
      </c>
      <c r="W787" s="1" t="s">
        <v>83</v>
      </c>
      <c r="X787" s="1" t="str">
        <f t="shared" si="331"/>
        <v>Technology</v>
      </c>
      <c r="Y787" s="1" t="s">
        <v>84</v>
      </c>
      <c r="Z787" s="1" t="str">
        <f t="shared" si="332"/>
        <v>Accessories</v>
      </c>
      <c r="AA787" s="1" t="s">
        <v>2528</v>
      </c>
      <c r="AB787" s="1" t="s">
        <v>55</v>
      </c>
      <c r="AC787" s="1" t="str">
        <f t="shared" si="333"/>
        <v>First Class</v>
      </c>
      <c r="AD787" s="1" t="str">
        <f t="shared" si="334"/>
        <v>OK</v>
      </c>
      <c r="AE787" s="1">
        <v>8</v>
      </c>
      <c r="AF787" s="1">
        <v>2574.29</v>
      </c>
      <c r="AG787" s="9">
        <v>0.05</v>
      </c>
      <c r="AH787" s="9">
        <f t="shared" si="335"/>
        <v>0.05</v>
      </c>
      <c r="AI787" s="1" t="str">
        <f t="shared" si="336"/>
        <v>OK</v>
      </c>
      <c r="AJ787" s="1">
        <v>19564.599999999999</v>
      </c>
      <c r="AK787" s="1">
        <v>11154.59</v>
      </c>
      <c r="AL787" s="1">
        <v>8410.01</v>
      </c>
      <c r="AM787" s="13">
        <f t="shared" si="337"/>
        <v>19564.603999999999</v>
      </c>
      <c r="AN787" s="9">
        <f t="shared" si="338"/>
        <v>8410.0139999999992</v>
      </c>
      <c r="AO787" s="9">
        <f t="shared" si="347"/>
        <v>0.42985863654587642</v>
      </c>
      <c r="AP787" s="1" t="s">
        <v>131</v>
      </c>
      <c r="AQ787" s="1" t="str">
        <f t="shared" si="339"/>
        <v>Pending</v>
      </c>
      <c r="AR787" s="1" t="str">
        <f t="shared" si="340"/>
        <v>OK</v>
      </c>
      <c r="AS787" s="1" t="s">
        <v>76</v>
      </c>
      <c r="AT787" s="4" t="str">
        <f t="shared" si="341"/>
        <v>Cancelled</v>
      </c>
      <c r="AU787" s="3" t="str">
        <f t="shared" si="342"/>
        <v>EXCLUDE_FROM_SALES</v>
      </c>
      <c r="AV787" s="3" t="str">
        <f t="shared" si="348"/>
        <v>INVALID</v>
      </c>
      <c r="AW787" t="str">
        <f t="shared" si="349"/>
        <v>MATCH</v>
      </c>
      <c r="AX787" t="str">
        <f t="shared" si="350"/>
        <v>MATCH</v>
      </c>
    </row>
    <row r="788" spans="1:50" ht="15.6" hidden="1">
      <c r="A788" s="1" t="s">
        <v>2529</v>
      </c>
      <c r="B788" s="1">
        <f t="shared" si="324"/>
        <v>1</v>
      </c>
      <c r="C788" s="16">
        <v>45693</v>
      </c>
      <c r="D788" s="16">
        <v>45693</v>
      </c>
      <c r="E788" s="16" t="str">
        <f t="shared" si="343"/>
        <v>Feb</v>
      </c>
      <c r="F788" s="1">
        <f t="shared" si="344"/>
        <v>2025</v>
      </c>
      <c r="G788" t="s">
        <v>2504</v>
      </c>
      <c r="H788" s="17">
        <v>45846</v>
      </c>
      <c r="I788" s="21">
        <f t="shared" si="345"/>
        <v>153</v>
      </c>
      <c r="J788" s="6" t="str">
        <f t="shared" si="346"/>
        <v>OK</v>
      </c>
      <c r="K788" s="1" t="s">
        <v>2532</v>
      </c>
      <c r="L788" s="1" t="s">
        <v>70</v>
      </c>
      <c r="M788" s="1" t="str">
        <f t="shared" si="325"/>
        <v>Ananya Rao</v>
      </c>
      <c r="N788" s="1" t="s">
        <v>25</v>
      </c>
      <c r="O788" s="1" t="str">
        <f t="shared" si="326"/>
        <v>Consumer</v>
      </c>
      <c r="P788" s="1" t="s">
        <v>71</v>
      </c>
      <c r="Q788" s="1" t="str">
        <f t="shared" si="327"/>
        <v>West</v>
      </c>
      <c r="R788" s="1" t="str">
        <f t="shared" si="328"/>
        <v>OK</v>
      </c>
      <c r="S788" s="1" t="s">
        <v>81</v>
      </c>
      <c r="T788" s="1" t="str">
        <f t="shared" si="329"/>
        <v>Madhya Pradesh</v>
      </c>
      <c r="U788" s="1" t="s">
        <v>82</v>
      </c>
      <c r="V788" s="1" t="str">
        <f t="shared" si="330"/>
        <v>Indore</v>
      </c>
      <c r="W788" s="1" t="s">
        <v>29</v>
      </c>
      <c r="X788" s="1" t="str">
        <f t="shared" si="331"/>
        <v>Office Supplies</v>
      </c>
      <c r="Y788" s="1" t="s">
        <v>184</v>
      </c>
      <c r="Z788" s="1" t="str">
        <f t="shared" si="332"/>
        <v>Binders</v>
      </c>
      <c r="AA788" s="1" t="s">
        <v>2533</v>
      </c>
      <c r="AB788" s="1" t="s">
        <v>47</v>
      </c>
      <c r="AC788" s="1" t="str">
        <f t="shared" si="333"/>
        <v>Same Day</v>
      </c>
      <c r="AD788" s="1" t="str">
        <f t="shared" si="334"/>
        <v>OK</v>
      </c>
      <c r="AE788" s="1">
        <v>3</v>
      </c>
      <c r="AF788" s="1">
        <v>1076.3</v>
      </c>
      <c r="AG788" s="9">
        <v>0</v>
      </c>
      <c r="AH788" s="9">
        <f t="shared" si="335"/>
        <v>0</v>
      </c>
      <c r="AI788" s="1" t="str">
        <f t="shared" si="336"/>
        <v>OK</v>
      </c>
      <c r="AJ788" s="1">
        <v>3228.9</v>
      </c>
      <c r="AK788" s="1">
        <v>1853.23</v>
      </c>
      <c r="AL788" s="1">
        <v>1375.67</v>
      </c>
      <c r="AM788" s="13">
        <f t="shared" si="337"/>
        <v>3228.8999999999996</v>
      </c>
      <c r="AN788" s="9">
        <f t="shared" si="338"/>
        <v>1375.6699999999996</v>
      </c>
      <c r="AO788" s="9">
        <f t="shared" si="347"/>
        <v>0.42604911889497965</v>
      </c>
      <c r="AP788" s="1" t="s">
        <v>33</v>
      </c>
      <c r="AQ788" s="1" t="str">
        <f t="shared" si="339"/>
        <v>Paid</v>
      </c>
      <c r="AR788" s="1" t="str">
        <f t="shared" si="340"/>
        <v>OK</v>
      </c>
      <c r="AS788" s="1" t="s">
        <v>34</v>
      </c>
      <c r="AT788" s="4" t="str">
        <f t="shared" si="341"/>
        <v>Completed</v>
      </c>
      <c r="AU788" s="3" t="str">
        <f t="shared" si="342"/>
        <v>OK</v>
      </c>
      <c r="AV788" s="3" t="str">
        <f t="shared" si="348"/>
        <v>CLEAN</v>
      </c>
      <c r="AW788" t="str">
        <f t="shared" si="349"/>
        <v>MATCH</v>
      </c>
      <c r="AX788" t="str">
        <f t="shared" si="350"/>
        <v>MATCH</v>
      </c>
    </row>
    <row r="789" spans="1:50" ht="15.6">
      <c r="A789" s="1" t="s">
        <v>2534</v>
      </c>
      <c r="B789" s="1">
        <f t="shared" si="324"/>
        <v>1</v>
      </c>
      <c r="C789" s="16">
        <v>45907</v>
      </c>
      <c r="D789" s="16">
        <v>45907</v>
      </c>
      <c r="E789" s="16" t="str">
        <f t="shared" si="343"/>
        <v>Sep</v>
      </c>
      <c r="F789" s="1">
        <f t="shared" si="344"/>
        <v>2025</v>
      </c>
      <c r="G789" t="s">
        <v>3175</v>
      </c>
      <c r="H789" s="17">
        <v>45553</v>
      </c>
      <c r="I789" s="21">
        <f t="shared" si="345"/>
        <v>-354</v>
      </c>
      <c r="J789" s="6" t="str">
        <f t="shared" si="346"/>
        <v>INVALID_SHIPPING</v>
      </c>
      <c r="K789" s="1" t="s">
        <v>2536</v>
      </c>
      <c r="L789" s="1" t="s">
        <v>334</v>
      </c>
      <c r="M789" s="1" t="str">
        <f t="shared" si="325"/>
        <v>Kabir Singh</v>
      </c>
      <c r="N789" s="1" t="s">
        <v>104</v>
      </c>
      <c r="O789" s="1" t="str">
        <f t="shared" si="326"/>
        <v>Corporate</v>
      </c>
      <c r="P789" s="1" t="s">
        <v>71</v>
      </c>
      <c r="Q789" s="1" t="str">
        <f t="shared" si="327"/>
        <v>West</v>
      </c>
      <c r="R789" s="1" t="str">
        <f t="shared" si="328"/>
        <v>OK</v>
      </c>
      <c r="S789" s="1" t="s">
        <v>230</v>
      </c>
      <c r="T789" s="1" t="str">
        <f t="shared" si="329"/>
        <v>Goa</v>
      </c>
      <c r="U789" s="1" t="s">
        <v>231</v>
      </c>
      <c r="V789" s="1" t="str">
        <f t="shared" si="330"/>
        <v>Panaji</v>
      </c>
      <c r="W789" s="1" t="s">
        <v>44</v>
      </c>
      <c r="X789" s="1" t="str">
        <f t="shared" si="331"/>
        <v>Furniture</v>
      </c>
      <c r="Y789" s="1" t="s">
        <v>63</v>
      </c>
      <c r="Z789" s="1" t="str">
        <f t="shared" si="332"/>
        <v>Furnishings</v>
      </c>
      <c r="AA789" s="1" t="s">
        <v>2537</v>
      </c>
      <c r="AB789" s="1" t="s">
        <v>32</v>
      </c>
      <c r="AC789" s="1" t="str">
        <f t="shared" si="333"/>
        <v>Second Class</v>
      </c>
      <c r="AD789" s="1" t="str">
        <f t="shared" si="334"/>
        <v>OK</v>
      </c>
      <c r="AE789" s="1">
        <v>5</v>
      </c>
      <c r="AF789" s="1">
        <v>1680.01</v>
      </c>
      <c r="AG789" s="9" t="s">
        <v>1032</v>
      </c>
      <c r="AH789" s="9">
        <f t="shared" si="335"/>
        <v>0.85</v>
      </c>
      <c r="AI789" s="1" t="str">
        <f t="shared" si="336"/>
        <v>OK</v>
      </c>
      <c r="AJ789" s="1">
        <v>7560.04</v>
      </c>
      <c r="AK789" s="1">
        <v>6448.05</v>
      </c>
      <c r="AL789" s="1">
        <v>1111.99</v>
      </c>
      <c r="AM789" s="13">
        <f t="shared" si="337"/>
        <v>1260.0075000000002</v>
      </c>
      <c r="AN789" s="9">
        <f t="shared" si="338"/>
        <v>-5188.0424999999996</v>
      </c>
      <c r="AO789" s="9">
        <f t="shared" si="347"/>
        <v>-4.1174695388717915</v>
      </c>
      <c r="AP789" s="1" t="s">
        <v>33</v>
      </c>
      <c r="AQ789" s="1" t="str">
        <f t="shared" si="339"/>
        <v>Paid</v>
      </c>
      <c r="AR789" s="1" t="str">
        <f t="shared" si="340"/>
        <v>OK</v>
      </c>
      <c r="AS789" s="1" t="s">
        <v>76</v>
      </c>
      <c r="AT789" s="4" t="str">
        <f t="shared" si="341"/>
        <v>Cancelled</v>
      </c>
      <c r="AU789" s="3" t="str">
        <f t="shared" si="342"/>
        <v>EXCLUDE_FROM_SALES</v>
      </c>
      <c r="AV789" s="3" t="str">
        <f t="shared" si="348"/>
        <v>INVALID</v>
      </c>
      <c r="AW789" t="str">
        <f t="shared" si="349"/>
        <v>MISMATCH</v>
      </c>
      <c r="AX789" t="str">
        <f t="shared" si="350"/>
        <v>MISMATCH</v>
      </c>
    </row>
    <row r="790" spans="1:50" ht="15.6">
      <c r="A790" s="1" t="s">
        <v>2538</v>
      </c>
      <c r="B790" s="1">
        <f t="shared" si="324"/>
        <v>1</v>
      </c>
      <c r="C790" s="16">
        <v>45710</v>
      </c>
      <c r="D790" s="16">
        <v>45710</v>
      </c>
      <c r="E790" s="16" t="str">
        <f t="shared" si="343"/>
        <v>Feb</v>
      </c>
      <c r="F790" s="1">
        <f t="shared" si="344"/>
        <v>2025</v>
      </c>
      <c r="G790" t="s">
        <v>484</v>
      </c>
      <c r="H790" s="17">
        <v>45330</v>
      </c>
      <c r="I790" s="21">
        <f t="shared" si="345"/>
        <v>-380</v>
      </c>
      <c r="J790" s="6" t="str">
        <f t="shared" si="346"/>
        <v>INVALID_SHIPPING</v>
      </c>
      <c r="K790" s="1" t="s">
        <v>2540</v>
      </c>
      <c r="L790" s="1" t="s">
        <v>141</v>
      </c>
      <c r="M790" s="1" t="str">
        <f t="shared" si="325"/>
        <v>Rahul Verma</v>
      </c>
      <c r="N790" s="1" t="s">
        <v>110</v>
      </c>
      <c r="O790" s="1" t="str">
        <f t="shared" si="326"/>
        <v>Home Office</v>
      </c>
      <c r="P790" s="1" t="s">
        <v>71</v>
      </c>
      <c r="Q790" s="1" t="str">
        <f t="shared" si="327"/>
        <v>West</v>
      </c>
      <c r="R790" s="1" t="str">
        <f t="shared" si="328"/>
        <v>OK</v>
      </c>
      <c r="S790" s="1" t="s">
        <v>81</v>
      </c>
      <c r="T790" s="1" t="str">
        <f t="shared" si="329"/>
        <v>Madhya Pradesh</v>
      </c>
      <c r="U790" s="1" t="s">
        <v>82</v>
      </c>
      <c r="V790" s="1" t="str">
        <f t="shared" si="330"/>
        <v>Indore</v>
      </c>
      <c r="W790" s="1" t="s">
        <v>83</v>
      </c>
      <c r="X790" s="1" t="str">
        <f t="shared" si="331"/>
        <v>Technology</v>
      </c>
      <c r="Y790" s="1" t="s">
        <v>91</v>
      </c>
      <c r="Z790" s="1" t="str">
        <f t="shared" si="332"/>
        <v>Copiers</v>
      </c>
      <c r="AA790" s="1" t="s">
        <v>2541</v>
      </c>
      <c r="AB790" s="1" t="s">
        <v>47</v>
      </c>
      <c r="AC790" s="1" t="str">
        <f t="shared" si="333"/>
        <v>Same Day</v>
      </c>
      <c r="AD790" s="1" t="str">
        <f t="shared" si="334"/>
        <v>OK</v>
      </c>
      <c r="AE790" s="1">
        <v>3</v>
      </c>
      <c r="AF790" s="1">
        <v>3890.81</v>
      </c>
      <c r="AG790" s="9">
        <v>0.25</v>
      </c>
      <c r="AH790" s="9">
        <f t="shared" si="335"/>
        <v>0.25</v>
      </c>
      <c r="AI790" s="1" t="str">
        <f t="shared" si="336"/>
        <v>OK</v>
      </c>
      <c r="AJ790" s="1">
        <v>8754.32</v>
      </c>
      <c r="AK790" s="1">
        <v>6238.9</v>
      </c>
      <c r="AL790" s="1">
        <v>2515.42</v>
      </c>
      <c r="AM790" s="13">
        <f t="shared" si="337"/>
        <v>8754.3225000000002</v>
      </c>
      <c r="AN790" s="9">
        <f t="shared" si="338"/>
        <v>2515.4225000000006</v>
      </c>
      <c r="AO790" s="9">
        <f t="shared" si="347"/>
        <v>0.28733491369549163</v>
      </c>
      <c r="AP790" s="1" t="s">
        <v>33</v>
      </c>
      <c r="AQ790" s="1" t="str">
        <f t="shared" si="339"/>
        <v>Paid</v>
      </c>
      <c r="AR790" s="1" t="str">
        <f t="shared" si="340"/>
        <v>OK</v>
      </c>
      <c r="AS790" s="1" t="s">
        <v>34</v>
      </c>
      <c r="AT790" s="4" t="str">
        <f t="shared" si="341"/>
        <v>Completed</v>
      </c>
      <c r="AU790" s="3" t="str">
        <f t="shared" si="342"/>
        <v>OK</v>
      </c>
      <c r="AV790" s="3" t="str">
        <f t="shared" si="348"/>
        <v>INVALID</v>
      </c>
      <c r="AW790" t="str">
        <f t="shared" si="349"/>
        <v>MATCH</v>
      </c>
      <c r="AX790" t="str">
        <f t="shared" si="350"/>
        <v>MATCH</v>
      </c>
    </row>
    <row r="791" spans="1:50" ht="15.6" hidden="1">
      <c r="A791" s="1" t="s">
        <v>2542</v>
      </c>
      <c r="B791" s="1">
        <f t="shared" si="324"/>
        <v>1</v>
      </c>
      <c r="C791" s="16">
        <v>45704</v>
      </c>
      <c r="D791" s="16">
        <v>45704</v>
      </c>
      <c r="E791" s="16" t="str">
        <f t="shared" si="343"/>
        <v>Feb</v>
      </c>
      <c r="F791" s="1">
        <f t="shared" si="344"/>
        <v>2025</v>
      </c>
      <c r="G791" t="s">
        <v>2038</v>
      </c>
      <c r="H791" s="17">
        <v>45724</v>
      </c>
      <c r="I791" s="21">
        <f t="shared" si="345"/>
        <v>20</v>
      </c>
      <c r="J791" s="6" t="str">
        <f t="shared" si="346"/>
        <v>OK</v>
      </c>
      <c r="K791" s="1" t="s">
        <v>2543</v>
      </c>
      <c r="L791" s="1" t="s">
        <v>158</v>
      </c>
      <c r="M791" s="1" t="str">
        <f t="shared" si="325"/>
        <v>Sneha Kapoor</v>
      </c>
      <c r="N791" s="1" t="s">
        <v>110</v>
      </c>
      <c r="O791" s="1" t="str">
        <f t="shared" si="326"/>
        <v>Home Office</v>
      </c>
      <c r="P791" s="1" t="s">
        <v>41</v>
      </c>
      <c r="Q791" s="1" t="str">
        <f t="shared" si="327"/>
        <v>East</v>
      </c>
      <c r="R791" s="1" t="str">
        <f t="shared" si="328"/>
        <v>OK</v>
      </c>
      <c r="S791" s="1" t="s">
        <v>174</v>
      </c>
      <c r="T791" s="1" t="str">
        <f t="shared" si="329"/>
        <v>Bihar</v>
      </c>
      <c r="U791" s="1" t="s">
        <v>175</v>
      </c>
      <c r="V791" s="1" t="str">
        <f t="shared" si="330"/>
        <v>Patna</v>
      </c>
      <c r="W791" s="1" t="s">
        <v>29</v>
      </c>
      <c r="X791" s="1" t="str">
        <f t="shared" si="331"/>
        <v>Office Supplies</v>
      </c>
      <c r="Y791" s="1" t="s">
        <v>148</v>
      </c>
      <c r="Z791" s="1" t="str">
        <f t="shared" si="332"/>
        <v>Storage</v>
      </c>
      <c r="AA791" s="1" t="s">
        <v>2544</v>
      </c>
      <c r="AB791" s="1" t="s">
        <v>47</v>
      </c>
      <c r="AC791" s="1" t="str">
        <f t="shared" si="333"/>
        <v>Same Day</v>
      </c>
      <c r="AD791" s="1" t="str">
        <f t="shared" si="334"/>
        <v>OK</v>
      </c>
      <c r="AE791" s="1">
        <v>5</v>
      </c>
      <c r="AF791" s="1">
        <v>954.67</v>
      </c>
      <c r="AG791" s="9">
        <v>0.15</v>
      </c>
      <c r="AH791" s="9">
        <f t="shared" si="335"/>
        <v>0.15</v>
      </c>
      <c r="AI791" s="1" t="str">
        <f t="shared" si="336"/>
        <v>OK</v>
      </c>
      <c r="AJ791" s="1">
        <v>4057.35</v>
      </c>
      <c r="AK791" s="1">
        <v>2862.03</v>
      </c>
      <c r="AL791" s="1">
        <v>1195.32</v>
      </c>
      <c r="AM791" s="13">
        <f t="shared" si="337"/>
        <v>4057.3474999999994</v>
      </c>
      <c r="AN791" s="9">
        <f t="shared" si="338"/>
        <v>1195.3174999999992</v>
      </c>
      <c r="AO791" s="9">
        <f t="shared" si="347"/>
        <v>0.29460565061286947</v>
      </c>
      <c r="AP791" s="1" t="s">
        <v>33</v>
      </c>
      <c r="AQ791" s="1" t="str">
        <f t="shared" si="339"/>
        <v>Paid</v>
      </c>
      <c r="AR791" s="1" t="str">
        <f t="shared" si="340"/>
        <v>OK</v>
      </c>
      <c r="AS791" s="1" t="s">
        <v>34</v>
      </c>
      <c r="AT791" s="4" t="str">
        <f t="shared" si="341"/>
        <v>Completed</v>
      </c>
      <c r="AU791" s="3" t="str">
        <f t="shared" si="342"/>
        <v>OK</v>
      </c>
      <c r="AV791" s="3" t="str">
        <f t="shared" si="348"/>
        <v>CLEAN</v>
      </c>
      <c r="AW791" t="str">
        <f t="shared" si="349"/>
        <v>MATCH</v>
      </c>
      <c r="AX791" t="str">
        <f t="shared" si="350"/>
        <v>MATCH</v>
      </c>
    </row>
    <row r="792" spans="1:50" ht="15.6">
      <c r="A792" s="1" t="s">
        <v>2547</v>
      </c>
      <c r="B792" s="1">
        <f t="shared" si="324"/>
        <v>1</v>
      </c>
      <c r="C792" s="16">
        <v>45870</v>
      </c>
      <c r="D792" s="16">
        <v>45870</v>
      </c>
      <c r="E792" s="16" t="str">
        <f t="shared" si="343"/>
        <v>Aug</v>
      </c>
      <c r="F792" s="1">
        <f t="shared" si="344"/>
        <v>2025</v>
      </c>
      <c r="G792" t="s">
        <v>3185</v>
      </c>
      <c r="H792" s="17">
        <v>45445</v>
      </c>
      <c r="I792" s="21">
        <f t="shared" si="345"/>
        <v>-425</v>
      </c>
      <c r="J792" s="6" t="str">
        <f t="shared" si="346"/>
        <v>INVALID_SHIPPING</v>
      </c>
      <c r="K792" s="1" t="s">
        <v>2548</v>
      </c>
      <c r="L792" s="1" t="s">
        <v>158</v>
      </c>
      <c r="M792" s="1" t="str">
        <f t="shared" si="325"/>
        <v>Sneha Kapoor</v>
      </c>
      <c r="N792" s="1" t="s">
        <v>110</v>
      </c>
      <c r="O792" s="1" t="str">
        <f t="shared" si="326"/>
        <v>Home Office</v>
      </c>
      <c r="P792" s="1" t="s">
        <v>60</v>
      </c>
      <c r="Q792" s="1" t="str">
        <f t="shared" si="327"/>
        <v>South</v>
      </c>
      <c r="R792" s="1" t="str">
        <f t="shared" si="328"/>
        <v>OK</v>
      </c>
      <c r="S792" s="1" t="s">
        <v>212</v>
      </c>
      <c r="T792" s="1" t="str">
        <f t="shared" si="329"/>
        <v>Karnataka</v>
      </c>
      <c r="U792" s="1" t="s">
        <v>213</v>
      </c>
      <c r="V792" s="1" t="str">
        <f t="shared" si="330"/>
        <v>Bengaluru</v>
      </c>
      <c r="W792" s="1" t="s">
        <v>44</v>
      </c>
      <c r="X792" s="1" t="str">
        <f t="shared" si="331"/>
        <v>Furniture</v>
      </c>
      <c r="Y792" s="1" t="s">
        <v>74</v>
      </c>
      <c r="Z792" s="1" t="str">
        <f t="shared" si="332"/>
        <v>Chairs</v>
      </c>
      <c r="AA792" s="1" t="s">
        <v>2549</v>
      </c>
      <c r="AB792" s="1" t="s">
        <v>65</v>
      </c>
      <c r="AC792" s="1" t="str">
        <f t="shared" si="333"/>
        <v>Standard Class</v>
      </c>
      <c r="AD792" s="1" t="str">
        <f t="shared" si="334"/>
        <v>OK</v>
      </c>
      <c r="AE792" s="1">
        <v>7</v>
      </c>
      <c r="AF792" s="1">
        <v>4337.4799999999996</v>
      </c>
      <c r="AG792" s="9">
        <v>0</v>
      </c>
      <c r="AH792" s="9">
        <f t="shared" si="335"/>
        <v>0</v>
      </c>
      <c r="AI792" s="1" t="str">
        <f t="shared" si="336"/>
        <v>OK</v>
      </c>
      <c r="AJ792" s="1">
        <v>30362.36</v>
      </c>
      <c r="AK792" s="1">
        <v>25065.4</v>
      </c>
      <c r="AL792" s="1">
        <v>5296.96</v>
      </c>
      <c r="AM792" s="13">
        <f t="shared" si="337"/>
        <v>30362.359999999997</v>
      </c>
      <c r="AN792" s="9">
        <f t="shared" si="338"/>
        <v>5296.9599999999955</v>
      </c>
      <c r="AO792" s="9">
        <f t="shared" si="347"/>
        <v>0.17445811195177174</v>
      </c>
      <c r="AP792" s="1" t="s">
        <v>33</v>
      </c>
      <c r="AQ792" s="1" t="str">
        <f t="shared" si="339"/>
        <v>Paid</v>
      </c>
      <c r="AR792" s="1" t="str">
        <f t="shared" si="340"/>
        <v>OK</v>
      </c>
      <c r="AS792" s="1" t="s">
        <v>34</v>
      </c>
      <c r="AT792" s="4" t="str">
        <f t="shared" si="341"/>
        <v>Completed</v>
      </c>
      <c r="AU792" s="3" t="str">
        <f t="shared" si="342"/>
        <v>OK</v>
      </c>
      <c r="AV792" s="3" t="str">
        <f t="shared" si="348"/>
        <v>INVALID</v>
      </c>
      <c r="AW792" t="str">
        <f t="shared" si="349"/>
        <v>MATCH</v>
      </c>
      <c r="AX792" t="str">
        <f t="shared" si="350"/>
        <v>MATCH</v>
      </c>
    </row>
    <row r="793" spans="1:50" ht="15.6">
      <c r="A793" s="1" t="s">
        <v>2553</v>
      </c>
      <c r="B793" s="1">
        <f t="shared" si="324"/>
        <v>1</v>
      </c>
      <c r="C793" s="16">
        <v>45846</v>
      </c>
      <c r="D793" s="16">
        <v>45846</v>
      </c>
      <c r="E793" s="16" t="str">
        <f t="shared" si="343"/>
        <v>Jul</v>
      </c>
      <c r="F793" s="1">
        <f t="shared" si="344"/>
        <v>2025</v>
      </c>
      <c r="G793" t="s">
        <v>3189</v>
      </c>
      <c r="H793" s="17">
        <v>45571</v>
      </c>
      <c r="I793" s="21">
        <f t="shared" si="345"/>
        <v>-275</v>
      </c>
      <c r="J793" s="6" t="str">
        <f t="shared" si="346"/>
        <v>INVALID_SHIPPING</v>
      </c>
      <c r="K793" s="1" t="s">
        <v>2555</v>
      </c>
      <c r="L793" s="1" t="s">
        <v>70</v>
      </c>
      <c r="M793" s="1" t="str">
        <f t="shared" si="325"/>
        <v>Ananya Rao</v>
      </c>
      <c r="N793" s="1" t="s">
        <v>40</v>
      </c>
      <c r="O793" s="1" t="str">
        <f t="shared" si="326"/>
        <v>Small Business</v>
      </c>
      <c r="P793" s="1" t="s">
        <v>26</v>
      </c>
      <c r="Q793" s="1" t="str">
        <f t="shared" si="327"/>
        <v>North</v>
      </c>
      <c r="R793" s="1" t="str">
        <f t="shared" si="328"/>
        <v>OK</v>
      </c>
      <c r="S793" s="1" t="s">
        <v>27</v>
      </c>
      <c r="T793" s="1" t="str">
        <f t="shared" si="329"/>
        <v>Rajasthan</v>
      </c>
      <c r="U793" s="1" t="s">
        <v>28</v>
      </c>
      <c r="V793" s="1" t="str">
        <f t="shared" si="330"/>
        <v>Jaipur</v>
      </c>
      <c r="W793" s="1" t="s">
        <v>29</v>
      </c>
      <c r="X793" s="1" t="str">
        <f t="shared" si="331"/>
        <v>Office Supplies</v>
      </c>
      <c r="Y793" s="1" t="s">
        <v>184</v>
      </c>
      <c r="Z793" s="1" t="str">
        <f t="shared" si="332"/>
        <v>Binders</v>
      </c>
      <c r="AA793" s="1" t="s">
        <v>2556</v>
      </c>
      <c r="AB793" s="1" t="s">
        <v>47</v>
      </c>
      <c r="AC793" s="1" t="str">
        <f t="shared" si="333"/>
        <v>Same Day</v>
      </c>
      <c r="AD793" s="1" t="str">
        <f t="shared" si="334"/>
        <v>OK</v>
      </c>
      <c r="AE793" s="1">
        <v>8</v>
      </c>
      <c r="AF793" s="1">
        <v>655.28</v>
      </c>
      <c r="AG793" s="9">
        <v>0.1</v>
      </c>
      <c r="AH793" s="9">
        <f t="shared" si="335"/>
        <v>0.1</v>
      </c>
      <c r="AI793" s="1" t="str">
        <f t="shared" si="336"/>
        <v>OK</v>
      </c>
      <c r="AJ793" s="1">
        <v>4718.0200000000004</v>
      </c>
      <c r="AK793" s="1">
        <v>3908.23</v>
      </c>
      <c r="AL793" s="1">
        <v>809.79</v>
      </c>
      <c r="AM793" s="13">
        <f t="shared" si="337"/>
        <v>4718.0159999999996</v>
      </c>
      <c r="AN793" s="9">
        <f t="shared" si="338"/>
        <v>809.7859999999996</v>
      </c>
      <c r="AO793" s="9">
        <f t="shared" si="347"/>
        <v>0.17163697622051297</v>
      </c>
      <c r="AP793" s="1" t="s">
        <v>33</v>
      </c>
      <c r="AQ793" s="1" t="str">
        <f t="shared" si="339"/>
        <v>Paid</v>
      </c>
      <c r="AR793" s="1" t="str">
        <f t="shared" si="340"/>
        <v>OK</v>
      </c>
      <c r="AS793" s="1" t="s">
        <v>34</v>
      </c>
      <c r="AT793" s="4" t="str">
        <f t="shared" si="341"/>
        <v>Completed</v>
      </c>
      <c r="AU793" s="3" t="str">
        <f t="shared" si="342"/>
        <v>OK</v>
      </c>
      <c r="AV793" s="3" t="str">
        <f t="shared" si="348"/>
        <v>INVALID</v>
      </c>
      <c r="AW793" t="str">
        <f t="shared" si="349"/>
        <v>MATCH</v>
      </c>
      <c r="AX793" t="str">
        <f t="shared" si="350"/>
        <v>MATCH</v>
      </c>
    </row>
    <row r="794" spans="1:50" ht="15.6" hidden="1">
      <c r="A794" s="1" t="s">
        <v>2557</v>
      </c>
      <c r="B794" s="1">
        <f t="shared" si="324"/>
        <v>1</v>
      </c>
      <c r="C794" s="16">
        <v>45812</v>
      </c>
      <c r="D794" s="16">
        <v>45812</v>
      </c>
      <c r="E794" s="16" t="str">
        <f t="shared" si="343"/>
        <v>Jun</v>
      </c>
      <c r="F794" s="1">
        <f t="shared" si="344"/>
        <v>2025</v>
      </c>
      <c r="G794" t="s">
        <v>3193</v>
      </c>
      <c r="H794" s="17">
        <v>45816</v>
      </c>
      <c r="I794" s="21">
        <f t="shared" si="345"/>
        <v>4</v>
      </c>
      <c r="J794" s="6" t="str">
        <f t="shared" si="346"/>
        <v>OK</v>
      </c>
      <c r="K794" s="1" t="s">
        <v>2559</v>
      </c>
      <c r="L794" s="1" t="s">
        <v>103</v>
      </c>
      <c r="M794" s="1" t="str">
        <f t="shared" si="325"/>
        <v>Aditi Sen</v>
      </c>
      <c r="N794" s="1" t="s">
        <v>25</v>
      </c>
      <c r="O794" s="1" t="str">
        <f t="shared" si="326"/>
        <v>Consumer</v>
      </c>
      <c r="P794" s="1"/>
      <c r="Q794" s="1" t="str">
        <f t="shared" si="327"/>
        <v>Unknown</v>
      </c>
      <c r="R794" s="1" t="str">
        <f t="shared" si="328"/>
        <v>MISSING_REGION</v>
      </c>
      <c r="S794" s="1" t="s">
        <v>42</v>
      </c>
      <c r="T794" s="1" t="str">
        <f t="shared" si="329"/>
        <v>Odisha</v>
      </c>
      <c r="U794" s="1" t="s">
        <v>43</v>
      </c>
      <c r="V794" s="1" t="str">
        <f t="shared" si="330"/>
        <v>Bhubaneswar</v>
      </c>
      <c r="W794" s="1" t="s">
        <v>83</v>
      </c>
      <c r="X794" s="1" t="str">
        <f t="shared" si="331"/>
        <v>Technology</v>
      </c>
      <c r="Y794" s="1" t="s">
        <v>207</v>
      </c>
      <c r="Z794" s="1" t="str">
        <f t="shared" si="332"/>
        <v>Phones</v>
      </c>
      <c r="AA794" s="1" t="s">
        <v>2560</v>
      </c>
      <c r="AB794" s="1" t="s">
        <v>65</v>
      </c>
      <c r="AC794" s="1" t="str">
        <f t="shared" si="333"/>
        <v>Standard Class</v>
      </c>
      <c r="AD794" s="1" t="str">
        <f t="shared" si="334"/>
        <v>OK</v>
      </c>
      <c r="AE794" s="1">
        <v>1</v>
      </c>
      <c r="AF794" s="1">
        <v>3844.01</v>
      </c>
      <c r="AG794" s="9">
        <v>0</v>
      </c>
      <c r="AH794" s="9">
        <f t="shared" si="335"/>
        <v>0</v>
      </c>
      <c r="AI794" s="1" t="str">
        <f t="shared" si="336"/>
        <v>OK</v>
      </c>
      <c r="AJ794" s="1">
        <v>3844.01</v>
      </c>
      <c r="AK794" s="1">
        <v>2195.79</v>
      </c>
      <c r="AL794" s="1">
        <v>1648.22</v>
      </c>
      <c r="AM794" s="13">
        <f t="shared" si="337"/>
        <v>3844.01</v>
      </c>
      <c r="AN794" s="9">
        <f t="shared" si="338"/>
        <v>1648.2200000000003</v>
      </c>
      <c r="AO794" s="9">
        <f t="shared" si="347"/>
        <v>0.42877619985379856</v>
      </c>
      <c r="AP794" s="1" t="s">
        <v>33</v>
      </c>
      <c r="AQ794" s="1" t="str">
        <f t="shared" si="339"/>
        <v>Paid</v>
      </c>
      <c r="AR794" s="1" t="str">
        <f t="shared" si="340"/>
        <v>OK</v>
      </c>
      <c r="AS794" s="1" t="s">
        <v>34</v>
      </c>
      <c r="AT794" s="4" t="str">
        <f t="shared" si="341"/>
        <v>Completed</v>
      </c>
      <c r="AU794" s="3" t="str">
        <f t="shared" si="342"/>
        <v>OK</v>
      </c>
      <c r="AV794" s="3" t="str">
        <f t="shared" si="348"/>
        <v>WARNING</v>
      </c>
      <c r="AW794" t="str">
        <f t="shared" si="349"/>
        <v>MATCH</v>
      </c>
      <c r="AX794" t="str">
        <f t="shared" si="350"/>
        <v>MATCH</v>
      </c>
    </row>
    <row r="795" spans="1:50" ht="15.6">
      <c r="A795" s="1" t="s">
        <v>2594</v>
      </c>
      <c r="B795" s="1">
        <f t="shared" si="324"/>
        <v>1</v>
      </c>
      <c r="C795" s="16">
        <v>45686</v>
      </c>
      <c r="D795" s="16">
        <v>45686</v>
      </c>
      <c r="E795" s="16" t="str">
        <f t="shared" si="343"/>
        <v>Jan</v>
      </c>
      <c r="F795" s="1">
        <f t="shared" si="344"/>
        <v>2025</v>
      </c>
      <c r="G795" t="s">
        <v>3197</v>
      </c>
      <c r="H795" s="17">
        <v>45446</v>
      </c>
      <c r="I795" s="21">
        <f t="shared" si="345"/>
        <v>-240</v>
      </c>
      <c r="J795" s="6" t="str">
        <f t="shared" si="346"/>
        <v>INVALID_SHIPPING</v>
      </c>
      <c r="K795" s="1" t="s">
        <v>2596</v>
      </c>
      <c r="L795" s="1" t="s">
        <v>80</v>
      </c>
      <c r="M795" s="1" t="str">
        <f t="shared" si="325"/>
        <v>Vikram Iyer</v>
      </c>
      <c r="N795" s="1" t="s">
        <v>25</v>
      </c>
      <c r="O795" s="1" t="str">
        <f t="shared" si="326"/>
        <v>Consumer</v>
      </c>
      <c r="P795" s="1" t="s">
        <v>41</v>
      </c>
      <c r="Q795" s="1" t="str">
        <f t="shared" si="327"/>
        <v>East</v>
      </c>
      <c r="R795" s="1" t="str">
        <f t="shared" si="328"/>
        <v>OK</v>
      </c>
      <c r="S795" s="1" t="s">
        <v>174</v>
      </c>
      <c r="T795" s="1" t="str">
        <f t="shared" si="329"/>
        <v>Bihar</v>
      </c>
      <c r="U795" s="1" t="s">
        <v>175</v>
      </c>
      <c r="V795" s="1" t="str">
        <f t="shared" si="330"/>
        <v>Patna</v>
      </c>
      <c r="W795" s="1" t="s">
        <v>29</v>
      </c>
      <c r="X795" s="1" t="str">
        <f t="shared" si="331"/>
        <v>Office Supplies</v>
      </c>
      <c r="Y795" s="1" t="s">
        <v>148</v>
      </c>
      <c r="Z795" s="1" t="str">
        <f t="shared" si="332"/>
        <v>Storage</v>
      </c>
      <c r="AA795" s="1" t="s">
        <v>2597</v>
      </c>
      <c r="AB795" s="1" t="s">
        <v>65</v>
      </c>
      <c r="AC795" s="1" t="str">
        <f t="shared" si="333"/>
        <v>Standard Class</v>
      </c>
      <c r="AD795" s="1" t="str">
        <f t="shared" si="334"/>
        <v>OK</v>
      </c>
      <c r="AE795" s="1">
        <v>4</v>
      </c>
      <c r="AF795" s="1">
        <v>2759.01</v>
      </c>
      <c r="AG795" s="9">
        <v>0.05</v>
      </c>
      <c r="AH795" s="9">
        <f t="shared" si="335"/>
        <v>0.05</v>
      </c>
      <c r="AI795" s="1" t="str">
        <f t="shared" si="336"/>
        <v>OK</v>
      </c>
      <c r="AJ795" s="1">
        <v>10484.24</v>
      </c>
      <c r="AK795" s="1">
        <v>6680.15</v>
      </c>
      <c r="AL795" s="1">
        <v>3804.09</v>
      </c>
      <c r="AM795" s="13">
        <f t="shared" si="337"/>
        <v>10484.238000000001</v>
      </c>
      <c r="AN795" s="9">
        <f t="shared" si="338"/>
        <v>3804.0880000000016</v>
      </c>
      <c r="AO795" s="9">
        <f t="shared" si="347"/>
        <v>0.36283876806306775</v>
      </c>
      <c r="AP795" s="1" t="s">
        <v>33</v>
      </c>
      <c r="AQ795" s="1" t="str">
        <f t="shared" si="339"/>
        <v>Paid</v>
      </c>
      <c r="AR795" s="1" t="str">
        <f t="shared" si="340"/>
        <v>OK</v>
      </c>
      <c r="AS795" s="1" t="s">
        <v>34</v>
      </c>
      <c r="AT795" s="4" t="str">
        <f t="shared" si="341"/>
        <v>Completed</v>
      </c>
      <c r="AU795" s="3" t="str">
        <f t="shared" si="342"/>
        <v>OK</v>
      </c>
      <c r="AV795" s="3" t="str">
        <f t="shared" si="348"/>
        <v>INVALID</v>
      </c>
      <c r="AW795" t="str">
        <f t="shared" si="349"/>
        <v>MATCH</v>
      </c>
      <c r="AX795" t="str">
        <f t="shared" si="350"/>
        <v>MATCH</v>
      </c>
    </row>
    <row r="796" spans="1:50" ht="15.6" hidden="1">
      <c r="A796" s="1" t="s">
        <v>2609</v>
      </c>
      <c r="B796" s="1">
        <f t="shared" si="324"/>
        <v>1</v>
      </c>
      <c r="C796" s="16">
        <v>45812</v>
      </c>
      <c r="D796" s="16">
        <v>45812</v>
      </c>
      <c r="E796" s="16" t="str">
        <f t="shared" si="343"/>
        <v>Jun</v>
      </c>
      <c r="F796" s="1">
        <f t="shared" si="344"/>
        <v>2025</v>
      </c>
      <c r="G796" t="s">
        <v>882</v>
      </c>
      <c r="H796" s="17">
        <v>45832</v>
      </c>
      <c r="I796" s="21">
        <f t="shared" si="345"/>
        <v>20</v>
      </c>
      <c r="J796" s="6" t="str">
        <f t="shared" si="346"/>
        <v>OK</v>
      </c>
      <c r="K796" s="1" t="s">
        <v>2611</v>
      </c>
      <c r="L796" s="1" t="s">
        <v>158</v>
      </c>
      <c r="M796" s="1" t="str">
        <f t="shared" si="325"/>
        <v>Sneha Kapoor</v>
      </c>
      <c r="N796" s="1" t="s">
        <v>110</v>
      </c>
      <c r="O796" s="1" t="str">
        <f t="shared" si="326"/>
        <v>Home Office</v>
      </c>
      <c r="P796" s="1" t="s">
        <v>41</v>
      </c>
      <c r="Q796" s="1" t="str">
        <f t="shared" si="327"/>
        <v>East</v>
      </c>
      <c r="R796" s="1" t="str">
        <f t="shared" si="328"/>
        <v>OK</v>
      </c>
      <c r="S796" s="1" t="s">
        <v>201</v>
      </c>
      <c r="T796" s="1" t="str">
        <f t="shared" si="329"/>
        <v>Assam</v>
      </c>
      <c r="U796" s="1" t="s">
        <v>202</v>
      </c>
      <c r="V796" s="1" t="str">
        <f t="shared" si="330"/>
        <v>Guwahati</v>
      </c>
      <c r="W796" s="1" t="s">
        <v>83</v>
      </c>
      <c r="X796" s="1" t="str">
        <f t="shared" si="331"/>
        <v>Technology</v>
      </c>
      <c r="Y796" s="1" t="s">
        <v>347</v>
      </c>
      <c r="Z796" s="1" t="str">
        <f t="shared" si="332"/>
        <v>Machines</v>
      </c>
      <c r="AA796" s="1" t="s">
        <v>2612</v>
      </c>
      <c r="AB796" s="1" t="s">
        <v>65</v>
      </c>
      <c r="AC796" s="1" t="str">
        <f t="shared" si="333"/>
        <v>Standard Class</v>
      </c>
      <c r="AD796" s="1" t="str">
        <f t="shared" si="334"/>
        <v>OK</v>
      </c>
      <c r="AE796" s="1">
        <v>8</v>
      </c>
      <c r="AF796" s="1">
        <v>1434.13</v>
      </c>
      <c r="AG796" s="9">
        <v>0</v>
      </c>
      <c r="AH796" s="9">
        <f t="shared" si="335"/>
        <v>0</v>
      </c>
      <c r="AI796" s="1" t="str">
        <f t="shared" si="336"/>
        <v>OK</v>
      </c>
      <c r="AJ796" s="1">
        <v>11473.04</v>
      </c>
      <c r="AK796" s="1">
        <v>8931.33</v>
      </c>
      <c r="AL796" s="1">
        <v>2541.71</v>
      </c>
      <c r="AM796" s="13">
        <f t="shared" si="337"/>
        <v>11473.04</v>
      </c>
      <c r="AN796" s="9">
        <f t="shared" si="338"/>
        <v>2541.7100000000009</v>
      </c>
      <c r="AO796" s="9">
        <f t="shared" si="347"/>
        <v>0.22153762211236086</v>
      </c>
      <c r="AP796" s="1" t="s">
        <v>131</v>
      </c>
      <c r="AQ796" s="1" t="str">
        <f t="shared" si="339"/>
        <v>Pending</v>
      </c>
      <c r="AR796" s="1" t="str">
        <f t="shared" si="340"/>
        <v>OK</v>
      </c>
      <c r="AS796" s="1" t="s">
        <v>120</v>
      </c>
      <c r="AT796" s="4" t="str">
        <f t="shared" si="341"/>
        <v>Returned</v>
      </c>
      <c r="AU796" s="3" t="str">
        <f t="shared" si="342"/>
        <v>RETURNED_ORDER</v>
      </c>
      <c r="AV796" s="3" t="str">
        <f t="shared" si="348"/>
        <v>CLEAN</v>
      </c>
      <c r="AW796" t="str">
        <f t="shared" si="349"/>
        <v>MATCH</v>
      </c>
      <c r="AX796" t="str">
        <f t="shared" si="350"/>
        <v>MATCH</v>
      </c>
    </row>
    <row r="797" spans="1:50" ht="15.6">
      <c r="A797" s="1" t="s">
        <v>2613</v>
      </c>
      <c r="B797" s="1">
        <f t="shared" si="324"/>
        <v>1</v>
      </c>
      <c r="C797" s="16">
        <v>45701</v>
      </c>
      <c r="D797" s="16">
        <v>45701</v>
      </c>
      <c r="E797" s="16" t="str">
        <f t="shared" si="343"/>
        <v>Feb</v>
      </c>
      <c r="F797" s="1">
        <f t="shared" si="344"/>
        <v>2025</v>
      </c>
      <c r="G797" t="s">
        <v>475</v>
      </c>
      <c r="H797" s="17">
        <v>45503</v>
      </c>
      <c r="I797" s="21">
        <f t="shared" si="345"/>
        <v>-198</v>
      </c>
      <c r="J797" s="6" t="str">
        <f t="shared" si="346"/>
        <v>INVALID_SHIPPING</v>
      </c>
      <c r="K797" s="1" t="s">
        <v>2614</v>
      </c>
      <c r="L797" s="1" t="s">
        <v>24</v>
      </c>
      <c r="M797" s="1" t="str">
        <f t="shared" si="325"/>
        <v>Karan Malhotra</v>
      </c>
      <c r="N797" s="1" t="s">
        <v>40</v>
      </c>
      <c r="O797" s="1" t="str">
        <f t="shared" si="326"/>
        <v>Small Business</v>
      </c>
      <c r="P797" s="1" t="s">
        <v>60</v>
      </c>
      <c r="Q797" s="1" t="str">
        <f t="shared" si="327"/>
        <v>South</v>
      </c>
      <c r="R797" s="1" t="str">
        <f t="shared" si="328"/>
        <v>OK</v>
      </c>
      <c r="S797" s="1" t="s">
        <v>224</v>
      </c>
      <c r="T797" s="1" t="str">
        <f t="shared" si="329"/>
        <v>Kerala</v>
      </c>
      <c r="U797" s="1" t="s">
        <v>225</v>
      </c>
      <c r="V797" s="1" t="str">
        <f t="shared" si="330"/>
        <v>Kochi</v>
      </c>
      <c r="W797" s="1" t="s">
        <v>83</v>
      </c>
      <c r="X797" s="1" t="str">
        <f t="shared" si="331"/>
        <v>Technology</v>
      </c>
      <c r="Y797" s="1" t="s">
        <v>207</v>
      </c>
      <c r="Z797" s="1" t="str">
        <f t="shared" si="332"/>
        <v>Phones</v>
      </c>
      <c r="AA797" s="1" t="s">
        <v>2615</v>
      </c>
      <c r="AB797" s="1" t="s">
        <v>32</v>
      </c>
      <c r="AC797" s="1" t="str">
        <f t="shared" si="333"/>
        <v>Second Class</v>
      </c>
      <c r="AD797" s="1" t="str">
        <f t="shared" si="334"/>
        <v>OK</v>
      </c>
      <c r="AE797" s="1">
        <v>2</v>
      </c>
      <c r="AF797" s="1">
        <v>2360.02</v>
      </c>
      <c r="AG797" s="9">
        <v>0.15</v>
      </c>
      <c r="AH797" s="9">
        <f t="shared" si="335"/>
        <v>0.15</v>
      </c>
      <c r="AI797" s="1" t="str">
        <f t="shared" si="336"/>
        <v>OK</v>
      </c>
      <c r="AJ797" s="1">
        <v>4012.03</v>
      </c>
      <c r="AK797" s="1">
        <v>3142.92</v>
      </c>
      <c r="AL797" s="1">
        <v>869.11</v>
      </c>
      <c r="AM797" s="13">
        <f t="shared" si="337"/>
        <v>4012.0339999999997</v>
      </c>
      <c r="AN797" s="9">
        <f t="shared" si="338"/>
        <v>869.11399999999958</v>
      </c>
      <c r="AO797" s="9">
        <f t="shared" si="347"/>
        <v>0.21662677833737193</v>
      </c>
      <c r="AP797" s="1" t="s">
        <v>131</v>
      </c>
      <c r="AQ797" s="1" t="str">
        <f t="shared" si="339"/>
        <v>Pending</v>
      </c>
      <c r="AR797" s="1" t="str">
        <f t="shared" si="340"/>
        <v>OK</v>
      </c>
      <c r="AS797" s="1" t="s">
        <v>76</v>
      </c>
      <c r="AT797" s="4" t="str">
        <f t="shared" si="341"/>
        <v>Cancelled</v>
      </c>
      <c r="AU797" s="3" t="str">
        <f t="shared" si="342"/>
        <v>EXCLUDE_FROM_SALES</v>
      </c>
      <c r="AV797" s="3" t="str">
        <f t="shared" si="348"/>
        <v>INVALID</v>
      </c>
      <c r="AW797" t="str">
        <f t="shared" si="349"/>
        <v>MATCH</v>
      </c>
      <c r="AX797" t="str">
        <f t="shared" si="350"/>
        <v>MATCH</v>
      </c>
    </row>
    <row r="798" spans="1:50" ht="15.6">
      <c r="A798" s="1" t="s">
        <v>2616</v>
      </c>
      <c r="B798" s="1">
        <f t="shared" si="324"/>
        <v>1</v>
      </c>
      <c r="C798" s="16">
        <v>45787</v>
      </c>
      <c r="D798" s="16">
        <v>45787</v>
      </c>
      <c r="E798" s="16" t="str">
        <f t="shared" si="343"/>
        <v>May</v>
      </c>
      <c r="F798" s="1">
        <f t="shared" si="344"/>
        <v>2025</v>
      </c>
      <c r="G798" t="s">
        <v>3207</v>
      </c>
      <c r="H798" s="17">
        <v>45381</v>
      </c>
      <c r="I798" s="21">
        <f t="shared" si="345"/>
        <v>-406</v>
      </c>
      <c r="J798" s="6" t="str">
        <f t="shared" si="346"/>
        <v>INVALID_SHIPPING</v>
      </c>
      <c r="K798" s="1" t="s">
        <v>2618</v>
      </c>
      <c r="L798" s="1" t="s">
        <v>70</v>
      </c>
      <c r="M798" s="1" t="str">
        <f t="shared" si="325"/>
        <v>Ananya Rao</v>
      </c>
      <c r="N798" s="1" t="s">
        <v>110</v>
      </c>
      <c r="O798" s="1" t="str">
        <f t="shared" si="326"/>
        <v>Home Office</v>
      </c>
      <c r="P798" s="1" t="s">
        <v>41</v>
      </c>
      <c r="Q798" s="1" t="str">
        <f t="shared" si="327"/>
        <v>East</v>
      </c>
      <c r="R798" s="1" t="str">
        <f t="shared" si="328"/>
        <v>OK</v>
      </c>
      <c r="S798" s="1" t="s">
        <v>284</v>
      </c>
      <c r="T798" s="1" t="str">
        <f t="shared" si="329"/>
        <v>Jharkhand</v>
      </c>
      <c r="U798" s="1" t="s">
        <v>285</v>
      </c>
      <c r="V798" s="1" t="str">
        <f t="shared" si="330"/>
        <v>Ranchi</v>
      </c>
      <c r="W798" s="1" t="s">
        <v>83</v>
      </c>
      <c r="X798" s="1" t="str">
        <f t="shared" si="331"/>
        <v>Technology</v>
      </c>
      <c r="Y798" s="1" t="s">
        <v>84</v>
      </c>
      <c r="Z798" s="1" t="str">
        <f t="shared" si="332"/>
        <v>Accessories</v>
      </c>
      <c r="AA798" s="1" t="s">
        <v>2619</v>
      </c>
      <c r="AB798" s="1" t="s">
        <v>47</v>
      </c>
      <c r="AC798" s="1" t="str">
        <f t="shared" si="333"/>
        <v>Same Day</v>
      </c>
      <c r="AD798" s="1" t="str">
        <f t="shared" si="334"/>
        <v>OK</v>
      </c>
      <c r="AE798" s="1">
        <v>7</v>
      </c>
      <c r="AF798" s="1">
        <v>806.67</v>
      </c>
      <c r="AG798" s="9">
        <v>0.05</v>
      </c>
      <c r="AH798" s="9">
        <f t="shared" si="335"/>
        <v>0.05</v>
      </c>
      <c r="AI798" s="1" t="str">
        <f t="shared" si="336"/>
        <v>OK</v>
      </c>
      <c r="AJ798" s="1">
        <v>5364.36</v>
      </c>
      <c r="AK798" s="1">
        <v>4391.29</v>
      </c>
      <c r="AL798" s="1">
        <v>973.07</v>
      </c>
      <c r="AM798" s="13">
        <f t="shared" si="337"/>
        <v>5364.3554999999997</v>
      </c>
      <c r="AN798" s="9">
        <f t="shared" si="338"/>
        <v>973.0654999999997</v>
      </c>
      <c r="AO798" s="9">
        <f t="shared" si="347"/>
        <v>0.18139467080434915</v>
      </c>
      <c r="AP798" s="1" t="s">
        <v>33</v>
      </c>
      <c r="AQ798" s="1" t="str">
        <f t="shared" si="339"/>
        <v>Paid</v>
      </c>
      <c r="AR798" s="1" t="str">
        <f t="shared" si="340"/>
        <v>OK</v>
      </c>
      <c r="AS798" s="1" t="s">
        <v>34</v>
      </c>
      <c r="AT798" s="4" t="str">
        <f t="shared" si="341"/>
        <v>Completed</v>
      </c>
      <c r="AU798" s="3" t="str">
        <f t="shared" si="342"/>
        <v>OK</v>
      </c>
      <c r="AV798" s="3" t="str">
        <f t="shared" si="348"/>
        <v>INVALID</v>
      </c>
      <c r="AW798" t="str">
        <f t="shared" si="349"/>
        <v>MATCH</v>
      </c>
      <c r="AX798" t="str">
        <f t="shared" si="350"/>
        <v>MATCH</v>
      </c>
    </row>
    <row r="799" spans="1:50" ht="15.6">
      <c r="A799" s="1" t="s">
        <v>2620</v>
      </c>
      <c r="B799" s="1">
        <f t="shared" si="324"/>
        <v>1</v>
      </c>
      <c r="C799" s="16">
        <v>45939</v>
      </c>
      <c r="D799" s="16">
        <v>45939</v>
      </c>
      <c r="E799" s="16" t="str">
        <f t="shared" si="343"/>
        <v>Oct</v>
      </c>
      <c r="F799" s="1">
        <f t="shared" si="344"/>
        <v>2025</v>
      </c>
      <c r="G799" t="s">
        <v>3133</v>
      </c>
      <c r="H799" s="17">
        <v>45404</v>
      </c>
      <c r="I799" s="21">
        <f t="shared" si="345"/>
        <v>-535</v>
      </c>
      <c r="J799" s="6" t="str">
        <f t="shared" si="346"/>
        <v>INVALID_SHIPPING</v>
      </c>
      <c r="K799" s="1" t="s">
        <v>2622</v>
      </c>
      <c r="L799" s="1" t="s">
        <v>59</v>
      </c>
      <c r="M799" s="1" t="str">
        <f t="shared" si="325"/>
        <v>Arjun Bose</v>
      </c>
      <c r="N799" s="1" t="s">
        <v>110</v>
      </c>
      <c r="O799" s="1" t="str">
        <f t="shared" si="326"/>
        <v>Home Office</v>
      </c>
      <c r="P799" s="1" t="s">
        <v>71</v>
      </c>
      <c r="Q799" s="1" t="str">
        <f t="shared" si="327"/>
        <v>West</v>
      </c>
      <c r="R799" s="1" t="str">
        <f t="shared" si="328"/>
        <v>OK</v>
      </c>
      <c r="S799" s="1" t="s">
        <v>218</v>
      </c>
      <c r="T799" s="1" t="str">
        <f t="shared" si="329"/>
        <v>Gujarat</v>
      </c>
      <c r="U799" s="1" t="s">
        <v>219</v>
      </c>
      <c r="V799" s="1" t="str">
        <f t="shared" si="330"/>
        <v>Ahmedabad</v>
      </c>
      <c r="W799" s="1" t="s">
        <v>44</v>
      </c>
      <c r="X799" s="1" t="str">
        <f t="shared" si="331"/>
        <v>Furniture</v>
      </c>
      <c r="Y799" s="1" t="s">
        <v>45</v>
      </c>
      <c r="Z799" s="1" t="str">
        <f t="shared" si="332"/>
        <v>Tables</v>
      </c>
      <c r="AA799" s="1" t="s">
        <v>2623</v>
      </c>
      <c r="AB799" s="1" t="s">
        <v>47</v>
      </c>
      <c r="AC799" s="1" t="str">
        <f t="shared" si="333"/>
        <v>Same Day</v>
      </c>
      <c r="AD799" s="1" t="str">
        <f t="shared" si="334"/>
        <v>OK</v>
      </c>
      <c r="AE799" s="1">
        <v>3</v>
      </c>
      <c r="AF799" s="1">
        <v>4198.46</v>
      </c>
      <c r="AG799" s="9">
        <v>0.15</v>
      </c>
      <c r="AH799" s="9">
        <f t="shared" si="335"/>
        <v>0.15</v>
      </c>
      <c r="AI799" s="1" t="str">
        <f t="shared" si="336"/>
        <v>OK</v>
      </c>
      <c r="AJ799" s="1">
        <v>10706.07</v>
      </c>
      <c r="AK799" s="1">
        <v>5927.1</v>
      </c>
      <c r="AL799" s="1">
        <v>4778.97</v>
      </c>
      <c r="AM799" s="13">
        <f t="shared" si="337"/>
        <v>10706.073</v>
      </c>
      <c r="AN799" s="9">
        <f t="shared" si="338"/>
        <v>4778.973</v>
      </c>
      <c r="AO799" s="9">
        <f t="shared" si="347"/>
        <v>0.44637963892082555</v>
      </c>
      <c r="AP799" s="1" t="s">
        <v>33</v>
      </c>
      <c r="AQ799" s="1" t="str">
        <f t="shared" si="339"/>
        <v>Paid</v>
      </c>
      <c r="AR799" s="1" t="str">
        <f t="shared" si="340"/>
        <v>OK</v>
      </c>
      <c r="AS799" s="1" t="s">
        <v>34</v>
      </c>
      <c r="AT799" s="4" t="str">
        <f t="shared" si="341"/>
        <v>Completed</v>
      </c>
      <c r="AU799" s="3" t="str">
        <f t="shared" si="342"/>
        <v>OK</v>
      </c>
      <c r="AV799" s="3" t="str">
        <f t="shared" si="348"/>
        <v>INVALID</v>
      </c>
      <c r="AW799" t="str">
        <f t="shared" si="349"/>
        <v>MATCH</v>
      </c>
      <c r="AX799" t="str">
        <f t="shared" si="350"/>
        <v>MATCH</v>
      </c>
    </row>
    <row r="800" spans="1:50" ht="15.6" hidden="1">
      <c r="A800" s="1" t="s">
        <v>2630</v>
      </c>
      <c r="B800" s="1">
        <f t="shared" si="324"/>
        <v>2</v>
      </c>
      <c r="C800" s="16">
        <v>45762</v>
      </c>
      <c r="D800" s="16">
        <v>45762</v>
      </c>
      <c r="E800" s="16" t="str">
        <f t="shared" si="343"/>
        <v>Apr</v>
      </c>
      <c r="F800" s="1">
        <f t="shared" si="344"/>
        <v>2025</v>
      </c>
      <c r="G800" t="s">
        <v>3214</v>
      </c>
      <c r="H800" s="17">
        <v>45907</v>
      </c>
      <c r="I800" s="21">
        <f t="shared" si="345"/>
        <v>145</v>
      </c>
      <c r="J800" s="6" t="str">
        <f t="shared" si="346"/>
        <v>OK</v>
      </c>
      <c r="K800" s="1" t="s">
        <v>2632</v>
      </c>
      <c r="L800" s="1" t="s">
        <v>158</v>
      </c>
      <c r="M800" s="1" t="str">
        <f t="shared" si="325"/>
        <v>Sneha Kapoor</v>
      </c>
      <c r="N800" s="1" t="s">
        <v>40</v>
      </c>
      <c r="O800" s="1" t="str">
        <f t="shared" si="326"/>
        <v>Small Business</v>
      </c>
      <c r="P800" s="1" t="s">
        <v>60</v>
      </c>
      <c r="Q800" s="1" t="str">
        <f t="shared" si="327"/>
        <v>South</v>
      </c>
      <c r="R800" s="1" t="str">
        <f t="shared" si="328"/>
        <v>OK</v>
      </c>
      <c r="S800" s="1" t="s">
        <v>212</v>
      </c>
      <c r="T800" s="1" t="str">
        <f t="shared" si="329"/>
        <v>Karnataka</v>
      </c>
      <c r="U800" s="1" t="s">
        <v>213</v>
      </c>
      <c r="V800" s="1" t="str">
        <f t="shared" si="330"/>
        <v>Bengaluru</v>
      </c>
      <c r="W800" s="1" t="s">
        <v>44</v>
      </c>
      <c r="X800" s="1" t="str">
        <f t="shared" si="331"/>
        <v>Furniture</v>
      </c>
      <c r="Y800" s="1" t="s">
        <v>63</v>
      </c>
      <c r="Z800" s="1" t="str">
        <f t="shared" si="332"/>
        <v>Furnishings</v>
      </c>
      <c r="AA800" s="1" t="s">
        <v>2633</v>
      </c>
      <c r="AB800" s="1" t="s">
        <v>55</v>
      </c>
      <c r="AC800" s="1" t="str">
        <f t="shared" si="333"/>
        <v>First Class</v>
      </c>
      <c r="AD800" s="1" t="str">
        <f t="shared" si="334"/>
        <v>OK</v>
      </c>
      <c r="AE800" s="1">
        <v>5</v>
      </c>
      <c r="AF800" s="1">
        <v>2850.53</v>
      </c>
      <c r="AG800" s="9">
        <v>0</v>
      </c>
      <c r="AH800" s="9">
        <f t="shared" si="335"/>
        <v>0</v>
      </c>
      <c r="AI800" s="1" t="str">
        <f t="shared" si="336"/>
        <v>OK</v>
      </c>
      <c r="AJ800" s="1">
        <v>14252.65</v>
      </c>
      <c r="AK800" s="1">
        <v>11558.31</v>
      </c>
      <c r="AL800" s="1">
        <v>2694.34</v>
      </c>
      <c r="AM800" s="13">
        <f t="shared" si="337"/>
        <v>14252.650000000001</v>
      </c>
      <c r="AN800" s="9">
        <f t="shared" si="338"/>
        <v>2694.340000000002</v>
      </c>
      <c r="AO800" s="9">
        <f t="shared" si="347"/>
        <v>0.18904133617257154</v>
      </c>
      <c r="AP800" s="1" t="s">
        <v>33</v>
      </c>
      <c r="AQ800" s="1" t="str">
        <f t="shared" si="339"/>
        <v>Paid</v>
      </c>
      <c r="AR800" s="1" t="str">
        <f t="shared" si="340"/>
        <v>OK</v>
      </c>
      <c r="AS800" s="1" t="s">
        <v>34</v>
      </c>
      <c r="AT800" s="4" t="str">
        <f t="shared" si="341"/>
        <v>Completed</v>
      </c>
      <c r="AU800" s="3" t="str">
        <f t="shared" si="342"/>
        <v>OK</v>
      </c>
      <c r="AV800" s="3" t="str">
        <f t="shared" si="348"/>
        <v>CLEAN</v>
      </c>
      <c r="AW800" t="str">
        <f t="shared" si="349"/>
        <v>MATCH</v>
      </c>
      <c r="AX800" t="str">
        <f t="shared" si="350"/>
        <v>MATCH</v>
      </c>
    </row>
    <row r="801" spans="1:50" ht="15.6">
      <c r="A801" s="1" t="s">
        <v>2630</v>
      </c>
      <c r="B801" s="1">
        <f t="shared" si="324"/>
        <v>2</v>
      </c>
      <c r="C801" s="16">
        <v>45762</v>
      </c>
      <c r="D801" s="16">
        <v>45762</v>
      </c>
      <c r="E801" s="16" t="str">
        <f t="shared" si="343"/>
        <v>Apr</v>
      </c>
      <c r="F801" s="1">
        <f t="shared" si="344"/>
        <v>2025</v>
      </c>
      <c r="G801" t="s">
        <v>2229</v>
      </c>
      <c r="H801" s="17">
        <v>45582</v>
      </c>
      <c r="I801" s="21">
        <f t="shared" si="345"/>
        <v>-180</v>
      </c>
      <c r="J801" s="6" t="str">
        <f t="shared" si="346"/>
        <v>INVALID_SHIPPING</v>
      </c>
      <c r="K801" s="1" t="s">
        <v>2632</v>
      </c>
      <c r="L801" s="1" t="s">
        <v>158</v>
      </c>
      <c r="M801" s="1" t="str">
        <f t="shared" si="325"/>
        <v>Sneha Kapoor</v>
      </c>
      <c r="N801" s="1" t="s">
        <v>40</v>
      </c>
      <c r="O801" s="1" t="str">
        <f t="shared" si="326"/>
        <v>Small Business</v>
      </c>
      <c r="P801" s="1" t="s">
        <v>60</v>
      </c>
      <c r="Q801" s="1" t="str">
        <f t="shared" si="327"/>
        <v>South</v>
      </c>
      <c r="R801" s="1" t="str">
        <f t="shared" si="328"/>
        <v>OK</v>
      </c>
      <c r="S801" s="1" t="s">
        <v>212</v>
      </c>
      <c r="T801" s="1" t="str">
        <f t="shared" si="329"/>
        <v>Karnataka</v>
      </c>
      <c r="U801" s="1" t="s">
        <v>213</v>
      </c>
      <c r="V801" s="1" t="str">
        <f t="shared" si="330"/>
        <v>Bengaluru</v>
      </c>
      <c r="W801" s="1" t="s">
        <v>44</v>
      </c>
      <c r="X801" s="1" t="str">
        <f t="shared" si="331"/>
        <v>Furniture</v>
      </c>
      <c r="Y801" s="1" t="s">
        <v>63</v>
      </c>
      <c r="Z801" s="1" t="str">
        <f t="shared" si="332"/>
        <v>Furnishings</v>
      </c>
      <c r="AA801" s="1" t="s">
        <v>2633</v>
      </c>
      <c r="AB801" s="1" t="s">
        <v>55</v>
      </c>
      <c r="AC801" s="1" t="str">
        <f t="shared" si="333"/>
        <v>First Class</v>
      </c>
      <c r="AD801" s="1" t="str">
        <f t="shared" si="334"/>
        <v>OK</v>
      </c>
      <c r="AE801" s="1">
        <v>5</v>
      </c>
      <c r="AF801" s="1">
        <v>2850.53</v>
      </c>
      <c r="AG801" s="9">
        <v>0</v>
      </c>
      <c r="AH801" s="9">
        <f t="shared" si="335"/>
        <v>0</v>
      </c>
      <c r="AI801" s="1" t="str">
        <f t="shared" si="336"/>
        <v>OK</v>
      </c>
      <c r="AJ801" s="1">
        <v>14252.65</v>
      </c>
      <c r="AK801" s="1">
        <v>11558.31</v>
      </c>
      <c r="AL801" s="1">
        <v>2694.34</v>
      </c>
      <c r="AM801" s="13">
        <f t="shared" si="337"/>
        <v>14252.650000000001</v>
      </c>
      <c r="AN801" s="9">
        <f t="shared" si="338"/>
        <v>2694.340000000002</v>
      </c>
      <c r="AO801" s="9">
        <f t="shared" si="347"/>
        <v>0.18904133617257154</v>
      </c>
      <c r="AP801" s="1" t="s">
        <v>33</v>
      </c>
      <c r="AQ801" s="1" t="str">
        <f t="shared" si="339"/>
        <v>Paid</v>
      </c>
      <c r="AR801" s="1" t="str">
        <f t="shared" si="340"/>
        <v>OK</v>
      </c>
      <c r="AS801" s="1" t="s">
        <v>34</v>
      </c>
      <c r="AT801" s="4" t="str">
        <f t="shared" si="341"/>
        <v>Completed</v>
      </c>
      <c r="AU801" s="3" t="str">
        <f t="shared" si="342"/>
        <v>OK</v>
      </c>
      <c r="AV801" s="3" t="str">
        <f t="shared" si="348"/>
        <v>INVALID</v>
      </c>
      <c r="AW801" t="str">
        <f t="shared" si="349"/>
        <v>MATCH</v>
      </c>
      <c r="AX801" t="str">
        <f t="shared" si="350"/>
        <v>MATCH</v>
      </c>
    </row>
    <row r="802" spans="1:50" ht="15.6">
      <c r="A802" s="1" t="s">
        <v>2634</v>
      </c>
      <c r="B802" s="1">
        <f t="shared" si="324"/>
        <v>1</v>
      </c>
      <c r="C802" s="16">
        <v>45765</v>
      </c>
      <c r="D802" s="16">
        <v>45765</v>
      </c>
      <c r="E802" s="16" t="str">
        <f t="shared" si="343"/>
        <v>Apr</v>
      </c>
      <c r="F802" s="1">
        <f t="shared" si="344"/>
        <v>2025</v>
      </c>
      <c r="G802" t="s">
        <v>3221</v>
      </c>
      <c r="H802" s="17">
        <v>45358</v>
      </c>
      <c r="I802" s="21">
        <f t="shared" si="345"/>
        <v>-407</v>
      </c>
      <c r="J802" s="6" t="str">
        <f t="shared" si="346"/>
        <v>INVALID_SHIPPING</v>
      </c>
      <c r="K802" s="1" t="s">
        <v>2637</v>
      </c>
      <c r="L802" s="1" t="s">
        <v>153</v>
      </c>
      <c r="M802" s="1" t="str">
        <f t="shared" si="325"/>
        <v>Aarav Sharma</v>
      </c>
      <c r="N802" s="1" t="s">
        <v>40</v>
      </c>
      <c r="O802" s="1" t="str">
        <f t="shared" si="326"/>
        <v>Small Business</v>
      </c>
      <c r="P802" s="1" t="s">
        <v>60</v>
      </c>
      <c r="Q802" s="1" t="str">
        <f t="shared" si="327"/>
        <v>South</v>
      </c>
      <c r="R802" s="1" t="str">
        <f t="shared" si="328"/>
        <v>OK</v>
      </c>
      <c r="S802" s="1" t="s">
        <v>309</v>
      </c>
      <c r="T802" s="1" t="str">
        <f t="shared" si="329"/>
        <v>Tamil Nadu</v>
      </c>
      <c r="U802" s="1" t="s">
        <v>310</v>
      </c>
      <c r="V802" s="1" t="str">
        <f t="shared" si="330"/>
        <v>Chennai</v>
      </c>
      <c r="W802" s="1" t="s">
        <v>83</v>
      </c>
      <c r="X802" s="1" t="str">
        <f t="shared" si="331"/>
        <v>Technology</v>
      </c>
      <c r="Y802" s="1" t="s">
        <v>84</v>
      </c>
      <c r="Z802" s="1" t="str">
        <f t="shared" si="332"/>
        <v>Accessories</v>
      </c>
      <c r="AA802" s="1" t="s">
        <v>2638</v>
      </c>
      <c r="AB802" s="1" t="s">
        <v>32</v>
      </c>
      <c r="AC802" s="1" t="str">
        <f t="shared" si="333"/>
        <v>Second Class</v>
      </c>
      <c r="AD802" s="1" t="str">
        <f t="shared" si="334"/>
        <v>OK</v>
      </c>
      <c r="AE802" s="1">
        <v>1</v>
      </c>
      <c r="AF802" s="1">
        <v>1626.08</v>
      </c>
      <c r="AG802" s="9">
        <v>0.15</v>
      </c>
      <c r="AH802" s="9">
        <f t="shared" si="335"/>
        <v>0.15</v>
      </c>
      <c r="AI802" s="1" t="str">
        <f t="shared" si="336"/>
        <v>OK</v>
      </c>
      <c r="AJ802" s="1">
        <v>1382.17</v>
      </c>
      <c r="AK802" s="1">
        <v>810.03</v>
      </c>
      <c r="AL802" s="1">
        <v>572.14</v>
      </c>
      <c r="AM802" s="13">
        <f t="shared" si="337"/>
        <v>1382.1679999999999</v>
      </c>
      <c r="AN802" s="9">
        <f t="shared" si="338"/>
        <v>572.13799999999992</v>
      </c>
      <c r="AO802" s="9">
        <f t="shared" si="347"/>
        <v>0.4139424440444287</v>
      </c>
      <c r="AP802" s="1" t="s">
        <v>33</v>
      </c>
      <c r="AQ802" s="1" t="str">
        <f t="shared" si="339"/>
        <v>Paid</v>
      </c>
      <c r="AR802" s="1" t="str">
        <f t="shared" si="340"/>
        <v>OK</v>
      </c>
      <c r="AS802" s="1" t="s">
        <v>34</v>
      </c>
      <c r="AT802" s="4" t="str">
        <f t="shared" si="341"/>
        <v>Completed</v>
      </c>
      <c r="AU802" s="3" t="str">
        <f t="shared" si="342"/>
        <v>OK</v>
      </c>
      <c r="AV802" s="3" t="str">
        <f t="shared" si="348"/>
        <v>INVALID</v>
      </c>
      <c r="AW802" t="str">
        <f t="shared" si="349"/>
        <v>MATCH</v>
      </c>
      <c r="AX802" t="str">
        <f t="shared" si="350"/>
        <v>MATCH</v>
      </c>
    </row>
    <row r="803" spans="1:50" ht="15.6">
      <c r="A803" s="1" t="s">
        <v>2639</v>
      </c>
      <c r="B803" s="1">
        <f t="shared" si="324"/>
        <v>1</v>
      </c>
      <c r="C803" s="16">
        <v>45962</v>
      </c>
      <c r="D803" s="16">
        <v>45962</v>
      </c>
      <c r="E803" s="16" t="str">
        <f t="shared" si="343"/>
        <v>Nov</v>
      </c>
      <c r="F803" s="1">
        <f t="shared" si="344"/>
        <v>2025</v>
      </c>
      <c r="G803" t="s">
        <v>282</v>
      </c>
      <c r="H803" s="17">
        <v>45945</v>
      </c>
      <c r="I803" s="21">
        <f t="shared" si="345"/>
        <v>-17</v>
      </c>
      <c r="J803" s="6" t="str">
        <f t="shared" si="346"/>
        <v>INVALID_SHIPPING</v>
      </c>
      <c r="K803" s="1" t="s">
        <v>2640</v>
      </c>
      <c r="L803" s="1" t="s">
        <v>103</v>
      </c>
      <c r="M803" s="1" t="str">
        <f t="shared" si="325"/>
        <v>Aditi Sen</v>
      </c>
      <c r="N803" s="1" t="s">
        <v>25</v>
      </c>
      <c r="O803" s="1" t="str">
        <f t="shared" si="326"/>
        <v>Consumer</v>
      </c>
      <c r="P803" s="1" t="s">
        <v>60</v>
      </c>
      <c r="Q803" s="1" t="str">
        <f t="shared" si="327"/>
        <v>South</v>
      </c>
      <c r="R803" s="1" t="str">
        <f t="shared" si="328"/>
        <v>OK</v>
      </c>
      <c r="S803" s="1" t="s">
        <v>61</v>
      </c>
      <c r="T803" s="1" t="str">
        <f t="shared" si="329"/>
        <v>Telangana</v>
      </c>
      <c r="U803" s="1" t="s">
        <v>62</v>
      </c>
      <c r="V803" s="1" t="str">
        <f t="shared" si="330"/>
        <v>Hyderabad</v>
      </c>
      <c r="W803" s="1" t="s">
        <v>44</v>
      </c>
      <c r="X803" s="1" t="str">
        <f t="shared" si="331"/>
        <v>Furniture</v>
      </c>
      <c r="Y803" s="1" t="s">
        <v>74</v>
      </c>
      <c r="Z803" s="1" t="str">
        <f t="shared" si="332"/>
        <v>Chairs</v>
      </c>
      <c r="AA803" s="1" t="s">
        <v>2641</v>
      </c>
      <c r="AB803" s="1" t="s">
        <v>32</v>
      </c>
      <c r="AC803" s="1" t="str">
        <f t="shared" si="333"/>
        <v>Second Class</v>
      </c>
      <c r="AD803" s="1" t="str">
        <f t="shared" si="334"/>
        <v>OK</v>
      </c>
      <c r="AE803" s="1">
        <v>4</v>
      </c>
      <c r="AF803" s="1">
        <v>2427.15</v>
      </c>
      <c r="AG803" s="9">
        <v>0.05</v>
      </c>
      <c r="AH803" s="9">
        <f t="shared" si="335"/>
        <v>0.05</v>
      </c>
      <c r="AI803" s="1" t="str">
        <f t="shared" si="336"/>
        <v>OK</v>
      </c>
      <c r="AJ803" s="1">
        <v>9223.17</v>
      </c>
      <c r="AK803" s="1">
        <v>5103.7</v>
      </c>
      <c r="AL803" s="1">
        <v>4119.47</v>
      </c>
      <c r="AM803" s="13">
        <f t="shared" si="337"/>
        <v>9223.17</v>
      </c>
      <c r="AN803" s="9">
        <f t="shared" si="338"/>
        <v>4119.47</v>
      </c>
      <c r="AO803" s="9">
        <f t="shared" si="347"/>
        <v>0.44664361602355807</v>
      </c>
      <c r="AP803" s="1" t="s">
        <v>33</v>
      </c>
      <c r="AQ803" s="1" t="str">
        <f t="shared" si="339"/>
        <v>Paid</v>
      </c>
      <c r="AR803" s="1" t="str">
        <f t="shared" si="340"/>
        <v>OK</v>
      </c>
      <c r="AS803" s="1" t="s">
        <v>34</v>
      </c>
      <c r="AT803" s="4" t="str">
        <f t="shared" si="341"/>
        <v>Completed</v>
      </c>
      <c r="AU803" s="3" t="str">
        <f t="shared" si="342"/>
        <v>OK</v>
      </c>
      <c r="AV803" s="3" t="str">
        <f t="shared" si="348"/>
        <v>INVALID</v>
      </c>
      <c r="AW803" t="str">
        <f t="shared" si="349"/>
        <v>MATCH</v>
      </c>
      <c r="AX803" t="str">
        <f t="shared" si="350"/>
        <v>MATCH</v>
      </c>
    </row>
    <row r="804" spans="1:50" ht="15.6" hidden="1">
      <c r="A804" s="1" t="s">
        <v>2661</v>
      </c>
      <c r="B804" s="1">
        <f t="shared" si="324"/>
        <v>1</v>
      </c>
      <c r="C804" s="16">
        <v>45671</v>
      </c>
      <c r="D804" s="16">
        <v>45671</v>
      </c>
      <c r="E804" s="16" t="str">
        <f t="shared" si="343"/>
        <v>Jan</v>
      </c>
      <c r="F804" s="1">
        <f t="shared" si="344"/>
        <v>2025</v>
      </c>
      <c r="G804" t="s">
        <v>3228</v>
      </c>
      <c r="H804" s="17">
        <v>45704</v>
      </c>
      <c r="I804" s="21">
        <f t="shared" si="345"/>
        <v>33</v>
      </c>
      <c r="J804" s="6" t="str">
        <f t="shared" si="346"/>
        <v>OK</v>
      </c>
      <c r="K804" s="1" t="s">
        <v>2663</v>
      </c>
      <c r="L804" s="1" t="s">
        <v>80</v>
      </c>
      <c r="M804" s="1" t="str">
        <f t="shared" si="325"/>
        <v>Vikram Iyer</v>
      </c>
      <c r="N804" s="1" t="s">
        <v>25</v>
      </c>
      <c r="O804" s="1" t="str">
        <f t="shared" si="326"/>
        <v>Consumer</v>
      </c>
      <c r="P804" s="1" t="s">
        <v>71</v>
      </c>
      <c r="Q804" s="1" t="str">
        <f t="shared" si="327"/>
        <v>West</v>
      </c>
      <c r="R804" s="1" t="str">
        <f t="shared" si="328"/>
        <v>OK</v>
      </c>
      <c r="S804" s="1" t="s">
        <v>230</v>
      </c>
      <c r="T804" s="1" t="str">
        <f t="shared" si="329"/>
        <v>Goa</v>
      </c>
      <c r="U804" s="1" t="s">
        <v>231</v>
      </c>
      <c r="V804" s="1" t="str">
        <f t="shared" si="330"/>
        <v>Panaji</v>
      </c>
      <c r="W804" s="1" t="s">
        <v>29</v>
      </c>
      <c r="X804" s="1" t="str">
        <f t="shared" si="331"/>
        <v>Office Supplies</v>
      </c>
      <c r="Y804" s="1" t="s">
        <v>148</v>
      </c>
      <c r="Z804" s="1" t="str">
        <f t="shared" si="332"/>
        <v>Storage</v>
      </c>
      <c r="AA804" s="1" t="s">
        <v>2664</v>
      </c>
      <c r="AB804" s="1" t="s">
        <v>55</v>
      </c>
      <c r="AC804" s="1" t="str">
        <f t="shared" si="333"/>
        <v>First Class</v>
      </c>
      <c r="AD804" s="1" t="str">
        <f t="shared" si="334"/>
        <v>OK</v>
      </c>
      <c r="AE804" s="1">
        <v>1</v>
      </c>
      <c r="AF804" s="1">
        <v>1584.12</v>
      </c>
      <c r="AG804" s="9">
        <v>0.2</v>
      </c>
      <c r="AH804" s="9">
        <f t="shared" si="335"/>
        <v>0.2</v>
      </c>
      <c r="AI804" s="1" t="str">
        <f t="shared" si="336"/>
        <v>OK</v>
      </c>
      <c r="AJ804" s="1">
        <v>1267.3</v>
      </c>
      <c r="AK804" s="1">
        <v>923.53</v>
      </c>
      <c r="AL804" s="1">
        <v>343.77</v>
      </c>
      <c r="AM804" s="13">
        <f t="shared" si="337"/>
        <v>1267.296</v>
      </c>
      <c r="AN804" s="9">
        <f t="shared" si="338"/>
        <v>343.76600000000008</v>
      </c>
      <c r="AO804" s="9">
        <f t="shared" si="347"/>
        <v>0.27125943741635739</v>
      </c>
      <c r="AP804" s="1" t="s">
        <v>33</v>
      </c>
      <c r="AQ804" s="1" t="str">
        <f t="shared" si="339"/>
        <v>Paid</v>
      </c>
      <c r="AR804" s="1" t="str">
        <f t="shared" si="340"/>
        <v>OK</v>
      </c>
      <c r="AS804" s="1" t="s">
        <v>34</v>
      </c>
      <c r="AT804" s="4" t="str">
        <f t="shared" si="341"/>
        <v>Completed</v>
      </c>
      <c r="AU804" s="3" t="str">
        <f t="shared" si="342"/>
        <v>OK</v>
      </c>
      <c r="AV804" s="3" t="str">
        <f t="shared" si="348"/>
        <v>CLEAN</v>
      </c>
      <c r="AW804" t="str">
        <f t="shared" si="349"/>
        <v>MATCH</v>
      </c>
      <c r="AX804" t="str">
        <f t="shared" si="350"/>
        <v>MATCH</v>
      </c>
    </row>
    <row r="805" spans="1:50" ht="15.6">
      <c r="A805" s="1" t="s">
        <v>2665</v>
      </c>
      <c r="B805" s="1">
        <f t="shared" si="324"/>
        <v>1</v>
      </c>
      <c r="C805" s="16">
        <v>45904</v>
      </c>
      <c r="D805" s="16">
        <v>45904</v>
      </c>
      <c r="E805" s="16" t="str">
        <f t="shared" si="343"/>
        <v>Sep</v>
      </c>
      <c r="F805" s="1">
        <f t="shared" si="344"/>
        <v>2025</v>
      </c>
      <c r="G805" t="s">
        <v>654</v>
      </c>
      <c r="H805" s="17">
        <v>45639</v>
      </c>
      <c r="I805" s="21">
        <f t="shared" si="345"/>
        <v>-265</v>
      </c>
      <c r="J805" s="6" t="str">
        <f t="shared" si="346"/>
        <v>INVALID_SHIPPING</v>
      </c>
      <c r="K805" s="1" t="s">
        <v>2666</v>
      </c>
      <c r="L805" s="1" t="s">
        <v>24</v>
      </c>
      <c r="M805" s="1" t="str">
        <f t="shared" si="325"/>
        <v>Karan Malhotra</v>
      </c>
      <c r="N805" s="1" t="s">
        <v>25</v>
      </c>
      <c r="O805" s="1" t="str">
        <f t="shared" si="326"/>
        <v>Consumer</v>
      </c>
      <c r="P805" s="1" t="s">
        <v>26</v>
      </c>
      <c r="Q805" s="1" t="str">
        <f t="shared" si="327"/>
        <v>North</v>
      </c>
      <c r="R805" s="1" t="str">
        <f t="shared" si="328"/>
        <v>OK</v>
      </c>
      <c r="S805" s="1" t="s">
        <v>454</v>
      </c>
      <c r="T805" s="1" t="str">
        <f t="shared" si="329"/>
        <v>Delhi</v>
      </c>
      <c r="U805" s="1" t="s">
        <v>455</v>
      </c>
      <c r="V805" s="1" t="str">
        <f t="shared" si="330"/>
        <v>New Delhi</v>
      </c>
      <c r="W805" s="1" t="s">
        <v>44</v>
      </c>
      <c r="X805" s="1" t="str">
        <f t="shared" si="331"/>
        <v>Furniture</v>
      </c>
      <c r="Y805" s="1" t="s">
        <v>63</v>
      </c>
      <c r="Z805" s="1" t="str">
        <f t="shared" si="332"/>
        <v>Furnishings</v>
      </c>
      <c r="AA805" s="1" t="s">
        <v>2667</v>
      </c>
      <c r="AB805" s="1" t="s">
        <v>47</v>
      </c>
      <c r="AC805" s="1" t="str">
        <f t="shared" si="333"/>
        <v>Same Day</v>
      </c>
      <c r="AD805" s="1" t="str">
        <f t="shared" si="334"/>
        <v>OK</v>
      </c>
      <c r="AE805" s="1">
        <v>2</v>
      </c>
      <c r="AF805" s="1">
        <v>3202.87</v>
      </c>
      <c r="AG805" s="9">
        <v>0</v>
      </c>
      <c r="AH805" s="9">
        <f t="shared" si="335"/>
        <v>0</v>
      </c>
      <c r="AI805" s="1" t="str">
        <f t="shared" si="336"/>
        <v>OK</v>
      </c>
      <c r="AJ805" s="1">
        <v>6405.74</v>
      </c>
      <c r="AK805" s="1">
        <v>3561.87</v>
      </c>
      <c r="AL805" s="1">
        <v>2843.87</v>
      </c>
      <c r="AM805" s="13">
        <f t="shared" si="337"/>
        <v>6405.74</v>
      </c>
      <c r="AN805" s="9">
        <f t="shared" si="338"/>
        <v>2843.87</v>
      </c>
      <c r="AO805" s="9">
        <f t="shared" si="347"/>
        <v>0.44395651400150488</v>
      </c>
      <c r="AP805" s="1" t="s">
        <v>33</v>
      </c>
      <c r="AQ805" s="1" t="str">
        <f t="shared" si="339"/>
        <v>Paid</v>
      </c>
      <c r="AR805" s="1" t="str">
        <f t="shared" si="340"/>
        <v>OK</v>
      </c>
      <c r="AS805" s="1" t="s">
        <v>34</v>
      </c>
      <c r="AT805" s="4" t="str">
        <f t="shared" si="341"/>
        <v>Completed</v>
      </c>
      <c r="AU805" s="3" t="str">
        <f t="shared" si="342"/>
        <v>OK</v>
      </c>
      <c r="AV805" s="3" t="str">
        <f t="shared" si="348"/>
        <v>INVALID</v>
      </c>
      <c r="AW805" t="str">
        <f t="shared" si="349"/>
        <v>MATCH</v>
      </c>
      <c r="AX805" t="str">
        <f t="shared" si="350"/>
        <v>MATCH</v>
      </c>
    </row>
    <row r="806" spans="1:50" ht="15.6">
      <c r="A806" s="1" t="s">
        <v>2675</v>
      </c>
      <c r="B806" s="1">
        <f t="shared" si="324"/>
        <v>1</v>
      </c>
      <c r="C806" s="16">
        <v>45934</v>
      </c>
      <c r="D806" s="16">
        <v>45934</v>
      </c>
      <c r="E806" s="16" t="str">
        <f t="shared" si="343"/>
        <v>Oct</v>
      </c>
      <c r="F806" s="1">
        <f t="shared" si="344"/>
        <v>2025</v>
      </c>
      <c r="G806" t="s">
        <v>1931</v>
      </c>
      <c r="H806" s="17">
        <v>45918</v>
      </c>
      <c r="I806" s="21">
        <f t="shared" si="345"/>
        <v>-16</v>
      </c>
      <c r="J806" s="6" t="str">
        <f t="shared" si="346"/>
        <v>INVALID_SHIPPING</v>
      </c>
      <c r="K806" s="1" t="s">
        <v>2677</v>
      </c>
      <c r="L806" s="1" t="s">
        <v>80</v>
      </c>
      <c r="M806" s="1" t="str">
        <f t="shared" si="325"/>
        <v>Vikram Iyer</v>
      </c>
      <c r="N806" s="1" t="s">
        <v>25</v>
      </c>
      <c r="O806" s="1" t="str">
        <f t="shared" si="326"/>
        <v>Consumer</v>
      </c>
      <c r="P806" s="1" t="s">
        <v>41</v>
      </c>
      <c r="Q806" s="1" t="str">
        <f t="shared" si="327"/>
        <v>East</v>
      </c>
      <c r="R806" s="1" t="str">
        <f t="shared" si="328"/>
        <v>OK</v>
      </c>
      <c r="S806" s="1" t="s">
        <v>116</v>
      </c>
      <c r="T806" s="1" t="str">
        <f t="shared" si="329"/>
        <v>West Bengal</v>
      </c>
      <c r="U806" s="1" t="s">
        <v>117</v>
      </c>
      <c r="V806" s="1" t="str">
        <f t="shared" si="330"/>
        <v>Kolkata</v>
      </c>
      <c r="W806" s="1" t="s">
        <v>44</v>
      </c>
      <c r="X806" s="1" t="str">
        <f t="shared" si="331"/>
        <v>Furniture</v>
      </c>
      <c r="Y806" s="1" t="s">
        <v>74</v>
      </c>
      <c r="Z806" s="1" t="str">
        <f t="shared" si="332"/>
        <v>Chairs</v>
      </c>
      <c r="AA806" s="1" t="s">
        <v>2678</v>
      </c>
      <c r="AB806" s="1" t="s">
        <v>65</v>
      </c>
      <c r="AC806" s="1" t="str">
        <f t="shared" si="333"/>
        <v>Standard Class</v>
      </c>
      <c r="AD806" s="1" t="str">
        <f t="shared" si="334"/>
        <v>OK</v>
      </c>
      <c r="AE806" s="1">
        <v>4</v>
      </c>
      <c r="AF806" s="1">
        <v>3750.02</v>
      </c>
      <c r="AG806" s="9">
        <v>0.05</v>
      </c>
      <c r="AH806" s="9">
        <f t="shared" si="335"/>
        <v>0.05</v>
      </c>
      <c r="AI806" s="1" t="str">
        <f t="shared" si="336"/>
        <v>OK</v>
      </c>
      <c r="AJ806" s="1">
        <v>14250.08</v>
      </c>
      <c r="AK806" s="1">
        <v>10914.92</v>
      </c>
      <c r="AL806" s="1">
        <v>3335.16</v>
      </c>
      <c r="AM806" s="13">
        <f t="shared" si="337"/>
        <v>14250.075999999999</v>
      </c>
      <c r="AN806" s="9">
        <f t="shared" si="338"/>
        <v>3335.155999999999</v>
      </c>
      <c r="AO806" s="9">
        <f t="shared" si="347"/>
        <v>0.23404478684885605</v>
      </c>
      <c r="AP806" s="1" t="s">
        <v>33</v>
      </c>
      <c r="AQ806" s="1" t="str">
        <f t="shared" si="339"/>
        <v>Paid</v>
      </c>
      <c r="AR806" s="1" t="str">
        <f t="shared" si="340"/>
        <v>OK</v>
      </c>
      <c r="AS806" s="1" t="s">
        <v>34</v>
      </c>
      <c r="AT806" s="4" t="str">
        <f t="shared" si="341"/>
        <v>Completed</v>
      </c>
      <c r="AU806" s="3" t="str">
        <f t="shared" si="342"/>
        <v>OK</v>
      </c>
      <c r="AV806" s="3" t="str">
        <f t="shared" si="348"/>
        <v>INVALID</v>
      </c>
      <c r="AW806" t="str">
        <f t="shared" si="349"/>
        <v>MATCH</v>
      </c>
      <c r="AX806" t="str">
        <f t="shared" si="350"/>
        <v>MATCH</v>
      </c>
    </row>
    <row r="807" spans="1:50" ht="15.6" hidden="1">
      <c r="A807" s="1" t="s">
        <v>2686</v>
      </c>
      <c r="B807" s="1">
        <f t="shared" si="324"/>
        <v>1</v>
      </c>
      <c r="C807" s="16">
        <v>45658</v>
      </c>
      <c r="D807" s="16">
        <v>45658</v>
      </c>
      <c r="E807" s="16" t="str">
        <f t="shared" si="343"/>
        <v>Jan</v>
      </c>
      <c r="F807" s="1">
        <f t="shared" si="344"/>
        <v>2025</v>
      </c>
      <c r="G807" t="s">
        <v>940</v>
      </c>
      <c r="H807" s="17">
        <v>45842</v>
      </c>
      <c r="I807" s="21">
        <f t="shared" si="345"/>
        <v>184</v>
      </c>
      <c r="J807" s="6" t="str">
        <f t="shared" si="346"/>
        <v>OK</v>
      </c>
      <c r="K807" s="1" t="s">
        <v>2688</v>
      </c>
      <c r="L807" s="1" t="s">
        <v>2689</v>
      </c>
      <c r="M807" s="1" t="str">
        <f t="shared" si="325"/>
        <v>Rohan Mehta</v>
      </c>
      <c r="N807" s="1" t="s">
        <v>40</v>
      </c>
      <c r="O807" s="1" t="str">
        <f t="shared" si="326"/>
        <v>Small Business</v>
      </c>
      <c r="P807" s="1" t="s">
        <v>26</v>
      </c>
      <c r="Q807" s="1" t="str">
        <f t="shared" si="327"/>
        <v>North</v>
      </c>
      <c r="R807" s="1" t="str">
        <f t="shared" si="328"/>
        <v>OK</v>
      </c>
      <c r="S807" s="1" t="s">
        <v>146</v>
      </c>
      <c r="T807" s="1" t="str">
        <f t="shared" si="329"/>
        <v>Punjab</v>
      </c>
      <c r="U807" s="1" t="s">
        <v>147</v>
      </c>
      <c r="V807" s="1" t="str">
        <f t="shared" si="330"/>
        <v>Ludhiana</v>
      </c>
      <c r="W807" s="1" t="s">
        <v>29</v>
      </c>
      <c r="X807" s="1" t="str">
        <f t="shared" si="331"/>
        <v>Office Supplies</v>
      </c>
      <c r="Y807" s="1" t="s">
        <v>53</v>
      </c>
      <c r="Z807" s="1" t="str">
        <f t="shared" si="332"/>
        <v>Art</v>
      </c>
      <c r="AA807" s="1" t="s">
        <v>2690</v>
      </c>
      <c r="AB807" s="1" t="s">
        <v>55</v>
      </c>
      <c r="AC807" s="1" t="str">
        <f t="shared" si="333"/>
        <v>First Class</v>
      </c>
      <c r="AD807" s="1" t="str">
        <f t="shared" si="334"/>
        <v>OK</v>
      </c>
      <c r="AE807" s="1">
        <v>8</v>
      </c>
      <c r="AF807" s="1">
        <v>2123.81</v>
      </c>
      <c r="AG807" s="9">
        <v>0.15</v>
      </c>
      <c r="AH807" s="9">
        <f t="shared" si="335"/>
        <v>0.15</v>
      </c>
      <c r="AI807" s="1" t="str">
        <f t="shared" si="336"/>
        <v>OK</v>
      </c>
      <c r="AJ807" s="1">
        <v>14441.91</v>
      </c>
      <c r="AK807" s="1">
        <v>10872.89</v>
      </c>
      <c r="AL807" s="1">
        <v>3569.02</v>
      </c>
      <c r="AM807" s="13">
        <f t="shared" si="337"/>
        <v>14441.907999999999</v>
      </c>
      <c r="AN807" s="9">
        <f t="shared" si="338"/>
        <v>3569.018</v>
      </c>
      <c r="AO807" s="9">
        <f t="shared" si="347"/>
        <v>0.24712925743606731</v>
      </c>
      <c r="AP807" s="1" t="s">
        <v>33</v>
      </c>
      <c r="AQ807" s="1" t="str">
        <f t="shared" si="339"/>
        <v>Paid</v>
      </c>
      <c r="AR807" s="1" t="str">
        <f t="shared" si="340"/>
        <v>OK</v>
      </c>
      <c r="AS807" s="1" t="s">
        <v>34</v>
      </c>
      <c r="AT807" s="4" t="str">
        <f t="shared" si="341"/>
        <v>Completed</v>
      </c>
      <c r="AU807" s="3" t="str">
        <f t="shared" si="342"/>
        <v>OK</v>
      </c>
      <c r="AV807" s="3" t="str">
        <f t="shared" si="348"/>
        <v>CLEAN</v>
      </c>
      <c r="AW807" t="str">
        <f t="shared" si="349"/>
        <v>MATCH</v>
      </c>
      <c r="AX807" t="str">
        <f t="shared" si="350"/>
        <v>MATCH</v>
      </c>
    </row>
    <row r="808" spans="1:50" ht="15.6">
      <c r="A808" s="1" t="s">
        <v>2694</v>
      </c>
      <c r="B808" s="1">
        <f t="shared" si="324"/>
        <v>1</v>
      </c>
      <c r="C808" s="16">
        <v>45969</v>
      </c>
      <c r="D808" s="16">
        <v>45969</v>
      </c>
      <c r="E808" s="16" t="str">
        <f t="shared" si="343"/>
        <v>Nov</v>
      </c>
      <c r="F808" s="1">
        <f t="shared" si="344"/>
        <v>2025</v>
      </c>
      <c r="G808" t="s">
        <v>3241</v>
      </c>
      <c r="H808" s="17">
        <v>45611</v>
      </c>
      <c r="I808" s="21">
        <f t="shared" si="345"/>
        <v>-358</v>
      </c>
      <c r="J808" s="6" t="str">
        <f t="shared" si="346"/>
        <v>INVALID_SHIPPING</v>
      </c>
      <c r="K808" s="1" t="s">
        <v>2696</v>
      </c>
      <c r="L808" s="1" t="s">
        <v>334</v>
      </c>
      <c r="M808" s="1" t="str">
        <f t="shared" si="325"/>
        <v>Kabir Singh</v>
      </c>
      <c r="N808" s="1" t="s">
        <v>40</v>
      </c>
      <c r="O808" s="1" t="str">
        <f t="shared" si="326"/>
        <v>Small Business</v>
      </c>
      <c r="P808" s="1" t="s">
        <v>60</v>
      </c>
      <c r="Q808" s="1" t="str">
        <f t="shared" si="327"/>
        <v>South</v>
      </c>
      <c r="R808" s="1" t="str">
        <f t="shared" si="328"/>
        <v>OK</v>
      </c>
      <c r="S808" s="1" t="s">
        <v>224</v>
      </c>
      <c r="T808" s="1" t="str">
        <f t="shared" si="329"/>
        <v>Kerala</v>
      </c>
      <c r="U808" s="1" t="s">
        <v>225</v>
      </c>
      <c r="V808" s="1" t="str">
        <f t="shared" si="330"/>
        <v>Kochi</v>
      </c>
      <c r="W808" s="1" t="s">
        <v>83</v>
      </c>
      <c r="X808" s="1" t="str">
        <f t="shared" si="331"/>
        <v>Technology</v>
      </c>
      <c r="Y808" s="1" t="s">
        <v>84</v>
      </c>
      <c r="Z808" s="1" t="str">
        <f t="shared" si="332"/>
        <v>Accessories</v>
      </c>
      <c r="AA808" s="1" t="s">
        <v>2697</v>
      </c>
      <c r="AB808" s="1" t="s">
        <v>65</v>
      </c>
      <c r="AC808" s="1" t="str">
        <f t="shared" si="333"/>
        <v>Standard Class</v>
      </c>
      <c r="AD808" s="1" t="str">
        <f t="shared" si="334"/>
        <v>OK</v>
      </c>
      <c r="AE808" s="1">
        <v>4</v>
      </c>
      <c r="AF808" s="1">
        <v>2258.96</v>
      </c>
      <c r="AG808" s="9">
        <v>0.25</v>
      </c>
      <c r="AH808" s="9">
        <f t="shared" si="335"/>
        <v>0.25</v>
      </c>
      <c r="AI808" s="1" t="str">
        <f t="shared" si="336"/>
        <v>OK</v>
      </c>
      <c r="AJ808" s="1">
        <v>6776.88</v>
      </c>
      <c r="AK808" s="1">
        <v>3836.24</v>
      </c>
      <c r="AL808" s="1">
        <v>2940.64</v>
      </c>
      <c r="AM808" s="13">
        <f t="shared" si="337"/>
        <v>6776.88</v>
      </c>
      <c r="AN808" s="9">
        <f t="shared" si="338"/>
        <v>2940.6400000000003</v>
      </c>
      <c r="AO808" s="9">
        <f t="shared" si="347"/>
        <v>0.43392239496641527</v>
      </c>
      <c r="AP808" s="1" t="s">
        <v>33</v>
      </c>
      <c r="AQ808" s="1" t="str">
        <f t="shared" si="339"/>
        <v>Paid</v>
      </c>
      <c r="AR808" s="1" t="str">
        <f t="shared" si="340"/>
        <v>OK</v>
      </c>
      <c r="AS808" s="1" t="s">
        <v>34</v>
      </c>
      <c r="AT808" s="4" t="str">
        <f t="shared" si="341"/>
        <v>Completed</v>
      </c>
      <c r="AU808" s="3" t="str">
        <f t="shared" si="342"/>
        <v>OK</v>
      </c>
      <c r="AV808" s="3" t="str">
        <f t="shared" si="348"/>
        <v>INVALID</v>
      </c>
      <c r="AW808" t="str">
        <f t="shared" si="349"/>
        <v>MATCH</v>
      </c>
      <c r="AX808" t="str">
        <f t="shared" si="350"/>
        <v>MATCH</v>
      </c>
    </row>
    <row r="809" spans="1:50" ht="15.6">
      <c r="A809" s="1" t="s">
        <v>2701</v>
      </c>
      <c r="B809" s="1">
        <f t="shared" si="324"/>
        <v>1</v>
      </c>
      <c r="C809" s="16">
        <v>45816</v>
      </c>
      <c r="D809" s="16">
        <v>45816</v>
      </c>
      <c r="E809" s="16" t="str">
        <f t="shared" si="343"/>
        <v>Jun</v>
      </c>
      <c r="F809" s="1">
        <f t="shared" si="344"/>
        <v>2025</v>
      </c>
      <c r="G809" t="s">
        <v>1994</v>
      </c>
      <c r="H809" s="17">
        <v>45696</v>
      </c>
      <c r="I809" s="21">
        <f t="shared" si="345"/>
        <v>-120</v>
      </c>
      <c r="J809" s="6" t="str">
        <f t="shared" si="346"/>
        <v>INVALID_SHIPPING</v>
      </c>
      <c r="K809" s="1" t="s">
        <v>2703</v>
      </c>
      <c r="L809" s="1" t="s">
        <v>39</v>
      </c>
      <c r="M809" s="1" t="str">
        <f t="shared" si="325"/>
        <v>Mira Das</v>
      </c>
      <c r="N809" s="1" t="s">
        <v>40</v>
      </c>
      <c r="O809" s="1" t="str">
        <f t="shared" si="326"/>
        <v>Small Business</v>
      </c>
      <c r="P809" s="1" t="s">
        <v>60</v>
      </c>
      <c r="Q809" s="1" t="str">
        <f t="shared" si="327"/>
        <v>South</v>
      </c>
      <c r="R809" s="1" t="str">
        <f t="shared" si="328"/>
        <v>OK</v>
      </c>
      <c r="S809" s="1" t="s">
        <v>97</v>
      </c>
      <c r="T809" s="1" t="str">
        <f t="shared" si="329"/>
        <v>Andhra Pradesh</v>
      </c>
      <c r="U809" s="1" t="s">
        <v>98</v>
      </c>
      <c r="V809" s="1" t="str">
        <f t="shared" si="330"/>
        <v>Vijayawada</v>
      </c>
      <c r="W809" s="1" t="s">
        <v>29</v>
      </c>
      <c r="X809" s="1" t="str">
        <f t="shared" si="331"/>
        <v>Office Supplies</v>
      </c>
      <c r="Y809" s="1" t="s">
        <v>30</v>
      </c>
      <c r="Z809" s="1" t="str">
        <f t="shared" si="332"/>
        <v>Paper</v>
      </c>
      <c r="AA809" s="1" t="s">
        <v>2704</v>
      </c>
      <c r="AB809" s="1" t="s">
        <v>32</v>
      </c>
      <c r="AC809" s="1" t="str">
        <f t="shared" si="333"/>
        <v>Second Class</v>
      </c>
      <c r="AD809" s="1" t="str">
        <f t="shared" si="334"/>
        <v>OK</v>
      </c>
      <c r="AE809" s="1">
        <v>3</v>
      </c>
      <c r="AF809" s="1">
        <v>598.54999999999995</v>
      </c>
      <c r="AG809" s="9">
        <v>0</v>
      </c>
      <c r="AH809" s="9">
        <f t="shared" si="335"/>
        <v>0</v>
      </c>
      <c r="AI809" s="1" t="str">
        <f t="shared" si="336"/>
        <v>OK</v>
      </c>
      <c r="AJ809" s="1">
        <v>1795.65</v>
      </c>
      <c r="AK809" s="1">
        <v>996.72</v>
      </c>
      <c r="AL809" s="1">
        <v>798.93</v>
      </c>
      <c r="AM809" s="13">
        <f t="shared" si="337"/>
        <v>1795.6499999999999</v>
      </c>
      <c r="AN809" s="9">
        <f t="shared" si="338"/>
        <v>798.92999999999984</v>
      </c>
      <c r="AO809" s="9">
        <f t="shared" si="347"/>
        <v>0.44492523598696843</v>
      </c>
      <c r="AP809" s="1" t="s">
        <v>33</v>
      </c>
      <c r="AQ809" s="1" t="str">
        <f t="shared" si="339"/>
        <v>Paid</v>
      </c>
      <c r="AR809" s="1" t="str">
        <f t="shared" si="340"/>
        <v>OK</v>
      </c>
      <c r="AS809" s="1" t="s">
        <v>34</v>
      </c>
      <c r="AT809" s="4" t="str">
        <f t="shared" si="341"/>
        <v>Completed</v>
      </c>
      <c r="AU809" s="3" t="str">
        <f t="shared" si="342"/>
        <v>OK</v>
      </c>
      <c r="AV809" s="3" t="str">
        <f t="shared" si="348"/>
        <v>INVALID</v>
      </c>
      <c r="AW809" t="str">
        <f t="shared" si="349"/>
        <v>MATCH</v>
      </c>
      <c r="AX809" t="str">
        <f t="shared" si="350"/>
        <v>MATCH</v>
      </c>
    </row>
    <row r="810" spans="1:50" ht="15.6" hidden="1">
      <c r="A810" s="1" t="s">
        <v>2705</v>
      </c>
      <c r="B810" s="1">
        <f t="shared" si="324"/>
        <v>1</v>
      </c>
      <c r="C810" s="16">
        <v>45733</v>
      </c>
      <c r="D810" s="16">
        <v>45733</v>
      </c>
      <c r="E810" s="16" t="str">
        <f t="shared" si="343"/>
        <v>Mar</v>
      </c>
      <c r="F810" s="1">
        <f t="shared" si="344"/>
        <v>2025</v>
      </c>
      <c r="G810" t="s">
        <v>1789</v>
      </c>
      <c r="H810" s="17">
        <v>45897</v>
      </c>
      <c r="I810" s="21">
        <f t="shared" si="345"/>
        <v>164</v>
      </c>
      <c r="J810" s="6" t="str">
        <f t="shared" si="346"/>
        <v>OK</v>
      </c>
      <c r="K810" s="1" t="s">
        <v>2249</v>
      </c>
      <c r="L810" s="1" t="s">
        <v>158</v>
      </c>
      <c r="M810" s="1" t="str">
        <f t="shared" si="325"/>
        <v>Sneha Kapoor</v>
      </c>
      <c r="N810" s="1" t="s">
        <v>25</v>
      </c>
      <c r="O810" s="1" t="str">
        <f t="shared" si="326"/>
        <v>Consumer</v>
      </c>
      <c r="P810" s="1" t="s">
        <v>26</v>
      </c>
      <c r="Q810" s="1" t="str">
        <f t="shared" si="327"/>
        <v>North</v>
      </c>
      <c r="R810" s="1" t="str">
        <f t="shared" si="328"/>
        <v>OK</v>
      </c>
      <c r="S810" s="1" t="s">
        <v>163</v>
      </c>
      <c r="T810" s="1" t="str">
        <f t="shared" si="329"/>
        <v>Uttar Pradesh</v>
      </c>
      <c r="U810" s="1" t="s">
        <v>164</v>
      </c>
      <c r="V810" s="1" t="str">
        <f t="shared" si="330"/>
        <v>Noida</v>
      </c>
      <c r="W810" s="1" t="s">
        <v>29</v>
      </c>
      <c r="X810" s="1" t="str">
        <f t="shared" si="331"/>
        <v>Office Supplies</v>
      </c>
      <c r="Y810" s="1" t="s">
        <v>184</v>
      </c>
      <c r="Z810" s="1" t="str">
        <f t="shared" si="332"/>
        <v>Binders</v>
      </c>
      <c r="AA810" s="1" t="s">
        <v>2707</v>
      </c>
      <c r="AB810" s="1" t="s">
        <v>65</v>
      </c>
      <c r="AC810" s="1" t="str">
        <f t="shared" si="333"/>
        <v>Standard Class</v>
      </c>
      <c r="AD810" s="1" t="str">
        <f t="shared" si="334"/>
        <v>OK</v>
      </c>
      <c r="AE810" s="1">
        <v>5</v>
      </c>
      <c r="AF810" s="1">
        <v>4320.59</v>
      </c>
      <c r="AG810" s="9">
        <v>0.15</v>
      </c>
      <c r="AH810" s="9">
        <f t="shared" si="335"/>
        <v>0.15</v>
      </c>
      <c r="AI810" s="1" t="str">
        <f t="shared" si="336"/>
        <v>OK</v>
      </c>
      <c r="AJ810" s="1">
        <v>18362.509999999998</v>
      </c>
      <c r="AK810" s="1">
        <v>11133.97</v>
      </c>
      <c r="AL810" s="1">
        <v>7228.54</v>
      </c>
      <c r="AM810" s="13">
        <f t="shared" si="337"/>
        <v>18362.5075</v>
      </c>
      <c r="AN810" s="9">
        <f t="shared" si="338"/>
        <v>7228.5375000000004</v>
      </c>
      <c r="AO810" s="9">
        <f t="shared" si="347"/>
        <v>0.39365742941153326</v>
      </c>
      <c r="AP810" s="1" t="s">
        <v>33</v>
      </c>
      <c r="AQ810" s="1" t="str">
        <f t="shared" si="339"/>
        <v>Paid</v>
      </c>
      <c r="AR810" s="1" t="str">
        <f t="shared" si="340"/>
        <v>OK</v>
      </c>
      <c r="AS810" s="1" t="s">
        <v>34</v>
      </c>
      <c r="AT810" s="4" t="str">
        <f t="shared" si="341"/>
        <v>Completed</v>
      </c>
      <c r="AU810" s="3" t="str">
        <f t="shared" si="342"/>
        <v>OK</v>
      </c>
      <c r="AV810" s="3" t="str">
        <f t="shared" si="348"/>
        <v>CLEAN</v>
      </c>
      <c r="AW810" t="str">
        <f t="shared" si="349"/>
        <v>MATCH</v>
      </c>
      <c r="AX810" t="str">
        <f t="shared" si="350"/>
        <v>MATCH</v>
      </c>
    </row>
    <row r="811" spans="1:50" ht="15.6" hidden="1">
      <c r="A811" s="1" t="s">
        <v>2708</v>
      </c>
      <c r="B811" s="1">
        <f t="shared" si="324"/>
        <v>1</v>
      </c>
      <c r="C811" s="16">
        <v>45751</v>
      </c>
      <c r="D811" s="16">
        <v>45751</v>
      </c>
      <c r="E811" s="16" t="str">
        <f t="shared" si="343"/>
        <v>Apr</v>
      </c>
      <c r="F811" s="1">
        <f t="shared" si="344"/>
        <v>2025</v>
      </c>
      <c r="G811" t="s">
        <v>1336</v>
      </c>
      <c r="H811" s="17">
        <v>45833</v>
      </c>
      <c r="I811" s="21">
        <f t="shared" si="345"/>
        <v>82</v>
      </c>
      <c r="J811" s="6" t="str">
        <f t="shared" si="346"/>
        <v>OK</v>
      </c>
      <c r="K811" s="1" t="s">
        <v>2710</v>
      </c>
      <c r="L811" s="1" t="s">
        <v>136</v>
      </c>
      <c r="M811" s="1" t="str">
        <f t="shared" si="325"/>
        <v>Priya Menon</v>
      </c>
      <c r="N811" s="1" t="s">
        <v>40</v>
      </c>
      <c r="O811" s="1" t="str">
        <f t="shared" si="326"/>
        <v>Small Business</v>
      </c>
      <c r="P811" s="1" t="s">
        <v>60</v>
      </c>
      <c r="Q811" s="1" t="str">
        <f t="shared" si="327"/>
        <v>South</v>
      </c>
      <c r="R811" s="1" t="str">
        <f t="shared" si="328"/>
        <v>OK</v>
      </c>
      <c r="S811" s="1" t="s">
        <v>309</v>
      </c>
      <c r="T811" s="1" t="str">
        <f t="shared" si="329"/>
        <v>Tamil Nadu</v>
      </c>
      <c r="U811" s="1" t="s">
        <v>310</v>
      </c>
      <c r="V811" s="1" t="str">
        <f t="shared" si="330"/>
        <v>Chennai</v>
      </c>
      <c r="W811" s="1" t="s">
        <v>83</v>
      </c>
      <c r="X811" s="1" t="str">
        <f t="shared" si="331"/>
        <v>Technology</v>
      </c>
      <c r="Y811" s="1" t="s">
        <v>91</v>
      </c>
      <c r="Z811" s="1" t="str">
        <f t="shared" si="332"/>
        <v>Copiers</v>
      </c>
      <c r="AA811" s="1" t="s">
        <v>2711</v>
      </c>
      <c r="AB811" s="1" t="s">
        <v>32</v>
      </c>
      <c r="AC811" s="1" t="str">
        <f t="shared" si="333"/>
        <v>Second Class</v>
      </c>
      <c r="AD811" s="1" t="str">
        <f t="shared" si="334"/>
        <v>OK</v>
      </c>
      <c r="AE811" s="1">
        <v>7</v>
      </c>
      <c r="AF811" s="1">
        <v>4457.93</v>
      </c>
      <c r="AG811" s="9">
        <v>0.15</v>
      </c>
      <c r="AH811" s="9">
        <f t="shared" si="335"/>
        <v>0.15</v>
      </c>
      <c r="AI811" s="1" t="str">
        <f t="shared" si="336"/>
        <v>OK</v>
      </c>
      <c r="AJ811" s="1">
        <v>26524.68</v>
      </c>
      <c r="AK811" s="1">
        <v>20574.3</v>
      </c>
      <c r="AL811" s="1">
        <v>5950.38</v>
      </c>
      <c r="AM811" s="13">
        <f t="shared" si="337"/>
        <v>26524.683500000003</v>
      </c>
      <c r="AN811" s="9">
        <f t="shared" si="338"/>
        <v>5950.3835000000036</v>
      </c>
      <c r="AO811" s="9">
        <f t="shared" si="347"/>
        <v>0.22433381721595294</v>
      </c>
      <c r="AP811" s="1" t="s">
        <v>33</v>
      </c>
      <c r="AQ811" s="1" t="str">
        <f t="shared" si="339"/>
        <v>Paid</v>
      </c>
      <c r="AR811" s="1" t="str">
        <f t="shared" si="340"/>
        <v>OK</v>
      </c>
      <c r="AS811" s="1" t="s">
        <v>34</v>
      </c>
      <c r="AT811" s="4" t="str">
        <f t="shared" si="341"/>
        <v>Completed</v>
      </c>
      <c r="AU811" s="3" t="str">
        <f t="shared" si="342"/>
        <v>OK</v>
      </c>
      <c r="AV811" s="3" t="str">
        <f t="shared" si="348"/>
        <v>CLEAN</v>
      </c>
      <c r="AW811" t="str">
        <f t="shared" si="349"/>
        <v>MATCH</v>
      </c>
      <c r="AX811" t="str">
        <f t="shared" si="350"/>
        <v>MATCH</v>
      </c>
    </row>
    <row r="812" spans="1:50" ht="15.6">
      <c r="A812" s="1" t="s">
        <v>2712</v>
      </c>
      <c r="B812" s="1">
        <f t="shared" si="324"/>
        <v>1</v>
      </c>
      <c r="C812" s="16">
        <v>46001</v>
      </c>
      <c r="D812" s="16">
        <v>46001</v>
      </c>
      <c r="E812" s="16" t="str">
        <f t="shared" si="343"/>
        <v>Dec</v>
      </c>
      <c r="F812" s="1">
        <f t="shared" si="344"/>
        <v>2025</v>
      </c>
      <c r="G812" t="s">
        <v>3255</v>
      </c>
      <c r="H812" s="17">
        <v>45508</v>
      </c>
      <c r="I812" s="21">
        <f t="shared" si="345"/>
        <v>-493</v>
      </c>
      <c r="J812" s="6" t="str">
        <f t="shared" si="346"/>
        <v>INVALID_SHIPPING</v>
      </c>
      <c r="K812" s="1" t="s">
        <v>1244</v>
      </c>
      <c r="L812" s="1" t="s">
        <v>196</v>
      </c>
      <c r="M812" s="1" t="str">
        <f t="shared" si="325"/>
        <v>Diya Patel</v>
      </c>
      <c r="N812" s="1" t="s">
        <v>104</v>
      </c>
      <c r="O812" s="1" t="str">
        <f t="shared" si="326"/>
        <v>Corporate</v>
      </c>
      <c r="P812" s="1" t="s">
        <v>41</v>
      </c>
      <c r="Q812" s="1" t="str">
        <f t="shared" si="327"/>
        <v>East</v>
      </c>
      <c r="R812" s="1" t="str">
        <f t="shared" si="328"/>
        <v>OK</v>
      </c>
      <c r="S812" s="1" t="s">
        <v>174</v>
      </c>
      <c r="T812" s="1" t="str">
        <f t="shared" si="329"/>
        <v>Bihar</v>
      </c>
      <c r="U812" s="1" t="s">
        <v>175</v>
      </c>
      <c r="V812" s="1" t="str">
        <f t="shared" si="330"/>
        <v>Patna</v>
      </c>
      <c r="W812" s="1" t="s">
        <v>83</v>
      </c>
      <c r="X812" s="1" t="str">
        <f t="shared" si="331"/>
        <v>Technology</v>
      </c>
      <c r="Y812" s="1" t="s">
        <v>347</v>
      </c>
      <c r="Z812" s="1" t="str">
        <f t="shared" si="332"/>
        <v>Machines</v>
      </c>
      <c r="AA812" s="1" t="s">
        <v>2713</v>
      </c>
      <c r="AB812" s="1" t="s">
        <v>47</v>
      </c>
      <c r="AC812" s="1" t="str">
        <f t="shared" si="333"/>
        <v>Same Day</v>
      </c>
      <c r="AD812" s="1" t="str">
        <f t="shared" si="334"/>
        <v>OK</v>
      </c>
      <c r="AE812" s="1">
        <v>1</v>
      </c>
      <c r="AF812" s="1">
        <v>2570.06</v>
      </c>
      <c r="AG812" s="9">
        <v>0.2</v>
      </c>
      <c r="AH812" s="9">
        <f t="shared" si="335"/>
        <v>0.2</v>
      </c>
      <c r="AI812" s="1" t="str">
        <f t="shared" si="336"/>
        <v>OK</v>
      </c>
      <c r="AJ812" s="1">
        <v>2056.0500000000002</v>
      </c>
      <c r="AK812" s="1">
        <v>1662.39</v>
      </c>
      <c r="AL812" s="1">
        <v>393.66</v>
      </c>
      <c r="AM812" s="13">
        <f t="shared" si="337"/>
        <v>2056.0480000000002</v>
      </c>
      <c r="AN812" s="9">
        <f t="shared" si="338"/>
        <v>393.65800000000013</v>
      </c>
      <c r="AO812" s="9">
        <f t="shared" si="347"/>
        <v>0.19146342886936496</v>
      </c>
      <c r="AP812" s="1" t="s">
        <v>33</v>
      </c>
      <c r="AQ812" s="1" t="str">
        <f t="shared" si="339"/>
        <v>Paid</v>
      </c>
      <c r="AR812" s="1" t="str">
        <f t="shared" si="340"/>
        <v>OK</v>
      </c>
      <c r="AS812" s="1" t="s">
        <v>34</v>
      </c>
      <c r="AT812" s="4" t="str">
        <f t="shared" si="341"/>
        <v>Completed</v>
      </c>
      <c r="AU812" s="3" t="str">
        <f t="shared" si="342"/>
        <v>OK</v>
      </c>
      <c r="AV812" s="3" t="str">
        <f t="shared" si="348"/>
        <v>INVALID</v>
      </c>
      <c r="AW812" t="str">
        <f t="shared" si="349"/>
        <v>MATCH</v>
      </c>
      <c r="AX812" t="str">
        <f t="shared" si="350"/>
        <v>MATCH</v>
      </c>
    </row>
    <row r="813" spans="1:50" ht="15.6">
      <c r="A813" s="1" t="s">
        <v>2714</v>
      </c>
      <c r="B813" s="1">
        <f t="shared" si="324"/>
        <v>1</v>
      </c>
      <c r="C813" s="16">
        <v>45895</v>
      </c>
      <c r="D813" s="16">
        <v>45895</v>
      </c>
      <c r="E813" s="16" t="str">
        <f t="shared" si="343"/>
        <v>Aug</v>
      </c>
      <c r="F813" s="1">
        <f t="shared" si="344"/>
        <v>2025</v>
      </c>
      <c r="G813" t="s">
        <v>3258</v>
      </c>
      <c r="H813" s="17">
        <v>45645</v>
      </c>
      <c r="I813" s="21">
        <f t="shared" si="345"/>
        <v>-250</v>
      </c>
      <c r="J813" s="6" t="str">
        <f t="shared" si="346"/>
        <v>INVALID_SHIPPING</v>
      </c>
      <c r="K813" s="1" t="s">
        <v>2715</v>
      </c>
      <c r="L813" s="1" t="s">
        <v>90</v>
      </c>
      <c r="M813" s="1" t="str">
        <f t="shared" si="325"/>
        <v>Neha Gupta</v>
      </c>
      <c r="N813" s="1" t="s">
        <v>110</v>
      </c>
      <c r="O813" s="1" t="str">
        <f t="shared" si="326"/>
        <v>Home Office</v>
      </c>
      <c r="P813" s="1" t="s">
        <v>41</v>
      </c>
      <c r="Q813" s="1" t="str">
        <f t="shared" si="327"/>
        <v>East</v>
      </c>
      <c r="R813" s="1" t="str">
        <f t="shared" si="328"/>
        <v>OK</v>
      </c>
      <c r="S813" s="1" t="s">
        <v>116</v>
      </c>
      <c r="T813" s="1" t="str">
        <f t="shared" si="329"/>
        <v>West Bengal</v>
      </c>
      <c r="U813" s="1" t="s">
        <v>117</v>
      </c>
      <c r="V813" s="1" t="str">
        <f t="shared" si="330"/>
        <v>Kolkata</v>
      </c>
      <c r="W813" s="1" t="s">
        <v>44</v>
      </c>
      <c r="X813" s="1" t="str">
        <f t="shared" si="331"/>
        <v>Furniture</v>
      </c>
      <c r="Y813" s="1" t="s">
        <v>63</v>
      </c>
      <c r="Z813" s="1" t="str">
        <f t="shared" si="332"/>
        <v>Furnishings</v>
      </c>
      <c r="AA813" s="1" t="s">
        <v>2716</v>
      </c>
      <c r="AB813" s="1" t="s">
        <v>65</v>
      </c>
      <c r="AC813" s="1" t="str">
        <f t="shared" si="333"/>
        <v>Standard Class</v>
      </c>
      <c r="AD813" s="1" t="str">
        <f t="shared" si="334"/>
        <v>OK</v>
      </c>
      <c r="AE813" s="1">
        <v>4</v>
      </c>
      <c r="AF813" s="1">
        <v>2151.8200000000002</v>
      </c>
      <c r="AG813" s="9">
        <v>0</v>
      </c>
      <c r="AH813" s="9">
        <f t="shared" si="335"/>
        <v>0</v>
      </c>
      <c r="AI813" s="1" t="str">
        <f t="shared" si="336"/>
        <v>OK</v>
      </c>
      <c r="AJ813" s="1">
        <v>8607.2800000000007</v>
      </c>
      <c r="AK813" s="1">
        <v>5124.01</v>
      </c>
      <c r="AL813" s="1">
        <v>3483.27</v>
      </c>
      <c r="AM813" s="13">
        <f t="shared" si="337"/>
        <v>8607.2800000000007</v>
      </c>
      <c r="AN813" s="9">
        <f t="shared" si="338"/>
        <v>3483.2700000000004</v>
      </c>
      <c r="AO813" s="9">
        <f t="shared" si="347"/>
        <v>0.40468882155570635</v>
      </c>
      <c r="AP813" s="1" t="s">
        <v>33</v>
      </c>
      <c r="AQ813" s="1" t="str">
        <f t="shared" si="339"/>
        <v>Paid</v>
      </c>
      <c r="AR813" s="1" t="str">
        <f t="shared" si="340"/>
        <v>OK</v>
      </c>
      <c r="AS813" s="1" t="s">
        <v>34</v>
      </c>
      <c r="AT813" s="4" t="str">
        <f t="shared" si="341"/>
        <v>Completed</v>
      </c>
      <c r="AU813" s="3" t="str">
        <f t="shared" si="342"/>
        <v>OK</v>
      </c>
      <c r="AV813" s="3" t="str">
        <f t="shared" si="348"/>
        <v>INVALID</v>
      </c>
      <c r="AW813" t="str">
        <f t="shared" si="349"/>
        <v>MATCH</v>
      </c>
      <c r="AX813" t="str">
        <f t="shared" si="350"/>
        <v>MATCH</v>
      </c>
    </row>
    <row r="814" spans="1:50" ht="15.6">
      <c r="A814" s="1" t="s">
        <v>2720</v>
      </c>
      <c r="B814" s="1">
        <f t="shared" si="324"/>
        <v>1</v>
      </c>
      <c r="C814" s="16">
        <v>45846</v>
      </c>
      <c r="D814" s="16">
        <v>45846</v>
      </c>
      <c r="E814" s="16" t="str">
        <f t="shared" si="343"/>
        <v>Jul</v>
      </c>
      <c r="F814" s="1">
        <f t="shared" si="344"/>
        <v>2025</v>
      </c>
      <c r="G814" t="s">
        <v>3262</v>
      </c>
      <c r="H814" s="17">
        <v>45463</v>
      </c>
      <c r="I814" s="21">
        <f t="shared" si="345"/>
        <v>-383</v>
      </c>
      <c r="J814" s="6" t="str">
        <f t="shared" si="346"/>
        <v>INVALID_SHIPPING</v>
      </c>
      <c r="K814" s="1" t="s">
        <v>2722</v>
      </c>
      <c r="L814" s="1" t="s">
        <v>103</v>
      </c>
      <c r="M814" s="1" t="str">
        <f t="shared" si="325"/>
        <v>Aditi Sen</v>
      </c>
      <c r="N814" s="1" t="s">
        <v>110</v>
      </c>
      <c r="O814" s="1" t="str">
        <f t="shared" si="326"/>
        <v>Home Office</v>
      </c>
      <c r="P814" s="1" t="s">
        <v>41</v>
      </c>
      <c r="Q814" s="1" t="str">
        <f t="shared" si="327"/>
        <v>East</v>
      </c>
      <c r="R814" s="1" t="str">
        <f t="shared" si="328"/>
        <v>OK</v>
      </c>
      <c r="S814" s="1" t="s">
        <v>174</v>
      </c>
      <c r="T814" s="1" t="str">
        <f t="shared" si="329"/>
        <v>Bihar</v>
      </c>
      <c r="U814" s="1" t="s">
        <v>175</v>
      </c>
      <c r="V814" s="1" t="str">
        <f t="shared" si="330"/>
        <v>Patna</v>
      </c>
      <c r="W814" s="1" t="s">
        <v>29</v>
      </c>
      <c r="X814" s="1" t="str">
        <f t="shared" si="331"/>
        <v>Office Supplies</v>
      </c>
      <c r="Y814" s="1" t="s">
        <v>148</v>
      </c>
      <c r="Z814" s="1" t="str">
        <f t="shared" si="332"/>
        <v>Storage</v>
      </c>
      <c r="AA814" s="1" t="s">
        <v>2723</v>
      </c>
      <c r="AB814" s="1" t="s">
        <v>32</v>
      </c>
      <c r="AC814" s="1" t="str">
        <f t="shared" si="333"/>
        <v>Second Class</v>
      </c>
      <c r="AD814" s="1" t="str">
        <f t="shared" si="334"/>
        <v>OK</v>
      </c>
      <c r="AE814" s="1">
        <v>1</v>
      </c>
      <c r="AF814" s="1">
        <v>2541.25</v>
      </c>
      <c r="AG814" s="9">
        <v>0.2</v>
      </c>
      <c r="AH814" s="9">
        <f t="shared" si="335"/>
        <v>0.2</v>
      </c>
      <c r="AI814" s="1" t="str">
        <f t="shared" si="336"/>
        <v>OK</v>
      </c>
      <c r="AJ814" s="1">
        <v>2033</v>
      </c>
      <c r="AK814" s="1">
        <v>1291.4100000000001</v>
      </c>
      <c r="AL814" s="1">
        <v>741.59</v>
      </c>
      <c r="AM814" s="13">
        <f t="shared" si="337"/>
        <v>2033</v>
      </c>
      <c r="AN814" s="9">
        <f t="shared" si="338"/>
        <v>741.58999999999992</v>
      </c>
      <c r="AO814" s="9">
        <f t="shared" si="347"/>
        <v>0.36477619281849477</v>
      </c>
      <c r="AP814" s="1" t="s">
        <v>33</v>
      </c>
      <c r="AQ814" s="1" t="str">
        <f t="shared" si="339"/>
        <v>Paid</v>
      </c>
      <c r="AR814" s="1" t="str">
        <f t="shared" si="340"/>
        <v>OK</v>
      </c>
      <c r="AS814" s="1" t="s">
        <v>34</v>
      </c>
      <c r="AT814" s="4" t="str">
        <f t="shared" si="341"/>
        <v>Completed</v>
      </c>
      <c r="AU814" s="3" t="str">
        <f t="shared" si="342"/>
        <v>OK</v>
      </c>
      <c r="AV814" s="3" t="str">
        <f t="shared" si="348"/>
        <v>INVALID</v>
      </c>
      <c r="AW814" t="str">
        <f t="shared" si="349"/>
        <v>MATCH</v>
      </c>
      <c r="AX814" t="str">
        <f t="shared" si="350"/>
        <v>MATCH</v>
      </c>
    </row>
    <row r="815" spans="1:50" ht="15.6">
      <c r="A815" s="1" t="s">
        <v>2724</v>
      </c>
      <c r="B815" s="1">
        <f t="shared" si="324"/>
        <v>1</v>
      </c>
      <c r="C815" s="16">
        <v>45906</v>
      </c>
      <c r="D815" s="16">
        <v>45906</v>
      </c>
      <c r="E815" s="16" t="str">
        <f t="shared" si="343"/>
        <v>Sep</v>
      </c>
      <c r="F815" s="1">
        <f t="shared" si="344"/>
        <v>2025</v>
      </c>
      <c r="G815" t="s">
        <v>3266</v>
      </c>
      <c r="H815" s="17">
        <v>45757</v>
      </c>
      <c r="I815" s="21">
        <f t="shared" si="345"/>
        <v>-149</v>
      </c>
      <c r="J815" s="6" t="str">
        <f t="shared" si="346"/>
        <v>INVALID_SHIPPING</v>
      </c>
      <c r="K815" s="1" t="s">
        <v>2725</v>
      </c>
      <c r="L815" s="1" t="s">
        <v>158</v>
      </c>
      <c r="M815" s="1" t="str">
        <f t="shared" si="325"/>
        <v>Sneha Kapoor</v>
      </c>
      <c r="N815" s="1" t="s">
        <v>25</v>
      </c>
      <c r="O815" s="1" t="str">
        <f t="shared" si="326"/>
        <v>Consumer</v>
      </c>
      <c r="P815" s="1"/>
      <c r="Q815" s="1" t="str">
        <f t="shared" si="327"/>
        <v>Unknown</v>
      </c>
      <c r="R815" s="1" t="str">
        <f t="shared" si="328"/>
        <v>MISSING_REGION</v>
      </c>
      <c r="S815" s="1" t="s">
        <v>174</v>
      </c>
      <c r="T815" s="1" t="str">
        <f t="shared" si="329"/>
        <v>Bihar</v>
      </c>
      <c r="U815" s="1" t="s">
        <v>175</v>
      </c>
      <c r="V815" s="1" t="str">
        <f t="shared" si="330"/>
        <v>Patna</v>
      </c>
      <c r="W815" s="1" t="s">
        <v>29</v>
      </c>
      <c r="X815" s="1" t="str">
        <f t="shared" si="331"/>
        <v>Office Supplies</v>
      </c>
      <c r="Y815" s="1" t="s">
        <v>53</v>
      </c>
      <c r="Z815" s="1" t="str">
        <f t="shared" si="332"/>
        <v>Art</v>
      </c>
      <c r="AA815" s="1" t="s">
        <v>2726</v>
      </c>
      <c r="AB815" s="1" t="s">
        <v>55</v>
      </c>
      <c r="AC815" s="1" t="str">
        <f t="shared" si="333"/>
        <v>First Class</v>
      </c>
      <c r="AD815" s="1" t="str">
        <f t="shared" si="334"/>
        <v>OK</v>
      </c>
      <c r="AE815" s="1">
        <v>7</v>
      </c>
      <c r="AF815" s="1">
        <v>2852.42</v>
      </c>
      <c r="AG815" s="9">
        <v>0</v>
      </c>
      <c r="AH815" s="9">
        <f t="shared" si="335"/>
        <v>0</v>
      </c>
      <c r="AI815" s="1" t="str">
        <f t="shared" si="336"/>
        <v>OK</v>
      </c>
      <c r="AJ815" s="1">
        <v>19966.939999999999</v>
      </c>
      <c r="AK815" s="1">
        <v>12690.83</v>
      </c>
      <c r="AL815" s="1">
        <v>7276.11</v>
      </c>
      <c r="AM815" s="13">
        <f t="shared" si="337"/>
        <v>19966.940000000002</v>
      </c>
      <c r="AN815" s="9">
        <f t="shared" si="338"/>
        <v>7276.1100000000024</v>
      </c>
      <c r="AO815" s="9">
        <f t="shared" si="347"/>
        <v>0.36440786620283339</v>
      </c>
      <c r="AP815" s="1" t="s">
        <v>119</v>
      </c>
      <c r="AQ815" s="1" t="str">
        <f t="shared" si="339"/>
        <v>Refunded</v>
      </c>
      <c r="AR815" s="1" t="str">
        <f t="shared" si="340"/>
        <v>REFUNDED_PAYMENT</v>
      </c>
      <c r="AS815" s="1" t="s">
        <v>76</v>
      </c>
      <c r="AT815" s="4" t="str">
        <f t="shared" si="341"/>
        <v>Cancelled</v>
      </c>
      <c r="AU815" s="3" t="str">
        <f t="shared" si="342"/>
        <v>EXCLUDE_FROM_SALES</v>
      </c>
      <c r="AV815" s="3" t="str">
        <f t="shared" si="348"/>
        <v>INVALID</v>
      </c>
      <c r="AW815" t="str">
        <f t="shared" si="349"/>
        <v>MATCH</v>
      </c>
      <c r="AX815" t="str">
        <f t="shared" si="350"/>
        <v>MATCH</v>
      </c>
    </row>
    <row r="816" spans="1:50" ht="15.6" hidden="1">
      <c r="A816" s="1" t="s">
        <v>2727</v>
      </c>
      <c r="B816" s="1">
        <f t="shared" si="324"/>
        <v>1</v>
      </c>
      <c r="C816" s="16">
        <v>45678</v>
      </c>
      <c r="D816" s="16">
        <v>45678</v>
      </c>
      <c r="E816" s="16" t="str">
        <f t="shared" si="343"/>
        <v>Jan</v>
      </c>
      <c r="F816" s="1">
        <f t="shared" si="344"/>
        <v>2025</v>
      </c>
      <c r="G816" t="s">
        <v>524</v>
      </c>
      <c r="H816" s="17">
        <v>45880</v>
      </c>
      <c r="I816" s="21">
        <f t="shared" si="345"/>
        <v>202</v>
      </c>
      <c r="J816" s="6" t="str">
        <f t="shared" si="346"/>
        <v>OK</v>
      </c>
      <c r="K816" s="1" t="s">
        <v>2728</v>
      </c>
      <c r="L816" s="1" t="s">
        <v>196</v>
      </c>
      <c r="M816" s="1" t="str">
        <f t="shared" si="325"/>
        <v>Diya Patel</v>
      </c>
      <c r="N816" s="1" t="s">
        <v>104</v>
      </c>
      <c r="O816" s="1" t="str">
        <f t="shared" si="326"/>
        <v>Corporate</v>
      </c>
      <c r="P816" s="1" t="s">
        <v>60</v>
      </c>
      <c r="Q816" s="1" t="str">
        <f t="shared" si="327"/>
        <v>South</v>
      </c>
      <c r="R816" s="1" t="str">
        <f t="shared" si="328"/>
        <v>OK</v>
      </c>
      <c r="S816" s="1" t="s">
        <v>212</v>
      </c>
      <c r="T816" s="1" t="str">
        <f t="shared" si="329"/>
        <v>Karnataka</v>
      </c>
      <c r="U816" s="1" t="s">
        <v>213</v>
      </c>
      <c r="V816" s="1" t="str">
        <f t="shared" si="330"/>
        <v>Bengaluru</v>
      </c>
      <c r="W816" s="1" t="s">
        <v>83</v>
      </c>
      <c r="X816" s="1" t="str">
        <f t="shared" si="331"/>
        <v>Technology</v>
      </c>
      <c r="Y816" s="1" t="s">
        <v>207</v>
      </c>
      <c r="Z816" s="1" t="str">
        <f t="shared" si="332"/>
        <v>Phones</v>
      </c>
      <c r="AA816" s="1" t="s">
        <v>2729</v>
      </c>
      <c r="AB816" s="1" t="s">
        <v>32</v>
      </c>
      <c r="AC816" s="1" t="str">
        <f t="shared" si="333"/>
        <v>Second Class</v>
      </c>
      <c r="AD816" s="1" t="str">
        <f t="shared" si="334"/>
        <v>OK</v>
      </c>
      <c r="AE816" s="1">
        <v>2</v>
      </c>
      <c r="AF816" s="1">
        <v>444.31</v>
      </c>
      <c r="AG816" s="9">
        <v>0.2</v>
      </c>
      <c r="AH816" s="9">
        <f t="shared" si="335"/>
        <v>0.2</v>
      </c>
      <c r="AI816" s="1" t="str">
        <f t="shared" si="336"/>
        <v>OK</v>
      </c>
      <c r="AJ816" s="1">
        <v>710.9</v>
      </c>
      <c r="AK816" s="1">
        <v>513.88</v>
      </c>
      <c r="AL816" s="1">
        <v>197.02</v>
      </c>
      <c r="AM816" s="13">
        <f t="shared" si="337"/>
        <v>710.89600000000007</v>
      </c>
      <c r="AN816" s="9">
        <f t="shared" si="338"/>
        <v>197.01600000000008</v>
      </c>
      <c r="AO816" s="9">
        <f t="shared" si="347"/>
        <v>0.27713758411919615</v>
      </c>
      <c r="AP816" s="1" t="s">
        <v>119</v>
      </c>
      <c r="AQ816" s="1" t="str">
        <f t="shared" si="339"/>
        <v>Refunded</v>
      </c>
      <c r="AR816" s="1" t="str">
        <f t="shared" si="340"/>
        <v>REFUNDED_PAYMENT</v>
      </c>
      <c r="AS816" s="1" t="s">
        <v>76</v>
      </c>
      <c r="AT816" s="4" t="str">
        <f t="shared" si="341"/>
        <v>Cancelled</v>
      </c>
      <c r="AU816" s="3" t="str">
        <f t="shared" si="342"/>
        <v>EXCLUDE_FROM_SALES</v>
      </c>
      <c r="AV816" s="3" t="str">
        <f t="shared" si="348"/>
        <v>CLEAN</v>
      </c>
      <c r="AW816" t="str">
        <f t="shared" si="349"/>
        <v>MATCH</v>
      </c>
      <c r="AX816" t="str">
        <f t="shared" si="350"/>
        <v>MATCH</v>
      </c>
    </row>
    <row r="817" spans="1:50" ht="15.6">
      <c r="A817" s="1" t="s">
        <v>2730</v>
      </c>
      <c r="B817" s="1">
        <f t="shared" si="324"/>
        <v>1</v>
      </c>
      <c r="C817" s="16">
        <v>45853</v>
      </c>
      <c r="D817" s="16">
        <v>45853</v>
      </c>
      <c r="E817" s="16" t="str">
        <f t="shared" si="343"/>
        <v>Jul</v>
      </c>
      <c r="F817" s="1">
        <f t="shared" si="344"/>
        <v>2025</v>
      </c>
      <c r="G817" t="s">
        <v>3272</v>
      </c>
      <c r="H817" s="17">
        <v>45390</v>
      </c>
      <c r="I817" s="21">
        <f t="shared" si="345"/>
        <v>-463</v>
      </c>
      <c r="J817" s="6" t="str">
        <f t="shared" si="346"/>
        <v>INVALID_SHIPPING</v>
      </c>
      <c r="K817" s="1" t="s">
        <v>2732</v>
      </c>
      <c r="L817" s="1" t="s">
        <v>59</v>
      </c>
      <c r="M817" s="1" t="str">
        <f t="shared" si="325"/>
        <v>Arjun Bose</v>
      </c>
      <c r="N817" s="1" t="s">
        <v>40</v>
      </c>
      <c r="O817" s="1" t="str">
        <f t="shared" si="326"/>
        <v>Small Business</v>
      </c>
      <c r="P817" s="1" t="s">
        <v>41</v>
      </c>
      <c r="Q817" s="1" t="str">
        <f t="shared" si="327"/>
        <v>East</v>
      </c>
      <c r="R817" s="1" t="str">
        <f t="shared" si="328"/>
        <v>OK</v>
      </c>
      <c r="S817" s="1" t="s">
        <v>284</v>
      </c>
      <c r="T817" s="1" t="str">
        <f t="shared" si="329"/>
        <v>Jharkhand</v>
      </c>
      <c r="U817" s="1" t="s">
        <v>285</v>
      </c>
      <c r="V817" s="1" t="str">
        <f t="shared" si="330"/>
        <v>Ranchi</v>
      </c>
      <c r="W817" s="1" t="s">
        <v>83</v>
      </c>
      <c r="X817" s="1" t="str">
        <f t="shared" si="331"/>
        <v>Technology</v>
      </c>
      <c r="Y817" s="1" t="s">
        <v>207</v>
      </c>
      <c r="Z817" s="1" t="str">
        <f t="shared" si="332"/>
        <v>Phones</v>
      </c>
      <c r="AA817" s="1" t="s">
        <v>2733</v>
      </c>
      <c r="AB817" s="1" t="s">
        <v>47</v>
      </c>
      <c r="AC817" s="1" t="str">
        <f t="shared" si="333"/>
        <v>Same Day</v>
      </c>
      <c r="AD817" s="1" t="str">
        <f t="shared" si="334"/>
        <v>OK</v>
      </c>
      <c r="AE817" s="1">
        <v>4</v>
      </c>
      <c r="AF817" s="1">
        <v>4442.91</v>
      </c>
      <c r="AG817" s="9">
        <v>0.1</v>
      </c>
      <c r="AH817" s="9">
        <f t="shared" si="335"/>
        <v>0.1</v>
      </c>
      <c r="AI817" s="1" t="str">
        <f t="shared" si="336"/>
        <v>OK</v>
      </c>
      <c r="AJ817" s="1">
        <v>15994.48</v>
      </c>
      <c r="AK817" s="1">
        <v>9224.2800000000007</v>
      </c>
      <c r="AL817" s="1">
        <v>6770.2</v>
      </c>
      <c r="AM817" s="13">
        <f t="shared" si="337"/>
        <v>15994.476000000001</v>
      </c>
      <c r="AN817" s="9">
        <f t="shared" si="338"/>
        <v>6770.1959999999999</v>
      </c>
      <c r="AO817" s="9">
        <f t="shared" si="347"/>
        <v>0.42328338858991066</v>
      </c>
      <c r="AP817" s="1" t="s">
        <v>33</v>
      </c>
      <c r="AQ817" s="1" t="str">
        <f t="shared" si="339"/>
        <v>Paid</v>
      </c>
      <c r="AR817" s="1" t="str">
        <f t="shared" si="340"/>
        <v>OK</v>
      </c>
      <c r="AS817" s="1" t="s">
        <v>34</v>
      </c>
      <c r="AT817" s="4" t="str">
        <f t="shared" si="341"/>
        <v>Completed</v>
      </c>
      <c r="AU817" s="3" t="str">
        <f t="shared" si="342"/>
        <v>OK</v>
      </c>
      <c r="AV817" s="3" t="str">
        <f t="shared" si="348"/>
        <v>INVALID</v>
      </c>
      <c r="AW817" t="str">
        <f t="shared" si="349"/>
        <v>MATCH</v>
      </c>
      <c r="AX817" t="str">
        <f t="shared" si="350"/>
        <v>MATCH</v>
      </c>
    </row>
    <row r="818" spans="1:50" ht="15.6">
      <c r="A818" s="1" t="s">
        <v>2749</v>
      </c>
      <c r="B818" s="1">
        <f t="shared" si="324"/>
        <v>1</v>
      </c>
      <c r="C818" s="16">
        <v>45670</v>
      </c>
      <c r="D818" s="16">
        <v>45670</v>
      </c>
      <c r="E818" s="16" t="str">
        <f t="shared" si="343"/>
        <v>Jan</v>
      </c>
      <c r="F818" s="1">
        <f t="shared" si="344"/>
        <v>2025</v>
      </c>
      <c r="G818" t="s">
        <v>3276</v>
      </c>
      <c r="H818" s="17">
        <v>45626</v>
      </c>
      <c r="I818" s="21">
        <f t="shared" si="345"/>
        <v>-44</v>
      </c>
      <c r="J818" s="6" t="str">
        <f t="shared" si="346"/>
        <v>INVALID_SHIPPING</v>
      </c>
      <c r="K818" s="1" t="s">
        <v>2751</v>
      </c>
      <c r="L818" s="1" t="s">
        <v>141</v>
      </c>
      <c r="M818" s="1" t="str">
        <f t="shared" si="325"/>
        <v>Rahul Verma</v>
      </c>
      <c r="N818" s="1" t="s">
        <v>110</v>
      </c>
      <c r="O818" s="1" t="str">
        <f t="shared" si="326"/>
        <v>Home Office</v>
      </c>
      <c r="P818" s="1" t="s">
        <v>71</v>
      </c>
      <c r="Q818" s="1" t="str">
        <f t="shared" si="327"/>
        <v>West</v>
      </c>
      <c r="R818" s="1" t="str">
        <f t="shared" si="328"/>
        <v>OK</v>
      </c>
      <c r="S818" s="1" t="s">
        <v>218</v>
      </c>
      <c r="T818" s="1" t="str">
        <f t="shared" si="329"/>
        <v>Gujarat</v>
      </c>
      <c r="U818" s="1" t="s">
        <v>219</v>
      </c>
      <c r="V818" s="1" t="str">
        <f t="shared" si="330"/>
        <v>Ahmedabad</v>
      </c>
      <c r="W818" s="1" t="s">
        <v>29</v>
      </c>
      <c r="X818" s="1" t="str">
        <f t="shared" si="331"/>
        <v>Office Supplies</v>
      </c>
      <c r="Y818" s="1" t="s">
        <v>53</v>
      </c>
      <c r="Z818" s="1" t="str">
        <f t="shared" si="332"/>
        <v>Art</v>
      </c>
      <c r="AA818" s="1" t="s">
        <v>2752</v>
      </c>
      <c r="AB818" s="1" t="s">
        <v>65</v>
      </c>
      <c r="AC818" s="1" t="str">
        <f t="shared" si="333"/>
        <v>Standard Class</v>
      </c>
      <c r="AD818" s="1" t="str">
        <f t="shared" si="334"/>
        <v>OK</v>
      </c>
      <c r="AE818" s="1">
        <v>3</v>
      </c>
      <c r="AF818" s="1">
        <v>2110.52</v>
      </c>
      <c r="AG818" s="9">
        <v>0.1</v>
      </c>
      <c r="AH818" s="9">
        <f t="shared" si="335"/>
        <v>0.1</v>
      </c>
      <c r="AI818" s="1" t="str">
        <f t="shared" si="336"/>
        <v>OK</v>
      </c>
      <c r="AJ818" s="1">
        <v>5698.4</v>
      </c>
      <c r="AK818" s="1">
        <v>3640.89</v>
      </c>
      <c r="AL818" s="1">
        <v>2057.5100000000002</v>
      </c>
      <c r="AM818" s="13">
        <f t="shared" si="337"/>
        <v>5698.4039999999995</v>
      </c>
      <c r="AN818" s="9">
        <f t="shared" si="338"/>
        <v>2057.5139999999997</v>
      </c>
      <c r="AO818" s="9">
        <f t="shared" si="347"/>
        <v>0.36106846759197836</v>
      </c>
      <c r="AP818" s="1" t="s">
        <v>186</v>
      </c>
      <c r="AQ818" s="1" t="str">
        <f t="shared" si="339"/>
        <v>Failed</v>
      </c>
      <c r="AR818" s="1" t="str">
        <f t="shared" si="340"/>
        <v>EXCLUDE_FROM_SALES</v>
      </c>
      <c r="AS818" s="1" t="s">
        <v>76</v>
      </c>
      <c r="AT818" s="4" t="str">
        <f t="shared" si="341"/>
        <v>Cancelled</v>
      </c>
      <c r="AU818" s="3" t="str">
        <f t="shared" si="342"/>
        <v>EXCLUDE_FROM_SALES</v>
      </c>
      <c r="AV818" s="3" t="str">
        <f t="shared" si="348"/>
        <v>INVALID</v>
      </c>
      <c r="AW818" t="str">
        <f t="shared" si="349"/>
        <v>MATCH</v>
      </c>
      <c r="AX818" t="str">
        <f t="shared" si="350"/>
        <v>MATCH</v>
      </c>
    </row>
    <row r="819" spans="1:50" ht="15.6">
      <c r="A819" s="1" t="s">
        <v>2756</v>
      </c>
      <c r="B819" s="1">
        <f t="shared" si="324"/>
        <v>1</v>
      </c>
      <c r="C819" s="16">
        <v>45797</v>
      </c>
      <c r="D819" s="16">
        <v>45797</v>
      </c>
      <c r="E819" s="16" t="str">
        <f t="shared" si="343"/>
        <v>May</v>
      </c>
      <c r="F819" s="1">
        <f t="shared" si="344"/>
        <v>2025</v>
      </c>
      <c r="G819" t="s">
        <v>3280</v>
      </c>
      <c r="H819" s="17">
        <v>45752</v>
      </c>
      <c r="I819" s="21">
        <f t="shared" si="345"/>
        <v>-45</v>
      </c>
      <c r="J819" s="6" t="str">
        <f t="shared" si="346"/>
        <v>INVALID_SHIPPING</v>
      </c>
      <c r="K819" s="1" t="s">
        <v>2758</v>
      </c>
      <c r="L819" s="1" t="s">
        <v>196</v>
      </c>
      <c r="M819" s="1" t="str">
        <f t="shared" si="325"/>
        <v>Diya Patel</v>
      </c>
      <c r="N819" s="1" t="s">
        <v>40</v>
      </c>
      <c r="O819" s="1" t="str">
        <f t="shared" si="326"/>
        <v>Small Business</v>
      </c>
      <c r="P819" s="1" t="s">
        <v>41</v>
      </c>
      <c r="Q819" s="1" t="str">
        <f t="shared" si="327"/>
        <v>East</v>
      </c>
      <c r="R819" s="1" t="str">
        <f t="shared" si="328"/>
        <v>OK</v>
      </c>
      <c r="S819" s="1" t="s">
        <v>174</v>
      </c>
      <c r="T819" s="1" t="str">
        <f t="shared" si="329"/>
        <v>Bihar</v>
      </c>
      <c r="U819" s="1" t="s">
        <v>175</v>
      </c>
      <c r="V819" s="1" t="str">
        <f t="shared" si="330"/>
        <v>Patna</v>
      </c>
      <c r="W819" s="1" t="s">
        <v>83</v>
      </c>
      <c r="X819" s="1" t="str">
        <f t="shared" si="331"/>
        <v>Technology</v>
      </c>
      <c r="Y819" s="1" t="s">
        <v>347</v>
      </c>
      <c r="Z819" s="1" t="str">
        <f t="shared" si="332"/>
        <v>Machines</v>
      </c>
      <c r="AA819" s="1" t="s">
        <v>2759</v>
      </c>
      <c r="AB819" s="1" t="s">
        <v>65</v>
      </c>
      <c r="AC819" s="1" t="str">
        <f t="shared" si="333"/>
        <v>Standard Class</v>
      </c>
      <c r="AD819" s="1" t="str">
        <f t="shared" si="334"/>
        <v>OK</v>
      </c>
      <c r="AE819" s="1">
        <v>1</v>
      </c>
      <c r="AF819" s="1">
        <v>3959.14</v>
      </c>
      <c r="AG819" s="9">
        <v>0</v>
      </c>
      <c r="AH819" s="9">
        <f t="shared" si="335"/>
        <v>0</v>
      </c>
      <c r="AI819" s="1" t="str">
        <f t="shared" si="336"/>
        <v>OK</v>
      </c>
      <c r="AJ819" s="1">
        <v>3959.14</v>
      </c>
      <c r="AK819" s="1">
        <v>3239.53</v>
      </c>
      <c r="AL819" s="1">
        <v>719.61</v>
      </c>
      <c r="AM819" s="13">
        <f t="shared" si="337"/>
        <v>3959.14</v>
      </c>
      <c r="AN819" s="9">
        <f t="shared" si="338"/>
        <v>719.60999999999967</v>
      </c>
      <c r="AO819" s="9">
        <f t="shared" si="347"/>
        <v>0.18175916992074029</v>
      </c>
      <c r="AP819" s="1" t="s">
        <v>131</v>
      </c>
      <c r="AQ819" s="1" t="str">
        <f t="shared" si="339"/>
        <v>Pending</v>
      </c>
      <c r="AR819" s="1" t="str">
        <f t="shared" si="340"/>
        <v>OK</v>
      </c>
      <c r="AS819" s="1" t="s">
        <v>120</v>
      </c>
      <c r="AT819" s="4" t="str">
        <f t="shared" si="341"/>
        <v>Returned</v>
      </c>
      <c r="AU819" s="3" t="str">
        <f t="shared" si="342"/>
        <v>RETURNED_ORDER</v>
      </c>
      <c r="AV819" s="3" t="str">
        <f t="shared" si="348"/>
        <v>INVALID</v>
      </c>
      <c r="AW819" t="str">
        <f t="shared" si="349"/>
        <v>MATCH</v>
      </c>
      <c r="AX819" t="str">
        <f t="shared" si="350"/>
        <v>MATCH</v>
      </c>
    </row>
    <row r="820" spans="1:50" ht="15.6">
      <c r="A820" s="1" t="s">
        <v>2767</v>
      </c>
      <c r="B820" s="1">
        <f t="shared" si="324"/>
        <v>1</v>
      </c>
      <c r="C820" s="16">
        <v>45690</v>
      </c>
      <c r="D820" s="16">
        <v>45690</v>
      </c>
      <c r="E820" s="16" t="str">
        <f t="shared" si="343"/>
        <v>Feb</v>
      </c>
      <c r="F820" s="1">
        <f t="shared" si="344"/>
        <v>2025</v>
      </c>
      <c r="G820" t="s">
        <v>2834</v>
      </c>
      <c r="H820" s="17">
        <v>45422</v>
      </c>
      <c r="I820" s="21">
        <f t="shared" si="345"/>
        <v>-268</v>
      </c>
      <c r="J820" s="6" t="str">
        <f t="shared" si="346"/>
        <v>INVALID_SHIPPING</v>
      </c>
      <c r="K820" s="1" t="s">
        <v>2133</v>
      </c>
      <c r="L820" s="1" t="s">
        <v>158</v>
      </c>
      <c r="M820" s="1" t="str">
        <f t="shared" si="325"/>
        <v>Sneha Kapoor</v>
      </c>
      <c r="N820" s="1" t="s">
        <v>104</v>
      </c>
      <c r="O820" s="1" t="str">
        <f t="shared" si="326"/>
        <v>Corporate</v>
      </c>
      <c r="P820" s="1" t="s">
        <v>26</v>
      </c>
      <c r="Q820" s="1" t="str">
        <f t="shared" si="327"/>
        <v>North</v>
      </c>
      <c r="R820" s="1" t="str">
        <f t="shared" si="328"/>
        <v>OK</v>
      </c>
      <c r="S820" s="1" t="s">
        <v>163</v>
      </c>
      <c r="T820" s="1" t="str">
        <f t="shared" si="329"/>
        <v>Uttar Pradesh</v>
      </c>
      <c r="U820" s="1" t="s">
        <v>164</v>
      </c>
      <c r="V820" s="1" t="str">
        <f t="shared" si="330"/>
        <v>Noida</v>
      </c>
      <c r="W820" s="1" t="s">
        <v>44</v>
      </c>
      <c r="X820" s="1" t="str">
        <f t="shared" si="331"/>
        <v>Furniture</v>
      </c>
      <c r="Y820" s="1" t="s">
        <v>45</v>
      </c>
      <c r="Z820" s="1" t="str">
        <f t="shared" si="332"/>
        <v>Tables</v>
      </c>
      <c r="AA820" s="1" t="s">
        <v>2768</v>
      </c>
      <c r="AB820" s="1" t="s">
        <v>65</v>
      </c>
      <c r="AC820" s="1" t="str">
        <f t="shared" si="333"/>
        <v>Standard Class</v>
      </c>
      <c r="AD820" s="1" t="str">
        <f t="shared" si="334"/>
        <v>OK</v>
      </c>
      <c r="AE820" s="1">
        <v>8</v>
      </c>
      <c r="AF820" s="1">
        <v>857.86</v>
      </c>
      <c r="AG820" s="9">
        <v>0.1</v>
      </c>
      <c r="AH820" s="9">
        <f t="shared" si="335"/>
        <v>0.1</v>
      </c>
      <c r="AI820" s="1" t="str">
        <f t="shared" si="336"/>
        <v>OK</v>
      </c>
      <c r="AJ820" s="1">
        <v>6176.59</v>
      </c>
      <c r="AK820" s="1">
        <v>3560.96</v>
      </c>
      <c r="AL820" s="1">
        <v>2615.63</v>
      </c>
      <c r="AM820" s="13">
        <f t="shared" si="337"/>
        <v>6176.5920000000006</v>
      </c>
      <c r="AN820" s="9">
        <f t="shared" si="338"/>
        <v>2615.6320000000005</v>
      </c>
      <c r="AO820" s="9">
        <f t="shared" si="347"/>
        <v>0.42347495188285067</v>
      </c>
      <c r="AP820" s="1" t="s">
        <v>33</v>
      </c>
      <c r="AQ820" s="1" t="str">
        <f t="shared" si="339"/>
        <v>Paid</v>
      </c>
      <c r="AR820" s="1" t="str">
        <f t="shared" si="340"/>
        <v>OK</v>
      </c>
      <c r="AS820" s="1" t="s">
        <v>34</v>
      </c>
      <c r="AT820" s="4" t="str">
        <f t="shared" si="341"/>
        <v>Completed</v>
      </c>
      <c r="AU820" s="3" t="str">
        <f t="shared" si="342"/>
        <v>OK</v>
      </c>
      <c r="AV820" s="3" t="str">
        <f t="shared" si="348"/>
        <v>INVALID</v>
      </c>
      <c r="AW820" t="str">
        <f t="shared" si="349"/>
        <v>MATCH</v>
      </c>
      <c r="AX820" t="str">
        <f t="shared" si="350"/>
        <v>MATCH</v>
      </c>
    </row>
    <row r="821" spans="1:50" ht="15.6">
      <c r="A821" s="1" t="s">
        <v>2778</v>
      </c>
      <c r="B821" s="1">
        <f t="shared" si="324"/>
        <v>1</v>
      </c>
      <c r="C821" s="16">
        <v>45701</v>
      </c>
      <c r="D821" s="16">
        <v>45701</v>
      </c>
      <c r="E821" s="16" t="str">
        <f t="shared" si="343"/>
        <v>Feb</v>
      </c>
      <c r="F821" s="1">
        <f t="shared" si="344"/>
        <v>2025</v>
      </c>
      <c r="G821" t="s">
        <v>3287</v>
      </c>
      <c r="H821" s="17">
        <v>45504</v>
      </c>
      <c r="I821" s="21">
        <f t="shared" si="345"/>
        <v>-197</v>
      </c>
      <c r="J821" s="6" t="str">
        <f t="shared" si="346"/>
        <v>INVALID_SHIPPING</v>
      </c>
      <c r="K821" s="1" t="s">
        <v>2780</v>
      </c>
      <c r="L821" s="1" t="s">
        <v>59</v>
      </c>
      <c r="M821" s="1" t="str">
        <f t="shared" si="325"/>
        <v>Arjun Bose</v>
      </c>
      <c r="N821" s="1" t="s">
        <v>40</v>
      </c>
      <c r="O821" s="1" t="str">
        <f t="shared" si="326"/>
        <v>Small Business</v>
      </c>
      <c r="P821" s="1" t="s">
        <v>71</v>
      </c>
      <c r="Q821" s="1" t="str">
        <f t="shared" si="327"/>
        <v>West</v>
      </c>
      <c r="R821" s="1" t="str">
        <f t="shared" si="328"/>
        <v>OK</v>
      </c>
      <c r="S821" s="1" t="s">
        <v>27</v>
      </c>
      <c r="T821" s="1" t="str">
        <f t="shared" si="329"/>
        <v>Rajasthan</v>
      </c>
      <c r="U821" s="1" t="s">
        <v>129</v>
      </c>
      <c r="V821" s="1" t="str">
        <f t="shared" si="330"/>
        <v>Udaipur</v>
      </c>
      <c r="W821" s="1" t="s">
        <v>44</v>
      </c>
      <c r="X821" s="1" t="str">
        <f t="shared" si="331"/>
        <v>Furniture</v>
      </c>
      <c r="Y821" s="1" t="s">
        <v>190</v>
      </c>
      <c r="Z821" s="1" t="str">
        <f t="shared" si="332"/>
        <v>Bookcases</v>
      </c>
      <c r="AA821" s="1" t="s">
        <v>2781</v>
      </c>
      <c r="AB821" s="1" t="s">
        <v>32</v>
      </c>
      <c r="AC821" s="1" t="str">
        <f t="shared" si="333"/>
        <v>Second Class</v>
      </c>
      <c r="AD821" s="1" t="str">
        <f t="shared" si="334"/>
        <v>OK</v>
      </c>
      <c r="AE821" s="1">
        <v>4</v>
      </c>
      <c r="AF821" s="1">
        <v>4072.9</v>
      </c>
      <c r="AG821" s="9">
        <v>0.15</v>
      </c>
      <c r="AH821" s="9">
        <f t="shared" si="335"/>
        <v>0.15</v>
      </c>
      <c r="AI821" s="1" t="str">
        <f t="shared" si="336"/>
        <v>OK</v>
      </c>
      <c r="AJ821" s="1">
        <v>13847.86</v>
      </c>
      <c r="AK821" s="1">
        <v>8471.7800000000007</v>
      </c>
      <c r="AL821" s="1">
        <v>5376.08</v>
      </c>
      <c r="AM821" s="13">
        <f t="shared" si="337"/>
        <v>13847.86</v>
      </c>
      <c r="AN821" s="9">
        <f t="shared" si="338"/>
        <v>5376.08</v>
      </c>
      <c r="AO821" s="9">
        <f t="shared" si="347"/>
        <v>0.38822460654570451</v>
      </c>
      <c r="AP821" s="1" t="s">
        <v>33</v>
      </c>
      <c r="AQ821" s="1" t="str">
        <f t="shared" si="339"/>
        <v>Paid</v>
      </c>
      <c r="AR821" s="1" t="str">
        <f t="shared" si="340"/>
        <v>OK</v>
      </c>
      <c r="AS821" s="1" t="s">
        <v>34</v>
      </c>
      <c r="AT821" s="4" t="str">
        <f t="shared" si="341"/>
        <v>Completed</v>
      </c>
      <c r="AU821" s="3" t="str">
        <f t="shared" si="342"/>
        <v>OK</v>
      </c>
      <c r="AV821" s="3" t="str">
        <f t="shared" si="348"/>
        <v>INVALID</v>
      </c>
      <c r="AW821" t="str">
        <f t="shared" si="349"/>
        <v>MATCH</v>
      </c>
      <c r="AX821" t="str">
        <f t="shared" si="350"/>
        <v>MATCH</v>
      </c>
    </row>
    <row r="822" spans="1:50" ht="15.6" hidden="1">
      <c r="A822" s="1" t="s">
        <v>2786</v>
      </c>
      <c r="B822" s="1">
        <f t="shared" si="324"/>
        <v>1</v>
      </c>
      <c r="C822" s="16">
        <v>45815</v>
      </c>
      <c r="D822" s="16">
        <v>45815</v>
      </c>
      <c r="E822" s="16" t="str">
        <f t="shared" si="343"/>
        <v>Jun</v>
      </c>
      <c r="F822" s="1">
        <f t="shared" si="344"/>
        <v>2025</v>
      </c>
      <c r="G822" t="s">
        <v>3292</v>
      </c>
      <c r="H822" s="17">
        <v>45932</v>
      </c>
      <c r="I822" s="21">
        <f t="shared" si="345"/>
        <v>117</v>
      </c>
      <c r="J822" s="6" t="str">
        <f t="shared" si="346"/>
        <v>OK</v>
      </c>
      <c r="K822" s="1" t="s">
        <v>2663</v>
      </c>
      <c r="L822" s="1" t="s">
        <v>153</v>
      </c>
      <c r="M822" s="1" t="str">
        <f t="shared" si="325"/>
        <v>Aarav Sharma</v>
      </c>
      <c r="N822" s="1" t="s">
        <v>25</v>
      </c>
      <c r="O822" s="1" t="str">
        <f t="shared" si="326"/>
        <v>Consumer</v>
      </c>
      <c r="P822" s="1" t="s">
        <v>26</v>
      </c>
      <c r="Q822" s="1" t="str">
        <f t="shared" si="327"/>
        <v>North</v>
      </c>
      <c r="R822" s="1" t="str">
        <f t="shared" si="328"/>
        <v>OK</v>
      </c>
      <c r="S822" s="1" t="s">
        <v>27</v>
      </c>
      <c r="T822" s="1" t="str">
        <f t="shared" si="329"/>
        <v>Rajasthan</v>
      </c>
      <c r="U822" s="1" t="s">
        <v>28</v>
      </c>
      <c r="V822" s="1" t="str">
        <f t="shared" si="330"/>
        <v>Jaipur</v>
      </c>
      <c r="W822" s="1" t="s">
        <v>44</v>
      </c>
      <c r="X822" s="1" t="str">
        <f t="shared" si="331"/>
        <v>Furniture</v>
      </c>
      <c r="Y822" s="1" t="s">
        <v>63</v>
      </c>
      <c r="Z822" s="1" t="str">
        <f t="shared" si="332"/>
        <v>Furnishings</v>
      </c>
      <c r="AA822" s="1" t="s">
        <v>2788</v>
      </c>
      <c r="AB822" s="1" t="s">
        <v>47</v>
      </c>
      <c r="AC822" s="1" t="str">
        <f t="shared" si="333"/>
        <v>Same Day</v>
      </c>
      <c r="AD822" s="1" t="str">
        <f t="shared" si="334"/>
        <v>OK</v>
      </c>
      <c r="AE822" s="1">
        <v>3</v>
      </c>
      <c r="AF822" s="1">
        <v>963.26</v>
      </c>
      <c r="AG822" s="9">
        <v>0</v>
      </c>
      <c r="AH822" s="9">
        <f t="shared" si="335"/>
        <v>0</v>
      </c>
      <c r="AI822" s="1" t="str">
        <f t="shared" si="336"/>
        <v>OK</v>
      </c>
      <c r="AJ822" s="1">
        <v>2889.78</v>
      </c>
      <c r="AK822" s="1">
        <v>1811.23</v>
      </c>
      <c r="AL822" s="1">
        <v>1078.55</v>
      </c>
      <c r="AM822" s="13">
        <f t="shared" si="337"/>
        <v>2889.7799999999997</v>
      </c>
      <c r="AN822" s="9">
        <f t="shared" si="338"/>
        <v>1078.5499999999997</v>
      </c>
      <c r="AO822" s="9">
        <f t="shared" si="347"/>
        <v>0.37322910394562903</v>
      </c>
      <c r="AP822" s="1" t="s">
        <v>33</v>
      </c>
      <c r="AQ822" s="1" t="str">
        <f t="shared" si="339"/>
        <v>Paid</v>
      </c>
      <c r="AR822" s="1" t="str">
        <f t="shared" si="340"/>
        <v>OK</v>
      </c>
      <c r="AS822" s="1" t="s">
        <v>34</v>
      </c>
      <c r="AT822" s="4" t="str">
        <f t="shared" si="341"/>
        <v>Completed</v>
      </c>
      <c r="AU822" s="3" t="str">
        <f t="shared" si="342"/>
        <v>OK</v>
      </c>
      <c r="AV822" s="3" t="str">
        <f t="shared" si="348"/>
        <v>CLEAN</v>
      </c>
      <c r="AW822" t="str">
        <f t="shared" si="349"/>
        <v>MATCH</v>
      </c>
      <c r="AX822" t="str">
        <f t="shared" si="350"/>
        <v>MATCH</v>
      </c>
    </row>
    <row r="823" spans="1:50" ht="15.6">
      <c r="A823" s="1" t="s">
        <v>2789</v>
      </c>
      <c r="B823" s="1">
        <f t="shared" si="324"/>
        <v>2</v>
      </c>
      <c r="C823" s="16">
        <v>45970</v>
      </c>
      <c r="D823" s="16">
        <v>45970</v>
      </c>
      <c r="E823" s="16" t="str">
        <f t="shared" si="343"/>
        <v>Nov</v>
      </c>
      <c r="F823" s="1">
        <f t="shared" si="344"/>
        <v>2025</v>
      </c>
      <c r="G823" t="s">
        <v>3297</v>
      </c>
      <c r="H823" s="17">
        <v>45450</v>
      </c>
      <c r="I823" s="21">
        <f t="shared" si="345"/>
        <v>-520</v>
      </c>
      <c r="J823" s="6" t="str">
        <f t="shared" si="346"/>
        <v>INVALID_SHIPPING</v>
      </c>
      <c r="K823" s="1" t="s">
        <v>2791</v>
      </c>
      <c r="L823" s="1" t="s">
        <v>141</v>
      </c>
      <c r="M823" s="1" t="str">
        <f t="shared" si="325"/>
        <v>Rahul Verma</v>
      </c>
      <c r="N823" s="1" t="s">
        <v>40</v>
      </c>
      <c r="O823" s="1" t="str">
        <f t="shared" si="326"/>
        <v>Small Business</v>
      </c>
      <c r="P823" s="1" t="s">
        <v>26</v>
      </c>
      <c r="Q823" s="1" t="str">
        <f t="shared" si="327"/>
        <v>North</v>
      </c>
      <c r="R823" s="1" t="str">
        <f t="shared" si="328"/>
        <v>OK</v>
      </c>
      <c r="S823" s="1" t="s">
        <v>454</v>
      </c>
      <c r="T823" s="1" t="str">
        <f t="shared" si="329"/>
        <v>Delhi</v>
      </c>
      <c r="U823" s="1" t="s">
        <v>455</v>
      </c>
      <c r="V823" s="1" t="str">
        <f t="shared" si="330"/>
        <v>New Delhi</v>
      </c>
      <c r="W823" s="1" t="s">
        <v>83</v>
      </c>
      <c r="X823" s="1" t="str">
        <f t="shared" si="331"/>
        <v>Technology</v>
      </c>
      <c r="Y823" s="1" t="s">
        <v>207</v>
      </c>
      <c r="Z823" s="1" t="str">
        <f t="shared" si="332"/>
        <v>Phones</v>
      </c>
      <c r="AA823" s="1" t="s">
        <v>2792</v>
      </c>
      <c r="AB823" s="1" t="s">
        <v>47</v>
      </c>
      <c r="AC823" s="1" t="str">
        <f t="shared" si="333"/>
        <v>Same Day</v>
      </c>
      <c r="AD823" s="1" t="str">
        <f t="shared" si="334"/>
        <v>OK</v>
      </c>
      <c r="AE823" s="1">
        <v>7</v>
      </c>
      <c r="AF823" s="1">
        <v>3411.21</v>
      </c>
      <c r="AG823" s="9">
        <v>0.15</v>
      </c>
      <c r="AH823" s="9">
        <f t="shared" si="335"/>
        <v>0.15</v>
      </c>
      <c r="AI823" s="1" t="str">
        <f t="shared" si="336"/>
        <v>OK</v>
      </c>
      <c r="AJ823" s="1">
        <v>20296.7</v>
      </c>
      <c r="AK823" s="1">
        <v>14920.87</v>
      </c>
      <c r="AL823" s="1">
        <v>5375.83</v>
      </c>
      <c r="AM823" s="13">
        <f t="shared" si="337"/>
        <v>20296.699499999999</v>
      </c>
      <c r="AN823" s="9">
        <f t="shared" si="338"/>
        <v>5375.829499999998</v>
      </c>
      <c r="AO823" s="9">
        <f t="shared" si="347"/>
        <v>0.26486225014071862</v>
      </c>
      <c r="AP823" s="1" t="s">
        <v>33</v>
      </c>
      <c r="AQ823" s="1" t="str">
        <f t="shared" si="339"/>
        <v>Paid</v>
      </c>
      <c r="AR823" s="1" t="str">
        <f t="shared" si="340"/>
        <v>OK</v>
      </c>
      <c r="AS823" s="1" t="s">
        <v>34</v>
      </c>
      <c r="AT823" s="4" t="str">
        <f t="shared" si="341"/>
        <v>Completed</v>
      </c>
      <c r="AU823" s="3" t="str">
        <f t="shared" si="342"/>
        <v>OK</v>
      </c>
      <c r="AV823" s="3" t="str">
        <f t="shared" si="348"/>
        <v>INVALID</v>
      </c>
      <c r="AW823" t="str">
        <f t="shared" si="349"/>
        <v>MATCH</v>
      </c>
      <c r="AX823" t="str">
        <f t="shared" si="350"/>
        <v>MATCH</v>
      </c>
    </row>
    <row r="824" spans="1:50" ht="15.6">
      <c r="A824" s="1" t="s">
        <v>2789</v>
      </c>
      <c r="B824" s="1">
        <f t="shared" si="324"/>
        <v>2</v>
      </c>
      <c r="C824" s="16">
        <v>45970</v>
      </c>
      <c r="D824" s="16">
        <v>45970</v>
      </c>
      <c r="E824" s="16" t="str">
        <f t="shared" si="343"/>
        <v>Nov</v>
      </c>
      <c r="F824" s="1">
        <f t="shared" si="344"/>
        <v>2025</v>
      </c>
      <c r="G824" t="s">
        <v>3301</v>
      </c>
      <c r="H824" s="17">
        <v>45573</v>
      </c>
      <c r="I824" s="21">
        <f t="shared" si="345"/>
        <v>-397</v>
      </c>
      <c r="J824" s="6" t="str">
        <f t="shared" si="346"/>
        <v>INVALID_SHIPPING</v>
      </c>
      <c r="K824" s="1" t="s">
        <v>2791</v>
      </c>
      <c r="L824" s="1" t="s">
        <v>141</v>
      </c>
      <c r="M824" s="1" t="str">
        <f t="shared" si="325"/>
        <v>Rahul Verma</v>
      </c>
      <c r="N824" s="1" t="s">
        <v>40</v>
      </c>
      <c r="O824" s="1" t="str">
        <f t="shared" si="326"/>
        <v>Small Business</v>
      </c>
      <c r="P824" s="1" t="s">
        <v>26</v>
      </c>
      <c r="Q824" s="1" t="str">
        <f t="shared" si="327"/>
        <v>North</v>
      </c>
      <c r="R824" s="1" t="str">
        <f t="shared" si="328"/>
        <v>OK</v>
      </c>
      <c r="S824" s="1" t="s">
        <v>454</v>
      </c>
      <c r="T824" s="1" t="str">
        <f t="shared" si="329"/>
        <v>Delhi</v>
      </c>
      <c r="U824" s="1" t="s">
        <v>455</v>
      </c>
      <c r="V824" s="1" t="str">
        <f t="shared" si="330"/>
        <v>New Delhi</v>
      </c>
      <c r="W824" s="1" t="s">
        <v>83</v>
      </c>
      <c r="X824" s="1" t="str">
        <f t="shared" si="331"/>
        <v>Technology</v>
      </c>
      <c r="Y824" s="1" t="s">
        <v>207</v>
      </c>
      <c r="Z824" s="1" t="str">
        <f t="shared" si="332"/>
        <v>Phones</v>
      </c>
      <c r="AA824" s="1" t="s">
        <v>2792</v>
      </c>
      <c r="AB824" s="1" t="s">
        <v>47</v>
      </c>
      <c r="AC824" s="1" t="str">
        <f t="shared" si="333"/>
        <v>Same Day</v>
      </c>
      <c r="AD824" s="1" t="str">
        <f t="shared" si="334"/>
        <v>OK</v>
      </c>
      <c r="AE824" s="1">
        <v>7</v>
      </c>
      <c r="AF824" s="1">
        <v>3411.21</v>
      </c>
      <c r="AG824" s="9">
        <v>0.15</v>
      </c>
      <c r="AH824" s="9">
        <f t="shared" si="335"/>
        <v>0.15</v>
      </c>
      <c r="AI824" s="1" t="str">
        <f t="shared" si="336"/>
        <v>OK</v>
      </c>
      <c r="AJ824" s="1">
        <v>20296.7</v>
      </c>
      <c r="AK824" s="1">
        <v>14920.87</v>
      </c>
      <c r="AL824" s="1">
        <v>5375.83</v>
      </c>
      <c r="AM824" s="13">
        <f t="shared" si="337"/>
        <v>20296.699499999999</v>
      </c>
      <c r="AN824" s="9">
        <f t="shared" si="338"/>
        <v>5375.829499999998</v>
      </c>
      <c r="AO824" s="9">
        <f t="shared" si="347"/>
        <v>0.26486225014071862</v>
      </c>
      <c r="AP824" s="1" t="s">
        <v>33</v>
      </c>
      <c r="AQ824" s="1" t="str">
        <f t="shared" si="339"/>
        <v>Paid</v>
      </c>
      <c r="AR824" s="1" t="str">
        <f t="shared" si="340"/>
        <v>OK</v>
      </c>
      <c r="AS824" s="1" t="s">
        <v>34</v>
      </c>
      <c r="AT824" s="4" t="str">
        <f t="shared" si="341"/>
        <v>Completed</v>
      </c>
      <c r="AU824" s="3" t="str">
        <f t="shared" si="342"/>
        <v>OK</v>
      </c>
      <c r="AV824" s="3" t="str">
        <f t="shared" si="348"/>
        <v>INVALID</v>
      </c>
      <c r="AW824" t="str">
        <f t="shared" si="349"/>
        <v>MATCH</v>
      </c>
      <c r="AX824" t="str">
        <f t="shared" si="350"/>
        <v>MATCH</v>
      </c>
    </row>
    <row r="825" spans="1:50" ht="15.6">
      <c r="A825" s="1" t="s">
        <v>2800</v>
      </c>
      <c r="B825" s="1">
        <f t="shared" si="324"/>
        <v>1</v>
      </c>
      <c r="C825" s="16">
        <v>45885</v>
      </c>
      <c r="D825" s="16">
        <v>45885</v>
      </c>
      <c r="E825" s="16" t="str">
        <f t="shared" si="343"/>
        <v>Aug</v>
      </c>
      <c r="F825" s="1">
        <f t="shared" si="344"/>
        <v>2025</v>
      </c>
      <c r="G825" t="s">
        <v>1915</v>
      </c>
      <c r="H825" s="17">
        <v>45669</v>
      </c>
      <c r="I825" s="21">
        <f t="shared" si="345"/>
        <v>-216</v>
      </c>
      <c r="J825" s="6" t="str">
        <f t="shared" si="346"/>
        <v>INVALID_SHIPPING</v>
      </c>
      <c r="K825" s="1" t="s">
        <v>2801</v>
      </c>
      <c r="L825" s="1" t="s">
        <v>169</v>
      </c>
      <c r="M825" s="1" t="str">
        <f t="shared" si="325"/>
        <v>Rohan Mehta</v>
      </c>
      <c r="N825" s="1" t="s">
        <v>104</v>
      </c>
      <c r="O825" s="1" t="str">
        <f t="shared" si="326"/>
        <v>Corporate</v>
      </c>
      <c r="P825" s="1" t="s">
        <v>26</v>
      </c>
      <c r="Q825" s="1" t="str">
        <f t="shared" si="327"/>
        <v>North</v>
      </c>
      <c r="R825" s="1" t="str">
        <f t="shared" si="328"/>
        <v>OK</v>
      </c>
      <c r="S825" s="1" t="s">
        <v>146</v>
      </c>
      <c r="T825" s="1" t="str">
        <f t="shared" si="329"/>
        <v>Punjab</v>
      </c>
      <c r="U825" s="1" t="s">
        <v>147</v>
      </c>
      <c r="V825" s="1" t="str">
        <f t="shared" si="330"/>
        <v>Ludhiana</v>
      </c>
      <c r="W825" s="1" t="s">
        <v>83</v>
      </c>
      <c r="X825" s="1" t="str">
        <f t="shared" si="331"/>
        <v>Technology</v>
      </c>
      <c r="Y825" s="1" t="s">
        <v>91</v>
      </c>
      <c r="Z825" s="1" t="str">
        <f t="shared" si="332"/>
        <v>Copiers</v>
      </c>
      <c r="AA825" s="1" t="s">
        <v>2802</v>
      </c>
      <c r="AB825" s="1" t="s">
        <v>47</v>
      </c>
      <c r="AC825" s="1" t="str">
        <f t="shared" si="333"/>
        <v>Same Day</v>
      </c>
      <c r="AD825" s="1" t="str">
        <f t="shared" si="334"/>
        <v>OK</v>
      </c>
      <c r="AE825" s="1">
        <v>4</v>
      </c>
      <c r="AF825" s="1">
        <v>1410.57</v>
      </c>
      <c r="AG825" s="9">
        <v>0.7</v>
      </c>
      <c r="AH825" s="9">
        <f t="shared" si="335"/>
        <v>0.7</v>
      </c>
      <c r="AI825" s="1" t="str">
        <f t="shared" si="336"/>
        <v>OK</v>
      </c>
      <c r="AJ825" s="1">
        <v>5360.17</v>
      </c>
      <c r="AK825" s="1">
        <v>3881.51</v>
      </c>
      <c r="AL825" s="1">
        <v>1478.66</v>
      </c>
      <c r="AM825" s="13">
        <f t="shared" si="337"/>
        <v>1692.6840000000002</v>
      </c>
      <c r="AN825" s="9">
        <f t="shared" si="338"/>
        <v>-2188.826</v>
      </c>
      <c r="AO825" s="9">
        <f t="shared" si="347"/>
        <v>-1.2931096412561351</v>
      </c>
      <c r="AP825" s="1" t="s">
        <v>119</v>
      </c>
      <c r="AQ825" s="1" t="str">
        <f t="shared" si="339"/>
        <v>Refunded</v>
      </c>
      <c r="AR825" s="1" t="str">
        <f t="shared" si="340"/>
        <v>REFUNDED_PAYMENT</v>
      </c>
      <c r="AS825" s="1" t="s">
        <v>76</v>
      </c>
      <c r="AT825" s="4" t="str">
        <f t="shared" si="341"/>
        <v>Cancelled</v>
      </c>
      <c r="AU825" s="3" t="str">
        <f t="shared" si="342"/>
        <v>EXCLUDE_FROM_SALES</v>
      </c>
      <c r="AV825" s="3" t="str">
        <f t="shared" si="348"/>
        <v>INVALID</v>
      </c>
      <c r="AW825" t="str">
        <f t="shared" si="349"/>
        <v>MISMATCH</v>
      </c>
      <c r="AX825" t="str">
        <f t="shared" si="350"/>
        <v>MISMATCH</v>
      </c>
    </row>
    <row r="826" spans="1:50" ht="15.6">
      <c r="A826" s="1" t="s">
        <v>2810</v>
      </c>
      <c r="B826" s="1">
        <f t="shared" si="324"/>
        <v>1</v>
      </c>
      <c r="C826" s="16">
        <v>45779</v>
      </c>
      <c r="D826" s="16">
        <v>45779</v>
      </c>
      <c r="E826" s="16" t="str">
        <f t="shared" si="343"/>
        <v>May</v>
      </c>
      <c r="F826" s="1">
        <f t="shared" si="344"/>
        <v>2025</v>
      </c>
      <c r="G826" t="s">
        <v>1861</v>
      </c>
      <c r="H826" s="17">
        <v>45738</v>
      </c>
      <c r="I826" s="21">
        <f t="shared" si="345"/>
        <v>-41</v>
      </c>
      <c r="J826" s="6" t="str">
        <f t="shared" si="346"/>
        <v>INVALID_SHIPPING</v>
      </c>
      <c r="K826" s="1" t="s">
        <v>2811</v>
      </c>
      <c r="L826" s="1" t="s">
        <v>2812</v>
      </c>
      <c r="M826" s="1" t="str">
        <f t="shared" si="325"/>
        <v>Ananya Rao</v>
      </c>
      <c r="N826" s="1" t="s">
        <v>104</v>
      </c>
      <c r="O826" s="1" t="str">
        <f t="shared" si="326"/>
        <v>Corporate</v>
      </c>
      <c r="P826" s="1" t="s">
        <v>26</v>
      </c>
      <c r="Q826" s="1" t="str">
        <f t="shared" si="327"/>
        <v>North</v>
      </c>
      <c r="R826" s="1" t="str">
        <f t="shared" si="328"/>
        <v>OK</v>
      </c>
      <c r="S826" s="1" t="s">
        <v>294</v>
      </c>
      <c r="T826" s="1" t="str">
        <f t="shared" si="329"/>
        <v>Haryana</v>
      </c>
      <c r="U826" s="1" t="s">
        <v>295</v>
      </c>
      <c r="V826" s="1" t="str">
        <f t="shared" si="330"/>
        <v>Gurugram</v>
      </c>
      <c r="W826" s="1" t="s">
        <v>29</v>
      </c>
      <c r="X826" s="1" t="str">
        <f t="shared" si="331"/>
        <v>Office Supplies</v>
      </c>
      <c r="Y826" s="1" t="s">
        <v>148</v>
      </c>
      <c r="Z826" s="1" t="str">
        <f t="shared" si="332"/>
        <v>Storage</v>
      </c>
      <c r="AA826" s="1" t="s">
        <v>2813</v>
      </c>
      <c r="AB826" s="1" t="s">
        <v>47</v>
      </c>
      <c r="AC826" s="1" t="str">
        <f t="shared" si="333"/>
        <v>Same Day</v>
      </c>
      <c r="AD826" s="1" t="str">
        <f t="shared" si="334"/>
        <v>OK</v>
      </c>
      <c r="AE826" s="1">
        <v>3</v>
      </c>
      <c r="AF826" s="1">
        <v>2590.7800000000002</v>
      </c>
      <c r="AG826" s="9"/>
      <c r="AH826" s="9">
        <f t="shared" si="335"/>
        <v>0</v>
      </c>
      <c r="AI826" s="1" t="str">
        <f t="shared" si="336"/>
        <v>Missing Discount</v>
      </c>
      <c r="AJ826" s="1">
        <v>7383.72</v>
      </c>
      <c r="AK826" s="1">
        <v>4113.66</v>
      </c>
      <c r="AL826" s="1">
        <v>3270.06</v>
      </c>
      <c r="AM826" s="13">
        <f t="shared" si="337"/>
        <v>7772.34</v>
      </c>
      <c r="AN826" s="9">
        <f t="shared" si="338"/>
        <v>3658.6800000000003</v>
      </c>
      <c r="AO826" s="9">
        <f t="shared" si="347"/>
        <v>0.47073082237781677</v>
      </c>
      <c r="AP826" s="1" t="s">
        <v>33</v>
      </c>
      <c r="AQ826" s="1" t="str">
        <f t="shared" si="339"/>
        <v>Paid</v>
      </c>
      <c r="AR826" s="1" t="str">
        <f t="shared" si="340"/>
        <v>OK</v>
      </c>
      <c r="AS826" s="1" t="s">
        <v>34</v>
      </c>
      <c r="AT826" s="4" t="str">
        <f t="shared" si="341"/>
        <v>Completed</v>
      </c>
      <c r="AU826" s="3" t="str">
        <f t="shared" si="342"/>
        <v>OK</v>
      </c>
      <c r="AV826" s="3" t="str">
        <f t="shared" si="348"/>
        <v>INVALID</v>
      </c>
      <c r="AW826" t="str">
        <f t="shared" si="349"/>
        <v>MISMATCH</v>
      </c>
      <c r="AX826" t="str">
        <f t="shared" si="350"/>
        <v>MISMATCH</v>
      </c>
    </row>
    <row r="827" spans="1:50" ht="15.6">
      <c r="A827" s="1" t="s">
        <v>2814</v>
      </c>
      <c r="B827" s="1">
        <f t="shared" si="324"/>
        <v>1</v>
      </c>
      <c r="C827" s="16">
        <v>45858</v>
      </c>
      <c r="D827" s="16">
        <v>45858</v>
      </c>
      <c r="E827" s="16" t="str">
        <f t="shared" si="343"/>
        <v>Jul</v>
      </c>
      <c r="F827" s="1">
        <f t="shared" si="344"/>
        <v>2025</v>
      </c>
      <c r="G827" t="s">
        <v>3311</v>
      </c>
      <c r="H827" s="17">
        <v>45764</v>
      </c>
      <c r="I827" s="21">
        <f t="shared" si="345"/>
        <v>-94</v>
      </c>
      <c r="J827" s="6" t="str">
        <f t="shared" si="346"/>
        <v>INVALID_SHIPPING</v>
      </c>
      <c r="K827" s="1" t="s">
        <v>2815</v>
      </c>
      <c r="L827" s="1" t="s">
        <v>59</v>
      </c>
      <c r="M827" s="1" t="str">
        <f t="shared" si="325"/>
        <v>Arjun Bose</v>
      </c>
      <c r="N827" s="1" t="s">
        <v>40</v>
      </c>
      <c r="O827" s="1" t="str">
        <f t="shared" si="326"/>
        <v>Small Business</v>
      </c>
      <c r="P827" s="1" t="s">
        <v>60</v>
      </c>
      <c r="Q827" s="1" t="str">
        <f t="shared" si="327"/>
        <v>South</v>
      </c>
      <c r="R827" s="1" t="str">
        <f t="shared" si="328"/>
        <v>OK</v>
      </c>
      <c r="S827" s="1" t="s">
        <v>61</v>
      </c>
      <c r="T827" s="1" t="str">
        <f t="shared" si="329"/>
        <v>Telangana</v>
      </c>
      <c r="U827" s="1" t="s">
        <v>62</v>
      </c>
      <c r="V827" s="1" t="str">
        <f t="shared" si="330"/>
        <v>Hyderabad</v>
      </c>
      <c r="W827" s="1" t="s">
        <v>44</v>
      </c>
      <c r="X827" s="1" t="str">
        <f t="shared" si="331"/>
        <v>Furniture</v>
      </c>
      <c r="Y827" s="1" t="s">
        <v>63</v>
      </c>
      <c r="Z827" s="1" t="str">
        <f t="shared" si="332"/>
        <v>Furnishings</v>
      </c>
      <c r="AA827" s="1" t="s">
        <v>2816</v>
      </c>
      <c r="AB827" s="1" t="s">
        <v>32</v>
      </c>
      <c r="AC827" s="1" t="str">
        <f t="shared" si="333"/>
        <v>Second Class</v>
      </c>
      <c r="AD827" s="1" t="str">
        <f t="shared" si="334"/>
        <v>OK</v>
      </c>
      <c r="AE827" s="1">
        <v>6</v>
      </c>
      <c r="AF827" s="1">
        <v>1646.45</v>
      </c>
      <c r="AG827" s="9">
        <v>0.2</v>
      </c>
      <c r="AH827" s="9">
        <f t="shared" si="335"/>
        <v>0.2</v>
      </c>
      <c r="AI827" s="1" t="str">
        <f t="shared" si="336"/>
        <v>OK</v>
      </c>
      <c r="AJ827" s="1">
        <v>7902.96</v>
      </c>
      <c r="AK827" s="1">
        <v>5512.03</v>
      </c>
      <c r="AL827" s="1">
        <v>2390.9299999999998</v>
      </c>
      <c r="AM827" s="13">
        <f t="shared" si="337"/>
        <v>7902.9600000000009</v>
      </c>
      <c r="AN827" s="9">
        <f t="shared" si="338"/>
        <v>2390.9300000000012</v>
      </c>
      <c r="AO827" s="9">
        <f t="shared" si="347"/>
        <v>0.30253601182341816</v>
      </c>
      <c r="AP827" s="1" t="s">
        <v>119</v>
      </c>
      <c r="AQ827" s="1" t="str">
        <f t="shared" si="339"/>
        <v>Refunded</v>
      </c>
      <c r="AR827" s="1" t="str">
        <f t="shared" si="340"/>
        <v>REFUNDED_PAYMENT</v>
      </c>
      <c r="AS827" s="1" t="s">
        <v>76</v>
      </c>
      <c r="AT827" s="4" t="str">
        <f t="shared" si="341"/>
        <v>Cancelled</v>
      </c>
      <c r="AU827" s="3" t="str">
        <f t="shared" si="342"/>
        <v>EXCLUDE_FROM_SALES</v>
      </c>
      <c r="AV827" s="3" t="str">
        <f t="shared" si="348"/>
        <v>INVALID</v>
      </c>
      <c r="AW827" t="str">
        <f t="shared" si="349"/>
        <v>MATCH</v>
      </c>
      <c r="AX827" t="str">
        <f t="shared" si="350"/>
        <v>MATCH</v>
      </c>
    </row>
    <row r="828" spans="1:50" ht="15.6" hidden="1">
      <c r="A828" s="1" t="s">
        <v>2817</v>
      </c>
      <c r="B828" s="1">
        <f t="shared" si="324"/>
        <v>1</v>
      </c>
      <c r="C828" s="16">
        <v>45859</v>
      </c>
      <c r="D828" s="16">
        <v>45859</v>
      </c>
      <c r="E828" s="16" t="str">
        <f t="shared" si="343"/>
        <v>Jul</v>
      </c>
      <c r="F828" s="1">
        <f t="shared" si="344"/>
        <v>2025</v>
      </c>
      <c r="G828" t="s">
        <v>3315</v>
      </c>
      <c r="H828" s="17">
        <v>45883</v>
      </c>
      <c r="I828" s="21">
        <f t="shared" si="345"/>
        <v>24</v>
      </c>
      <c r="J828" s="6" t="str">
        <f t="shared" si="346"/>
        <v>OK</v>
      </c>
      <c r="K828" s="1" t="s">
        <v>2818</v>
      </c>
      <c r="L828" s="1" t="s">
        <v>52</v>
      </c>
      <c r="M828" s="1" t="str">
        <f t="shared" si="325"/>
        <v>Isha Nair</v>
      </c>
      <c r="N828" s="1" t="s">
        <v>110</v>
      </c>
      <c r="O828" s="1" t="str">
        <f t="shared" si="326"/>
        <v>Home Office</v>
      </c>
      <c r="P828" s="1" t="s">
        <v>60</v>
      </c>
      <c r="Q828" s="1" t="str">
        <f t="shared" si="327"/>
        <v>South</v>
      </c>
      <c r="R828" s="1" t="str">
        <f t="shared" si="328"/>
        <v>OK</v>
      </c>
      <c r="S828" s="1" t="s">
        <v>309</v>
      </c>
      <c r="T828" s="1" t="str">
        <f t="shared" si="329"/>
        <v>Tamil Nadu</v>
      </c>
      <c r="U828" s="1" t="s">
        <v>310</v>
      </c>
      <c r="V828" s="1" t="str">
        <f t="shared" si="330"/>
        <v>Chennai</v>
      </c>
      <c r="W828" s="1" t="s">
        <v>44</v>
      </c>
      <c r="X828" s="1" t="str">
        <f t="shared" si="331"/>
        <v>Furniture</v>
      </c>
      <c r="Y828" s="1" t="s">
        <v>190</v>
      </c>
      <c r="Z828" s="1" t="str">
        <f t="shared" si="332"/>
        <v>Bookcases</v>
      </c>
      <c r="AA828" s="1" t="s">
        <v>2819</v>
      </c>
      <c r="AB828" s="1" t="s">
        <v>55</v>
      </c>
      <c r="AC828" s="1" t="str">
        <f t="shared" si="333"/>
        <v>First Class</v>
      </c>
      <c r="AD828" s="1" t="str">
        <f t="shared" si="334"/>
        <v>OK</v>
      </c>
      <c r="AE828" s="1">
        <v>7</v>
      </c>
      <c r="AF828" s="1">
        <v>4396.6499999999996</v>
      </c>
      <c r="AG828" s="9">
        <v>0.2</v>
      </c>
      <c r="AH828" s="9">
        <f t="shared" si="335"/>
        <v>0.2</v>
      </c>
      <c r="AI828" s="1" t="str">
        <f t="shared" si="336"/>
        <v>OK</v>
      </c>
      <c r="AJ828" s="1">
        <v>24621.24</v>
      </c>
      <c r="AK828" s="1">
        <v>17155.48</v>
      </c>
      <c r="AL828" s="1">
        <v>7465.76</v>
      </c>
      <c r="AM828" s="13">
        <f t="shared" si="337"/>
        <v>24621.239999999998</v>
      </c>
      <c r="AN828" s="9">
        <f t="shared" si="338"/>
        <v>7465.7599999999984</v>
      </c>
      <c r="AO828" s="9">
        <f t="shared" si="347"/>
        <v>0.3032243705028666</v>
      </c>
      <c r="AP828" s="1" t="s">
        <v>119</v>
      </c>
      <c r="AQ828" s="1" t="str">
        <f t="shared" si="339"/>
        <v>Refunded</v>
      </c>
      <c r="AR828" s="1" t="str">
        <f t="shared" si="340"/>
        <v>REFUNDED_PAYMENT</v>
      </c>
      <c r="AS828" s="1" t="s">
        <v>76</v>
      </c>
      <c r="AT828" s="4" t="str">
        <f t="shared" si="341"/>
        <v>Cancelled</v>
      </c>
      <c r="AU828" s="3" t="str">
        <f t="shared" si="342"/>
        <v>EXCLUDE_FROM_SALES</v>
      </c>
      <c r="AV828" s="3" t="str">
        <f t="shared" si="348"/>
        <v>CLEAN</v>
      </c>
      <c r="AW828" t="str">
        <f t="shared" si="349"/>
        <v>MATCH</v>
      </c>
      <c r="AX828" t="str">
        <f t="shared" si="350"/>
        <v>MATCH</v>
      </c>
    </row>
    <row r="829" spans="1:50" ht="15.6">
      <c r="A829" s="1" t="s">
        <v>2820</v>
      </c>
      <c r="B829" s="1">
        <f t="shared" si="324"/>
        <v>1</v>
      </c>
      <c r="C829" s="16">
        <v>45667</v>
      </c>
      <c r="D829" s="16">
        <v>45667</v>
      </c>
      <c r="E829" s="16" t="str">
        <f t="shared" si="343"/>
        <v>Jan</v>
      </c>
      <c r="F829" s="1">
        <f t="shared" si="344"/>
        <v>2025</v>
      </c>
      <c r="G829" t="s">
        <v>1539</v>
      </c>
      <c r="H829" s="17">
        <v>45303</v>
      </c>
      <c r="I829" s="21">
        <f t="shared" si="345"/>
        <v>-364</v>
      </c>
      <c r="J829" s="6" t="str">
        <f t="shared" si="346"/>
        <v>INVALID_SHIPPING</v>
      </c>
      <c r="K829" s="1" t="s">
        <v>2399</v>
      </c>
      <c r="L829" s="1" t="s">
        <v>90</v>
      </c>
      <c r="M829" s="1" t="str">
        <f t="shared" si="325"/>
        <v>Neha Gupta</v>
      </c>
      <c r="N829" s="1" t="s">
        <v>104</v>
      </c>
      <c r="O829" s="1" t="str">
        <f t="shared" si="326"/>
        <v>Corporate</v>
      </c>
      <c r="P829" s="1" t="s">
        <v>71</v>
      </c>
      <c r="Q829" s="1" t="str">
        <f t="shared" si="327"/>
        <v>West</v>
      </c>
      <c r="R829" s="1" t="str">
        <f t="shared" si="328"/>
        <v>OK</v>
      </c>
      <c r="S829" s="1" t="s">
        <v>230</v>
      </c>
      <c r="T829" s="1" t="str">
        <f t="shared" si="329"/>
        <v>Goa</v>
      </c>
      <c r="U829" s="1" t="s">
        <v>231</v>
      </c>
      <c r="V829" s="1" t="str">
        <f t="shared" si="330"/>
        <v>Panaji</v>
      </c>
      <c r="W829" s="1" t="s">
        <v>29</v>
      </c>
      <c r="X829" s="1" t="str">
        <f t="shared" si="331"/>
        <v>Office Supplies</v>
      </c>
      <c r="Y829" s="1" t="s">
        <v>53</v>
      </c>
      <c r="Z829" s="1" t="str">
        <f t="shared" si="332"/>
        <v>Art</v>
      </c>
      <c r="AA829" s="1" t="s">
        <v>2821</v>
      </c>
      <c r="AB829" s="1" t="s">
        <v>65</v>
      </c>
      <c r="AC829" s="1" t="str">
        <f t="shared" si="333"/>
        <v>Standard Class</v>
      </c>
      <c r="AD829" s="1" t="str">
        <f t="shared" si="334"/>
        <v>OK</v>
      </c>
      <c r="AE829" s="1">
        <v>9</v>
      </c>
      <c r="AF829" s="1">
        <v>818.15</v>
      </c>
      <c r="AG829" s="9">
        <v>0.55000000000000004</v>
      </c>
      <c r="AH829" s="9">
        <f t="shared" si="335"/>
        <v>0.55000000000000004</v>
      </c>
      <c r="AI829" s="1" t="str">
        <f t="shared" si="336"/>
        <v>OK</v>
      </c>
      <c r="AJ829" s="1">
        <v>6627.01</v>
      </c>
      <c r="AK829" s="1">
        <v>5606.79</v>
      </c>
      <c r="AL829" s="1">
        <v>1020.22</v>
      </c>
      <c r="AM829" s="13">
        <f t="shared" si="337"/>
        <v>3313.5074999999993</v>
      </c>
      <c r="AN829" s="9">
        <f t="shared" si="338"/>
        <v>-2293.2825000000007</v>
      </c>
      <c r="AO829" s="9">
        <f t="shared" si="347"/>
        <v>-0.69210119488185895</v>
      </c>
      <c r="AP829" s="1" t="s">
        <v>186</v>
      </c>
      <c r="AQ829" s="1" t="str">
        <f t="shared" si="339"/>
        <v>Failed</v>
      </c>
      <c r="AR829" s="1" t="str">
        <f t="shared" si="340"/>
        <v>EXCLUDE_FROM_SALES</v>
      </c>
      <c r="AS829" s="1" t="s">
        <v>76</v>
      </c>
      <c r="AT829" s="4" t="str">
        <f t="shared" si="341"/>
        <v>Cancelled</v>
      </c>
      <c r="AU829" s="3" t="str">
        <f t="shared" si="342"/>
        <v>EXCLUDE_FROM_SALES</v>
      </c>
      <c r="AV829" s="3" t="str">
        <f t="shared" si="348"/>
        <v>INVALID</v>
      </c>
      <c r="AW829" t="str">
        <f t="shared" si="349"/>
        <v>MISMATCH</v>
      </c>
      <c r="AX829" t="str">
        <f t="shared" si="350"/>
        <v>MISMATCH</v>
      </c>
    </row>
    <row r="830" spans="1:50" ht="15.6" hidden="1">
      <c r="A830" s="1" t="s">
        <v>2825</v>
      </c>
      <c r="B830" s="1">
        <f t="shared" si="324"/>
        <v>1</v>
      </c>
      <c r="C830" s="16">
        <v>45879</v>
      </c>
      <c r="D830" s="16">
        <v>45879</v>
      </c>
      <c r="E830" s="16" t="str">
        <f t="shared" si="343"/>
        <v>Aug</v>
      </c>
      <c r="F830" s="1">
        <f t="shared" si="344"/>
        <v>2025</v>
      </c>
      <c r="G830" t="s">
        <v>3322</v>
      </c>
      <c r="H830" s="17">
        <v>45971</v>
      </c>
      <c r="I830" s="21">
        <f t="shared" si="345"/>
        <v>92</v>
      </c>
      <c r="J830" s="6" t="str">
        <f t="shared" si="346"/>
        <v>OK</v>
      </c>
      <c r="K830" s="1" t="s">
        <v>2827</v>
      </c>
      <c r="L830" s="1" t="s">
        <v>39</v>
      </c>
      <c r="M830" s="1" t="str">
        <f t="shared" si="325"/>
        <v>Mira Das</v>
      </c>
      <c r="N830" s="1" t="s">
        <v>110</v>
      </c>
      <c r="O830" s="1" t="str">
        <f t="shared" si="326"/>
        <v>Home Office</v>
      </c>
      <c r="P830" s="1" t="s">
        <v>26</v>
      </c>
      <c r="Q830" s="1" t="str">
        <f t="shared" si="327"/>
        <v>North</v>
      </c>
      <c r="R830" s="1" t="str">
        <f t="shared" si="328"/>
        <v>OK</v>
      </c>
      <c r="S830" s="1" t="s">
        <v>146</v>
      </c>
      <c r="T830" s="1" t="str">
        <f t="shared" si="329"/>
        <v>Punjab</v>
      </c>
      <c r="U830" s="1" t="s">
        <v>147</v>
      </c>
      <c r="V830" s="1" t="str">
        <f t="shared" si="330"/>
        <v>Ludhiana</v>
      </c>
      <c r="W830" s="1" t="s">
        <v>44</v>
      </c>
      <c r="X830" s="1" t="str">
        <f t="shared" si="331"/>
        <v>Furniture</v>
      </c>
      <c r="Y830" s="1" t="s">
        <v>45</v>
      </c>
      <c r="Z830" s="1" t="str">
        <f t="shared" si="332"/>
        <v>Tables</v>
      </c>
      <c r="AA830" s="1" t="s">
        <v>2828</v>
      </c>
      <c r="AB830" s="1" t="s">
        <v>55</v>
      </c>
      <c r="AC830" s="1" t="str">
        <f t="shared" si="333"/>
        <v>First Class</v>
      </c>
      <c r="AD830" s="1" t="str">
        <f t="shared" si="334"/>
        <v>OK</v>
      </c>
      <c r="AE830" s="1">
        <v>4</v>
      </c>
      <c r="AF830" s="1">
        <v>172.05</v>
      </c>
      <c r="AG830" s="9">
        <v>0</v>
      </c>
      <c r="AH830" s="9">
        <f t="shared" si="335"/>
        <v>0</v>
      </c>
      <c r="AI830" s="1" t="str">
        <f t="shared" si="336"/>
        <v>OK</v>
      </c>
      <c r="AJ830" s="1">
        <v>688.2</v>
      </c>
      <c r="AK830" s="1">
        <v>497.68</v>
      </c>
      <c r="AL830" s="1">
        <v>190.52</v>
      </c>
      <c r="AM830" s="13">
        <f t="shared" si="337"/>
        <v>688.2</v>
      </c>
      <c r="AN830" s="9">
        <f t="shared" si="338"/>
        <v>190.52000000000004</v>
      </c>
      <c r="AO830" s="9">
        <f t="shared" si="347"/>
        <v>0.27683812845103173</v>
      </c>
      <c r="AP830" s="1" t="s">
        <v>186</v>
      </c>
      <c r="AQ830" s="1" t="str">
        <f t="shared" si="339"/>
        <v>Failed</v>
      </c>
      <c r="AR830" s="1" t="str">
        <f t="shared" si="340"/>
        <v>EXCLUDE_FROM_SALES</v>
      </c>
      <c r="AS830" s="1" t="s">
        <v>76</v>
      </c>
      <c r="AT830" s="4" t="str">
        <f t="shared" si="341"/>
        <v>Cancelled</v>
      </c>
      <c r="AU830" s="3" t="str">
        <f t="shared" si="342"/>
        <v>EXCLUDE_FROM_SALES</v>
      </c>
      <c r="AV830" s="3" t="str">
        <f t="shared" si="348"/>
        <v>CLEAN</v>
      </c>
      <c r="AW830" t="str">
        <f t="shared" si="349"/>
        <v>MATCH</v>
      </c>
      <c r="AX830" t="str">
        <f t="shared" si="350"/>
        <v>MATCH</v>
      </c>
    </row>
    <row r="831" spans="1:50" ht="15.6">
      <c r="A831" s="1" t="s">
        <v>2829</v>
      </c>
      <c r="B831" s="1">
        <f t="shared" si="324"/>
        <v>1</v>
      </c>
      <c r="C831" s="16">
        <v>45714</v>
      </c>
      <c r="D831" s="16">
        <v>45714</v>
      </c>
      <c r="E831" s="16" t="str">
        <f t="shared" si="343"/>
        <v>Feb</v>
      </c>
      <c r="F831" s="1">
        <f t="shared" si="344"/>
        <v>2025</v>
      </c>
      <c r="G831" t="s">
        <v>1297</v>
      </c>
      <c r="H831" s="17">
        <v>45350</v>
      </c>
      <c r="I831" s="21">
        <f t="shared" si="345"/>
        <v>-364</v>
      </c>
      <c r="J831" s="6" t="str">
        <f t="shared" si="346"/>
        <v>INVALID_SHIPPING</v>
      </c>
      <c r="K831" s="1" t="s">
        <v>2831</v>
      </c>
      <c r="L831" s="1" t="s">
        <v>90</v>
      </c>
      <c r="M831" s="1" t="str">
        <f t="shared" si="325"/>
        <v>Neha Gupta</v>
      </c>
      <c r="N831" s="1" t="s">
        <v>110</v>
      </c>
      <c r="O831" s="1" t="str">
        <f t="shared" si="326"/>
        <v>Home Office</v>
      </c>
      <c r="P831" s="1" t="s">
        <v>26</v>
      </c>
      <c r="Q831" s="1" t="str">
        <f t="shared" si="327"/>
        <v>North</v>
      </c>
      <c r="R831" s="1" t="str">
        <f t="shared" si="328"/>
        <v>OK</v>
      </c>
      <c r="S831" s="1" t="s">
        <v>294</v>
      </c>
      <c r="T831" s="1" t="str">
        <f t="shared" si="329"/>
        <v>Haryana</v>
      </c>
      <c r="U831" s="1" t="s">
        <v>295</v>
      </c>
      <c r="V831" s="1" t="str">
        <f t="shared" si="330"/>
        <v>Gurugram</v>
      </c>
      <c r="W831" s="1" t="s">
        <v>29</v>
      </c>
      <c r="X831" s="1" t="str">
        <f t="shared" si="331"/>
        <v>Office Supplies</v>
      </c>
      <c r="Y831" s="1" t="s">
        <v>53</v>
      </c>
      <c r="Z831" s="1" t="str">
        <f t="shared" si="332"/>
        <v>Art</v>
      </c>
      <c r="AA831" s="1" t="s">
        <v>2832</v>
      </c>
      <c r="AB831" s="1" t="s">
        <v>32</v>
      </c>
      <c r="AC831" s="1" t="str">
        <f t="shared" si="333"/>
        <v>Second Class</v>
      </c>
      <c r="AD831" s="1" t="str">
        <f t="shared" si="334"/>
        <v>OK</v>
      </c>
      <c r="AE831" s="1">
        <v>6</v>
      </c>
      <c r="AF831" s="1">
        <v>3037.66</v>
      </c>
      <c r="AG831" s="9">
        <v>0.15</v>
      </c>
      <c r="AH831" s="9">
        <f t="shared" si="335"/>
        <v>0.15</v>
      </c>
      <c r="AI831" s="1" t="str">
        <f t="shared" si="336"/>
        <v>OK</v>
      </c>
      <c r="AJ831" s="1">
        <v>15492.07</v>
      </c>
      <c r="AK831" s="1">
        <v>12581.23</v>
      </c>
      <c r="AL831" s="1">
        <v>2910.84</v>
      </c>
      <c r="AM831" s="13">
        <f t="shared" si="337"/>
        <v>15492.065999999999</v>
      </c>
      <c r="AN831" s="9">
        <f t="shared" si="338"/>
        <v>2910.8359999999993</v>
      </c>
      <c r="AO831" s="9">
        <f t="shared" si="347"/>
        <v>0.18789204745190213</v>
      </c>
      <c r="AP831" s="1" t="s">
        <v>33</v>
      </c>
      <c r="AQ831" s="1" t="str">
        <f t="shared" si="339"/>
        <v>Paid</v>
      </c>
      <c r="AR831" s="1" t="str">
        <f t="shared" si="340"/>
        <v>OK</v>
      </c>
      <c r="AS831" s="1" t="s">
        <v>34</v>
      </c>
      <c r="AT831" s="4" t="str">
        <f t="shared" si="341"/>
        <v>Completed</v>
      </c>
      <c r="AU831" s="3" t="str">
        <f t="shared" si="342"/>
        <v>OK</v>
      </c>
      <c r="AV831" s="3" t="str">
        <f t="shared" si="348"/>
        <v>INVALID</v>
      </c>
      <c r="AW831" t="str">
        <f t="shared" si="349"/>
        <v>MATCH</v>
      </c>
      <c r="AX831" t="str">
        <f t="shared" si="350"/>
        <v>MATCH</v>
      </c>
    </row>
    <row r="832" spans="1:50" ht="15.6">
      <c r="A832" s="1" t="s">
        <v>2846</v>
      </c>
      <c r="B832" s="1">
        <f t="shared" si="324"/>
        <v>1</v>
      </c>
      <c r="C832" s="16">
        <v>45935</v>
      </c>
      <c r="D832" s="16">
        <v>45935</v>
      </c>
      <c r="E832" s="16" t="str">
        <f t="shared" si="343"/>
        <v>Oct</v>
      </c>
      <c r="F832" s="1">
        <f t="shared" si="344"/>
        <v>2025</v>
      </c>
      <c r="G832" t="s">
        <v>642</v>
      </c>
      <c r="H832" s="17">
        <v>45856</v>
      </c>
      <c r="I832" s="21">
        <f t="shared" si="345"/>
        <v>-79</v>
      </c>
      <c r="J832" s="6" t="str">
        <f t="shared" si="346"/>
        <v>INVALID_SHIPPING</v>
      </c>
      <c r="K832" s="1" t="s">
        <v>2848</v>
      </c>
      <c r="L832" s="1" t="s">
        <v>52</v>
      </c>
      <c r="M832" s="1" t="str">
        <f t="shared" si="325"/>
        <v>Isha Nair</v>
      </c>
      <c r="N832" s="1" t="s">
        <v>1567</v>
      </c>
      <c r="O832" s="1" t="str">
        <f t="shared" si="326"/>
        <v>Corporate</v>
      </c>
      <c r="P832" s="1" t="s">
        <v>60</v>
      </c>
      <c r="Q832" s="1" t="str">
        <f t="shared" si="327"/>
        <v>South</v>
      </c>
      <c r="R832" s="1" t="str">
        <f t="shared" si="328"/>
        <v>OK</v>
      </c>
      <c r="S832" s="1" t="s">
        <v>212</v>
      </c>
      <c r="T832" s="1" t="str">
        <f t="shared" si="329"/>
        <v>Karnataka</v>
      </c>
      <c r="U832" s="1" t="s">
        <v>213</v>
      </c>
      <c r="V832" s="1" t="str">
        <f t="shared" si="330"/>
        <v>Bengaluru</v>
      </c>
      <c r="W832" s="1" t="s">
        <v>44</v>
      </c>
      <c r="X832" s="1" t="str">
        <f t="shared" si="331"/>
        <v>Furniture</v>
      </c>
      <c r="Y832" s="1" t="s">
        <v>63</v>
      </c>
      <c r="Z832" s="1" t="str">
        <f t="shared" si="332"/>
        <v>Furnishings</v>
      </c>
      <c r="AA832" s="1" t="s">
        <v>2849</v>
      </c>
      <c r="AB832" s="1" t="s">
        <v>32</v>
      </c>
      <c r="AC832" s="1" t="str">
        <f t="shared" si="333"/>
        <v>Second Class</v>
      </c>
      <c r="AD832" s="1" t="str">
        <f t="shared" si="334"/>
        <v>OK</v>
      </c>
      <c r="AE832" s="1">
        <v>4</v>
      </c>
      <c r="AF832" s="1">
        <v>2365.6799999999998</v>
      </c>
      <c r="AG832" s="9">
        <v>0.1</v>
      </c>
      <c r="AH832" s="9">
        <f t="shared" si="335"/>
        <v>0.1</v>
      </c>
      <c r="AI832" s="1" t="str">
        <f t="shared" si="336"/>
        <v>OK</v>
      </c>
      <c r="AJ832" s="1">
        <v>8516.4500000000007</v>
      </c>
      <c r="AK832" s="1">
        <v>5903.81</v>
      </c>
      <c r="AL832" s="1">
        <v>2612.64</v>
      </c>
      <c r="AM832" s="13">
        <f t="shared" si="337"/>
        <v>8516.4480000000003</v>
      </c>
      <c r="AN832" s="9">
        <f t="shared" si="338"/>
        <v>2612.6379999999999</v>
      </c>
      <c r="AO832" s="9">
        <f t="shared" si="347"/>
        <v>0.30677554774009069</v>
      </c>
      <c r="AP832" s="1" t="s">
        <v>33</v>
      </c>
      <c r="AQ832" s="1" t="str">
        <f t="shared" si="339"/>
        <v>Paid</v>
      </c>
      <c r="AR832" s="1" t="str">
        <f t="shared" si="340"/>
        <v>OK</v>
      </c>
      <c r="AS832" s="1" t="s">
        <v>34</v>
      </c>
      <c r="AT832" s="4" t="str">
        <f t="shared" si="341"/>
        <v>Completed</v>
      </c>
      <c r="AU832" s="3" t="str">
        <f t="shared" si="342"/>
        <v>OK</v>
      </c>
      <c r="AV832" s="3" t="str">
        <f t="shared" si="348"/>
        <v>INVALID</v>
      </c>
      <c r="AW832" t="str">
        <f t="shared" si="349"/>
        <v>MATCH</v>
      </c>
      <c r="AX832" t="str">
        <f t="shared" si="350"/>
        <v>MATCH</v>
      </c>
    </row>
    <row r="833" spans="1:50" ht="15.6">
      <c r="A833" s="1" t="s">
        <v>2850</v>
      </c>
      <c r="B833" s="1">
        <f t="shared" si="324"/>
        <v>1</v>
      </c>
      <c r="C833" s="16">
        <v>45750</v>
      </c>
      <c r="D833" s="16">
        <v>45750</v>
      </c>
      <c r="E833" s="16" t="str">
        <f t="shared" si="343"/>
        <v>Apr</v>
      </c>
      <c r="F833" s="1">
        <f t="shared" si="344"/>
        <v>2025</v>
      </c>
      <c r="G833" t="s">
        <v>2851</v>
      </c>
      <c r="H833" s="17">
        <v>45720</v>
      </c>
      <c r="I833" s="21">
        <f t="shared" si="345"/>
        <v>-30</v>
      </c>
      <c r="J833" s="6" t="str">
        <f t="shared" si="346"/>
        <v>INVALID_SHIPPING</v>
      </c>
      <c r="K833" s="1" t="s">
        <v>2852</v>
      </c>
      <c r="L833" s="1" t="s">
        <v>59</v>
      </c>
      <c r="M833" s="1" t="str">
        <f t="shared" si="325"/>
        <v>Arjun Bose</v>
      </c>
      <c r="N833" s="1" t="s">
        <v>25</v>
      </c>
      <c r="O833" s="1" t="str">
        <f t="shared" si="326"/>
        <v>Consumer</v>
      </c>
      <c r="P833" s="1" t="s">
        <v>60</v>
      </c>
      <c r="Q833" s="1" t="str">
        <f t="shared" si="327"/>
        <v>South</v>
      </c>
      <c r="R833" s="1" t="str">
        <f t="shared" si="328"/>
        <v>OK</v>
      </c>
      <c r="S833" s="1" t="s">
        <v>309</v>
      </c>
      <c r="T833" s="1" t="str">
        <f t="shared" si="329"/>
        <v>Tamil Nadu</v>
      </c>
      <c r="U833" s="1" t="s">
        <v>310</v>
      </c>
      <c r="V833" s="1" t="str">
        <f t="shared" si="330"/>
        <v>Chennai</v>
      </c>
      <c r="W833" s="1" t="s">
        <v>44</v>
      </c>
      <c r="X833" s="1" t="str">
        <f t="shared" si="331"/>
        <v>Furniture</v>
      </c>
      <c r="Y833" s="1" t="s">
        <v>190</v>
      </c>
      <c r="Z833" s="1" t="str">
        <f t="shared" si="332"/>
        <v>Bookcases</v>
      </c>
      <c r="AA833" s="1" t="s">
        <v>2853</v>
      </c>
      <c r="AB833" s="1" t="s">
        <v>32</v>
      </c>
      <c r="AC833" s="1" t="str">
        <f t="shared" si="333"/>
        <v>Second Class</v>
      </c>
      <c r="AD833" s="1" t="str">
        <f t="shared" si="334"/>
        <v>OK</v>
      </c>
      <c r="AE833" s="1">
        <v>3</v>
      </c>
      <c r="AF833" s="1">
        <v>4149.7700000000004</v>
      </c>
      <c r="AG833" s="9">
        <v>0.05</v>
      </c>
      <c r="AH833" s="9">
        <f t="shared" si="335"/>
        <v>0.05</v>
      </c>
      <c r="AI833" s="1" t="str">
        <f t="shared" si="336"/>
        <v>OK</v>
      </c>
      <c r="AJ833" s="1">
        <v>11826.84</v>
      </c>
      <c r="AK833" s="1">
        <v>8035.96</v>
      </c>
      <c r="AL833" s="1">
        <v>3790.88</v>
      </c>
      <c r="AM833" s="13">
        <f t="shared" si="337"/>
        <v>11826.844500000001</v>
      </c>
      <c r="AN833" s="9">
        <f t="shared" si="338"/>
        <v>3790.884500000001</v>
      </c>
      <c r="AO833" s="9">
        <f t="shared" si="347"/>
        <v>0.32053220112938835</v>
      </c>
      <c r="AP833" s="1" t="s">
        <v>33</v>
      </c>
      <c r="AQ833" s="1" t="str">
        <f t="shared" si="339"/>
        <v>Paid</v>
      </c>
      <c r="AR833" s="1" t="str">
        <f t="shared" si="340"/>
        <v>OK</v>
      </c>
      <c r="AS833" s="1" t="s">
        <v>34</v>
      </c>
      <c r="AT833" s="4" t="str">
        <f t="shared" si="341"/>
        <v>Completed</v>
      </c>
      <c r="AU833" s="3" t="str">
        <f t="shared" si="342"/>
        <v>OK</v>
      </c>
      <c r="AV833" s="3" t="str">
        <f t="shared" si="348"/>
        <v>INVALID</v>
      </c>
      <c r="AW833" t="str">
        <f t="shared" si="349"/>
        <v>MATCH</v>
      </c>
      <c r="AX833" t="str">
        <f t="shared" si="350"/>
        <v>MATCH</v>
      </c>
    </row>
    <row r="834" spans="1:50" ht="15.6">
      <c r="A834" s="1" t="s">
        <v>2854</v>
      </c>
      <c r="B834" s="1">
        <f t="shared" ref="B834:B897" si="351">COUNTIF($A:$A,A834)</f>
        <v>2</v>
      </c>
      <c r="C834" s="16">
        <v>45870</v>
      </c>
      <c r="D834" s="16">
        <v>45870</v>
      </c>
      <c r="E834" s="16" t="str">
        <f t="shared" si="343"/>
        <v>Aug</v>
      </c>
      <c r="F834" s="1">
        <f t="shared" si="344"/>
        <v>2025</v>
      </c>
      <c r="G834" t="s">
        <v>3335</v>
      </c>
      <c r="H834" s="17">
        <v>45805</v>
      </c>
      <c r="I834" s="21">
        <f t="shared" si="345"/>
        <v>-65</v>
      </c>
      <c r="J834" s="6" t="str">
        <f t="shared" si="346"/>
        <v>INVALID_SHIPPING</v>
      </c>
      <c r="K834" s="1" t="s">
        <v>1527</v>
      </c>
      <c r="L834" s="1" t="s">
        <v>52</v>
      </c>
      <c r="M834" s="1" t="str">
        <f t="shared" ref="M834:M897" si="352">PROPER(TRIM(SUBSTITUTE(L834,CHAR(160)," ")))</f>
        <v>Isha Nair</v>
      </c>
      <c r="N834" s="1" t="s">
        <v>25</v>
      </c>
      <c r="O834" s="1" t="str">
        <f t="shared" ref="O834:O897" si="353">PROPER(TRIM(SUBSTITUTE(N834,CHAR(160)," ")))</f>
        <v>Consumer</v>
      </c>
      <c r="P834" s="1" t="s">
        <v>60</v>
      </c>
      <c r="Q834" s="1" t="str">
        <f t="shared" ref="Q834:Q897" si="354">IF(TRIM(P834)="","Unknown",PROPER(TRIM(P834)))</f>
        <v>South</v>
      </c>
      <c r="R834" s="1" t="str">
        <f t="shared" ref="R834:R897" si="355">IF(Q834="Unknown","MISSING_REGION","OK")</f>
        <v>OK</v>
      </c>
      <c r="S834" s="1" t="s">
        <v>97</v>
      </c>
      <c r="T834" s="1" t="str">
        <f t="shared" ref="T834:T897" si="356">PROPER(TRIM(SUBSTITUTE(S834,CHAR(160)," ")))</f>
        <v>Andhra Pradesh</v>
      </c>
      <c r="U834" s="1" t="s">
        <v>98</v>
      </c>
      <c r="V834" s="1" t="str">
        <f t="shared" ref="V834:V897" si="357">PROPER(TRIM(SUBSTITUTE(U834,CHAR(160)," ")))</f>
        <v>Vijayawada</v>
      </c>
      <c r="W834" s="1" t="s">
        <v>29</v>
      </c>
      <c r="X834" s="1" t="str">
        <f t="shared" ref="X834:X897" si="358">PROPER(TRIM(SUBSTITUTE(W834,CHAR(160)," ")))</f>
        <v>Office Supplies</v>
      </c>
      <c r="Y834" s="1" t="s">
        <v>148</v>
      </c>
      <c r="Z834" s="1" t="str">
        <f t="shared" ref="Z834:Z897" si="359">PROPER(TRIM(SUBSTITUTE(Y834,CHAR(160)," ")))</f>
        <v>Storage</v>
      </c>
      <c r="AA834" s="1" t="s">
        <v>2855</v>
      </c>
      <c r="AB834" s="1" t="s">
        <v>55</v>
      </c>
      <c r="AC834" s="1" t="str">
        <f t="shared" ref="AC834:AC897" si="360">IF(TRIM(AB834)="","Unknown",PROPER(TRIM(AB834)))</f>
        <v>First Class</v>
      </c>
      <c r="AD834" s="1" t="str">
        <f t="shared" ref="AD834:AD897" si="361">IF(AC834="Unknown","MISSING_SHIP_MODE","OK")</f>
        <v>OK</v>
      </c>
      <c r="AE834" s="1">
        <v>5</v>
      </c>
      <c r="AF834" s="1">
        <v>2736.24</v>
      </c>
      <c r="AG834" s="9">
        <v>0.15</v>
      </c>
      <c r="AH834" s="9">
        <f t="shared" ref="AH834:AH897" si="362">IF(RIGHT(AG834,1)="%",VALUE(SUBSTITUTE(AG834,"%",""))/100,AG834)</f>
        <v>0.15</v>
      </c>
      <c r="AI834" s="1" t="str">
        <f t="shared" ref="AI834:AI897" si="363">IF(AG834="","Missing Discount",
IF(AG834&lt;0,"Invalid Negative Discount",
"OK"))</f>
        <v>OK</v>
      </c>
      <c r="AJ834" s="1">
        <v>11629.02</v>
      </c>
      <c r="AK834" s="1">
        <v>9627.2099999999991</v>
      </c>
      <c r="AL834" s="1">
        <v>2001.81</v>
      </c>
      <c r="AM834" s="13">
        <f t="shared" ref="AM834:AM897" si="364">IF(AH834&lt;0,"INVALID",AE834*AF834*(1-AH834))</f>
        <v>11629.019999999999</v>
      </c>
      <c r="AN834" s="9">
        <f t="shared" ref="AN834:AN897" si="365">IF(AM834="INVALID","INVALID",
AM834-AK834)</f>
        <v>2001.8099999999995</v>
      </c>
      <c r="AO834" s="9">
        <f t="shared" si="347"/>
        <v>0.17213918283741877</v>
      </c>
      <c r="AP834" s="1" t="s">
        <v>33</v>
      </c>
      <c r="AQ834" s="1" t="str">
        <f t="shared" ref="AQ834:AQ897" si="366">PROPER(TRIM(SUBSTITUTE(AP834,CHAR(160)," ")))</f>
        <v>Paid</v>
      </c>
      <c r="AR834" s="1" t="str">
        <f t="shared" ref="AR834:AR897" si="367">IF(AQ834="Failed","EXCLUDE_FROM_SALES",
IF(AQ834="Refunded","REFUNDED_PAYMENT",
"OK"))</f>
        <v>OK</v>
      </c>
      <c r="AS834" s="1" t="s">
        <v>34</v>
      </c>
      <c r="AT834" s="4" t="str">
        <f t="shared" ref="AT834:AT897" si="368">PROPER(TRIM(SUBSTITUTE(AS834,CHAR(160)," ")))</f>
        <v>Completed</v>
      </c>
      <c r="AU834" s="3" t="str">
        <f t="shared" ref="AU834:AU897" si="369">IF(AT834="Cancelled","EXCLUDE_FROM_SALES",
IF(AT834="Returned","RETURNED_ORDER",
"OK"))</f>
        <v>OK</v>
      </c>
      <c r="AV834" s="3" t="str">
        <f t="shared" si="348"/>
        <v>INVALID</v>
      </c>
      <c r="AW834" t="str">
        <f t="shared" si="349"/>
        <v>MATCH</v>
      </c>
      <c r="AX834" t="str">
        <f t="shared" si="350"/>
        <v>MATCH</v>
      </c>
    </row>
    <row r="835" spans="1:50" ht="15.6">
      <c r="A835" s="1" t="s">
        <v>2854</v>
      </c>
      <c r="B835" s="1">
        <f t="shared" si="351"/>
        <v>2</v>
      </c>
      <c r="C835" s="16">
        <v>45870</v>
      </c>
      <c r="D835" s="16">
        <v>45870</v>
      </c>
      <c r="E835" s="16" t="str">
        <f t="shared" ref="E835:E898" si="370">TEXT(D835,"mmm")</f>
        <v>Aug</v>
      </c>
      <c r="F835" s="1">
        <f t="shared" ref="F835:F898" si="371">YEAR(D835)</f>
        <v>2025</v>
      </c>
      <c r="G835" t="s">
        <v>3339</v>
      </c>
      <c r="H835" s="17">
        <v>45447</v>
      </c>
      <c r="I835" s="21">
        <f t="shared" ref="I835:I898" si="372">H835-D835</f>
        <v>-423</v>
      </c>
      <c r="J835" s="6" t="str">
        <f t="shared" ref="J835:J898" si="373">IF(I835&lt;0,"INVALID_SHIPPING","OK")</f>
        <v>INVALID_SHIPPING</v>
      </c>
      <c r="K835" s="1" t="s">
        <v>1527</v>
      </c>
      <c r="L835" s="1" t="s">
        <v>52</v>
      </c>
      <c r="M835" s="1" t="str">
        <f t="shared" si="352"/>
        <v>Isha Nair</v>
      </c>
      <c r="N835" s="1" t="s">
        <v>25</v>
      </c>
      <c r="O835" s="1" t="str">
        <f t="shared" si="353"/>
        <v>Consumer</v>
      </c>
      <c r="P835" s="1" t="s">
        <v>60</v>
      </c>
      <c r="Q835" s="1" t="str">
        <f t="shared" si="354"/>
        <v>South</v>
      </c>
      <c r="R835" s="1" t="str">
        <f t="shared" si="355"/>
        <v>OK</v>
      </c>
      <c r="S835" s="1" t="s">
        <v>97</v>
      </c>
      <c r="T835" s="1" t="str">
        <f t="shared" si="356"/>
        <v>Andhra Pradesh</v>
      </c>
      <c r="U835" s="1" t="s">
        <v>98</v>
      </c>
      <c r="V835" s="1" t="str">
        <f t="shared" si="357"/>
        <v>Vijayawada</v>
      </c>
      <c r="W835" s="1" t="s">
        <v>29</v>
      </c>
      <c r="X835" s="1" t="str">
        <f t="shared" si="358"/>
        <v>Office Supplies</v>
      </c>
      <c r="Y835" s="1" t="s">
        <v>148</v>
      </c>
      <c r="Z835" s="1" t="str">
        <f t="shared" si="359"/>
        <v>Storage</v>
      </c>
      <c r="AA835" s="1" t="s">
        <v>2855</v>
      </c>
      <c r="AB835" s="1" t="s">
        <v>55</v>
      </c>
      <c r="AC835" s="1" t="str">
        <f t="shared" si="360"/>
        <v>First Class</v>
      </c>
      <c r="AD835" s="1" t="str">
        <f t="shared" si="361"/>
        <v>OK</v>
      </c>
      <c r="AE835" s="1">
        <v>5</v>
      </c>
      <c r="AF835" s="1">
        <v>2736.24</v>
      </c>
      <c r="AG835" s="9">
        <v>0.15</v>
      </c>
      <c r="AH835" s="9">
        <f t="shared" si="362"/>
        <v>0.15</v>
      </c>
      <c r="AI835" s="1" t="str">
        <f t="shared" si="363"/>
        <v>OK</v>
      </c>
      <c r="AJ835" s="1">
        <v>11629.02</v>
      </c>
      <c r="AK835" s="1">
        <v>9627.2099999999991</v>
      </c>
      <c r="AL835" s="1">
        <v>2001.81</v>
      </c>
      <c r="AM835" s="13">
        <f t="shared" si="364"/>
        <v>11629.019999999999</v>
      </c>
      <c r="AN835" s="9">
        <f t="shared" si="365"/>
        <v>2001.8099999999995</v>
      </c>
      <c r="AO835" s="9">
        <f t="shared" ref="AO835:AO898" si="374">IF(OR(AM835="INVALID",AN835="INVALID"),"",AN835/AM835)</f>
        <v>0.17213918283741877</v>
      </c>
      <c r="AP835" s="1" t="s">
        <v>33</v>
      </c>
      <c r="AQ835" s="1" t="str">
        <f t="shared" si="366"/>
        <v>Paid</v>
      </c>
      <c r="AR835" s="1" t="str">
        <f t="shared" si="367"/>
        <v>OK</v>
      </c>
      <c r="AS835" s="1" t="s">
        <v>34</v>
      </c>
      <c r="AT835" s="4" t="str">
        <f t="shared" si="368"/>
        <v>Completed</v>
      </c>
      <c r="AU835" s="3" t="str">
        <f t="shared" si="369"/>
        <v>OK</v>
      </c>
      <c r="AV835" s="3" t="str">
        <f t="shared" ref="AV835:AV898" si="375">IF(OR(AI835&lt;&gt;"OK",J835="INVALID_SHIPPING"),
"INVALID",
IF(OR(R835&lt;&gt;"OK",AD835&lt;&gt;"OK"),
"WARNING",
"CLEAN"))</f>
        <v>INVALID</v>
      </c>
      <c r="AW835" t="str">
        <f t="shared" ref="AW835:AW898" si="376">IF(AM835="INVALID","INVALID",
IF(ROUND(AJ835,2)=ROUND(AM835,2),"MATCH","MISMATCH"))</f>
        <v>MATCH</v>
      </c>
      <c r="AX835" t="str">
        <f t="shared" ref="AX835:AX898" si="377">IF(AN835="INVALID","INVALID",IF(ROUND(AL835,2)=ROUND(AN835,2),"MATCH","MISMATCH"))</f>
        <v>MATCH</v>
      </c>
    </row>
    <row r="836" spans="1:50" ht="15.6">
      <c r="A836" s="1" t="s">
        <v>2859</v>
      </c>
      <c r="B836" s="1">
        <f t="shared" si="351"/>
        <v>1</v>
      </c>
      <c r="C836" s="16">
        <v>45922</v>
      </c>
      <c r="D836" s="16">
        <v>45922</v>
      </c>
      <c r="E836" s="16" t="str">
        <f t="shared" si="370"/>
        <v>Sep</v>
      </c>
      <c r="F836" s="1">
        <f t="shared" si="371"/>
        <v>2025</v>
      </c>
      <c r="G836" t="s">
        <v>3343</v>
      </c>
      <c r="H836" s="17">
        <v>45587</v>
      </c>
      <c r="I836" s="21">
        <f t="shared" si="372"/>
        <v>-335</v>
      </c>
      <c r="J836" s="6" t="str">
        <f t="shared" si="373"/>
        <v>INVALID_SHIPPING</v>
      </c>
      <c r="K836" s="1" t="s">
        <v>2861</v>
      </c>
      <c r="L836" s="1" t="s">
        <v>52</v>
      </c>
      <c r="M836" s="1" t="str">
        <f t="shared" si="352"/>
        <v>Isha Nair</v>
      </c>
      <c r="N836" s="1" t="s">
        <v>40</v>
      </c>
      <c r="O836" s="1" t="str">
        <f t="shared" si="353"/>
        <v>Small Business</v>
      </c>
      <c r="P836" s="1" t="s">
        <v>60</v>
      </c>
      <c r="Q836" s="1" t="str">
        <f t="shared" si="354"/>
        <v>South</v>
      </c>
      <c r="R836" s="1" t="str">
        <f t="shared" si="355"/>
        <v>OK</v>
      </c>
      <c r="S836" s="1" t="s">
        <v>224</v>
      </c>
      <c r="T836" s="1" t="str">
        <f t="shared" si="356"/>
        <v>Kerala</v>
      </c>
      <c r="U836" s="1" t="s">
        <v>225</v>
      </c>
      <c r="V836" s="1" t="str">
        <f t="shared" si="357"/>
        <v>Kochi</v>
      </c>
      <c r="W836" s="1" t="s">
        <v>83</v>
      </c>
      <c r="X836" s="1" t="str">
        <f t="shared" si="358"/>
        <v>Technology</v>
      </c>
      <c r="Y836" s="1" t="s">
        <v>207</v>
      </c>
      <c r="Z836" s="1" t="str">
        <f t="shared" si="359"/>
        <v>Phones</v>
      </c>
      <c r="AA836" s="1" t="s">
        <v>2862</v>
      </c>
      <c r="AB836" s="1"/>
      <c r="AC836" s="1" t="str">
        <f t="shared" si="360"/>
        <v>Unknown</v>
      </c>
      <c r="AD836" s="1" t="str">
        <f t="shared" si="361"/>
        <v>MISSING_SHIP_MODE</v>
      </c>
      <c r="AE836" s="1">
        <v>4</v>
      </c>
      <c r="AF836" s="1">
        <v>1178.8399999999999</v>
      </c>
      <c r="AG836" s="9">
        <v>0.25</v>
      </c>
      <c r="AH836" s="9">
        <f t="shared" si="362"/>
        <v>0.25</v>
      </c>
      <c r="AI836" s="1" t="str">
        <f t="shared" si="363"/>
        <v>OK</v>
      </c>
      <c r="AJ836" s="1">
        <v>3536.52</v>
      </c>
      <c r="AK836" s="1">
        <v>2102.41</v>
      </c>
      <c r="AL836" s="1">
        <v>1363.28</v>
      </c>
      <c r="AM836" s="13">
        <f t="shared" si="364"/>
        <v>3536.5199999999995</v>
      </c>
      <c r="AN836" s="9">
        <f t="shared" si="365"/>
        <v>1434.1099999999997</v>
      </c>
      <c r="AO836" s="9">
        <f t="shared" si="374"/>
        <v>0.40551446054313278</v>
      </c>
      <c r="AP836" s="1" t="s">
        <v>33</v>
      </c>
      <c r="AQ836" s="1" t="str">
        <f t="shared" si="366"/>
        <v>Paid</v>
      </c>
      <c r="AR836" s="1" t="str">
        <f t="shared" si="367"/>
        <v>OK</v>
      </c>
      <c r="AS836" s="1" t="s">
        <v>34</v>
      </c>
      <c r="AT836" s="4" t="str">
        <f t="shared" si="368"/>
        <v>Completed</v>
      </c>
      <c r="AU836" s="3" t="str">
        <f t="shared" si="369"/>
        <v>OK</v>
      </c>
      <c r="AV836" s="3" t="str">
        <f t="shared" si="375"/>
        <v>INVALID</v>
      </c>
      <c r="AW836" t="str">
        <f t="shared" si="376"/>
        <v>MATCH</v>
      </c>
      <c r="AX836" t="str">
        <f t="shared" si="377"/>
        <v>MISMATCH</v>
      </c>
    </row>
    <row r="837" spans="1:50" ht="15.6">
      <c r="A837" s="1" t="s">
        <v>2863</v>
      </c>
      <c r="B837" s="1">
        <f t="shared" si="351"/>
        <v>1</v>
      </c>
      <c r="C837" s="16">
        <v>45660</v>
      </c>
      <c r="D837" s="16">
        <v>45660</v>
      </c>
      <c r="E837" s="16" t="str">
        <f t="shared" si="370"/>
        <v>Jan</v>
      </c>
      <c r="F837" s="1">
        <f t="shared" si="371"/>
        <v>2025</v>
      </c>
      <c r="G837" t="s">
        <v>847</v>
      </c>
      <c r="H837" s="17">
        <v>45757</v>
      </c>
      <c r="I837" s="21">
        <f t="shared" si="372"/>
        <v>97</v>
      </c>
      <c r="J837" s="6" t="str">
        <f t="shared" si="373"/>
        <v>OK</v>
      </c>
      <c r="K837" s="1" t="s">
        <v>2864</v>
      </c>
      <c r="L837" s="1" t="s">
        <v>59</v>
      </c>
      <c r="M837" s="1" t="str">
        <f t="shared" si="352"/>
        <v>Arjun Bose</v>
      </c>
      <c r="N837" s="1" t="s">
        <v>104</v>
      </c>
      <c r="O837" s="1" t="str">
        <f t="shared" si="353"/>
        <v>Corporate</v>
      </c>
      <c r="P837" s="1" t="s">
        <v>60</v>
      </c>
      <c r="Q837" s="1" t="str">
        <f t="shared" si="354"/>
        <v>South</v>
      </c>
      <c r="R837" s="1" t="str">
        <f t="shared" si="355"/>
        <v>OK</v>
      </c>
      <c r="S837" s="1" t="s">
        <v>97</v>
      </c>
      <c r="T837" s="1" t="str">
        <f t="shared" si="356"/>
        <v>Andhra Pradesh</v>
      </c>
      <c r="U837" s="1" t="s">
        <v>98</v>
      </c>
      <c r="V837" s="1" t="str">
        <f t="shared" si="357"/>
        <v>Vijayawada</v>
      </c>
      <c r="W837" s="1" t="s">
        <v>29</v>
      </c>
      <c r="X837" s="1" t="str">
        <f t="shared" si="358"/>
        <v>Office Supplies</v>
      </c>
      <c r="Y837" s="1" t="s">
        <v>105</v>
      </c>
      <c r="Z837" s="1" t="str">
        <f t="shared" si="359"/>
        <v>Labels</v>
      </c>
      <c r="AA837" s="1" t="s">
        <v>2865</v>
      </c>
      <c r="AB837" s="1" t="s">
        <v>55</v>
      </c>
      <c r="AC837" s="1" t="str">
        <f t="shared" si="360"/>
        <v>First Class</v>
      </c>
      <c r="AD837" s="1" t="str">
        <f t="shared" si="361"/>
        <v>OK</v>
      </c>
      <c r="AE837" s="1">
        <v>7</v>
      </c>
      <c r="AF837" s="1">
        <v>567.15</v>
      </c>
      <c r="AG837" s="9"/>
      <c r="AH837" s="9">
        <f t="shared" si="362"/>
        <v>0</v>
      </c>
      <c r="AI837" s="1" t="str">
        <f t="shared" si="363"/>
        <v>Missing Discount</v>
      </c>
      <c r="AJ837" s="1">
        <v>2977.54</v>
      </c>
      <c r="AK837" s="1">
        <v>1849.3</v>
      </c>
      <c r="AL837" s="1">
        <v>1128.24</v>
      </c>
      <c r="AM837" s="13">
        <f t="shared" si="364"/>
        <v>3970.0499999999997</v>
      </c>
      <c r="AN837" s="9">
        <f t="shared" si="365"/>
        <v>2120.75</v>
      </c>
      <c r="AO837" s="9">
        <f t="shared" si="374"/>
        <v>0.53418722686112274</v>
      </c>
      <c r="AP837" s="1" t="s">
        <v>119</v>
      </c>
      <c r="AQ837" s="1" t="str">
        <f t="shared" si="366"/>
        <v>Refunded</v>
      </c>
      <c r="AR837" s="1" t="str">
        <f t="shared" si="367"/>
        <v>REFUNDED_PAYMENT</v>
      </c>
      <c r="AS837" s="1" t="s">
        <v>120</v>
      </c>
      <c r="AT837" s="4" t="str">
        <f t="shared" si="368"/>
        <v>Returned</v>
      </c>
      <c r="AU837" s="3" t="str">
        <f t="shared" si="369"/>
        <v>RETURNED_ORDER</v>
      </c>
      <c r="AV837" s="3" t="str">
        <f t="shared" si="375"/>
        <v>INVALID</v>
      </c>
      <c r="AW837" t="str">
        <f t="shared" si="376"/>
        <v>MISMATCH</v>
      </c>
      <c r="AX837" t="str">
        <f t="shared" si="377"/>
        <v>MISMATCH</v>
      </c>
    </row>
    <row r="838" spans="1:50" ht="15.6">
      <c r="A838" s="1" t="s">
        <v>2879</v>
      </c>
      <c r="B838" s="1">
        <f t="shared" si="351"/>
        <v>1</v>
      </c>
      <c r="C838" s="16">
        <v>45690</v>
      </c>
      <c r="D838" s="16">
        <v>45690</v>
      </c>
      <c r="E838" s="16" t="str">
        <f t="shared" si="370"/>
        <v>Feb</v>
      </c>
      <c r="F838" s="1">
        <f t="shared" si="371"/>
        <v>2025</v>
      </c>
      <c r="G838" t="s">
        <v>3350</v>
      </c>
      <c r="H838" s="17">
        <v>45644</v>
      </c>
      <c r="I838" s="21">
        <f t="shared" si="372"/>
        <v>-46</v>
      </c>
      <c r="J838" s="6" t="str">
        <f t="shared" si="373"/>
        <v>INVALID_SHIPPING</v>
      </c>
      <c r="K838" s="1" t="s">
        <v>2881</v>
      </c>
      <c r="L838" s="1" t="s">
        <v>24</v>
      </c>
      <c r="M838" s="1" t="str">
        <f t="shared" si="352"/>
        <v>Karan Malhotra</v>
      </c>
      <c r="N838" s="1" t="s">
        <v>40</v>
      </c>
      <c r="O838" s="1" t="str">
        <f t="shared" si="353"/>
        <v>Small Business</v>
      </c>
      <c r="P838" s="1" t="s">
        <v>71</v>
      </c>
      <c r="Q838" s="1" t="str">
        <f t="shared" si="354"/>
        <v>West</v>
      </c>
      <c r="R838" s="1" t="str">
        <f t="shared" si="355"/>
        <v>OK</v>
      </c>
      <c r="S838" s="1" t="s">
        <v>27</v>
      </c>
      <c r="T838" s="1" t="str">
        <f t="shared" si="356"/>
        <v>Rajasthan</v>
      </c>
      <c r="U838" s="1" t="s">
        <v>129</v>
      </c>
      <c r="V838" s="1" t="str">
        <f t="shared" si="357"/>
        <v>Udaipur</v>
      </c>
      <c r="W838" s="1" t="s">
        <v>44</v>
      </c>
      <c r="X838" s="1" t="str">
        <f t="shared" si="358"/>
        <v>Furniture</v>
      </c>
      <c r="Y838" s="1" t="s">
        <v>45</v>
      </c>
      <c r="Z838" s="1" t="str">
        <f t="shared" si="359"/>
        <v>Tables</v>
      </c>
      <c r="AA838" s="1" t="s">
        <v>2882</v>
      </c>
      <c r="AB838" s="1" t="s">
        <v>32</v>
      </c>
      <c r="AC838" s="1" t="str">
        <f t="shared" si="360"/>
        <v>Second Class</v>
      </c>
      <c r="AD838" s="1" t="str">
        <f t="shared" si="361"/>
        <v>OK</v>
      </c>
      <c r="AE838" s="1">
        <v>3</v>
      </c>
      <c r="AF838" s="1">
        <v>997.34</v>
      </c>
      <c r="AG838" s="9">
        <v>0.1</v>
      </c>
      <c r="AH838" s="9">
        <f t="shared" si="362"/>
        <v>0.1</v>
      </c>
      <c r="AI838" s="1" t="str">
        <f t="shared" si="363"/>
        <v>OK</v>
      </c>
      <c r="AJ838" s="1">
        <v>2692.82</v>
      </c>
      <c r="AK838" s="1">
        <v>1820.08</v>
      </c>
      <c r="AL838" s="1">
        <v>872.74</v>
      </c>
      <c r="AM838" s="13">
        <f t="shared" si="364"/>
        <v>2692.8180000000002</v>
      </c>
      <c r="AN838" s="9">
        <f t="shared" si="365"/>
        <v>872.73800000000028</v>
      </c>
      <c r="AO838" s="9">
        <f t="shared" si="374"/>
        <v>0.32409839803506968</v>
      </c>
      <c r="AP838" s="1" t="s">
        <v>33</v>
      </c>
      <c r="AQ838" s="1" t="str">
        <f t="shared" si="366"/>
        <v>Paid</v>
      </c>
      <c r="AR838" s="1" t="str">
        <f t="shared" si="367"/>
        <v>OK</v>
      </c>
      <c r="AS838" s="1" t="s">
        <v>34</v>
      </c>
      <c r="AT838" s="4" t="str">
        <f t="shared" si="368"/>
        <v>Completed</v>
      </c>
      <c r="AU838" s="3" t="str">
        <f t="shared" si="369"/>
        <v>OK</v>
      </c>
      <c r="AV838" s="3" t="str">
        <f t="shared" si="375"/>
        <v>INVALID</v>
      </c>
      <c r="AW838" t="str">
        <f t="shared" si="376"/>
        <v>MATCH</v>
      </c>
      <c r="AX838" t="str">
        <f t="shared" si="377"/>
        <v>MATCH</v>
      </c>
    </row>
    <row r="839" spans="1:50" ht="15.6" hidden="1">
      <c r="A839" s="1" t="s">
        <v>2897</v>
      </c>
      <c r="B839" s="1">
        <f t="shared" si="351"/>
        <v>1</v>
      </c>
      <c r="C839" s="16">
        <v>45832</v>
      </c>
      <c r="D839" s="16">
        <v>45832</v>
      </c>
      <c r="E839" s="16" t="str">
        <f t="shared" si="370"/>
        <v>Jun</v>
      </c>
      <c r="F839" s="1">
        <f t="shared" si="371"/>
        <v>2025</v>
      </c>
      <c r="G839" t="s">
        <v>3354</v>
      </c>
      <c r="H839" s="17">
        <v>45928</v>
      </c>
      <c r="I839" s="21">
        <f t="shared" si="372"/>
        <v>96</v>
      </c>
      <c r="J839" s="6" t="str">
        <f t="shared" si="373"/>
        <v>OK</v>
      </c>
      <c r="K839" s="1" t="s">
        <v>2899</v>
      </c>
      <c r="L839" s="1" t="s">
        <v>80</v>
      </c>
      <c r="M839" s="1" t="str">
        <f t="shared" si="352"/>
        <v>Vikram Iyer</v>
      </c>
      <c r="N839" s="1" t="s">
        <v>25</v>
      </c>
      <c r="O839" s="1" t="str">
        <f t="shared" si="353"/>
        <v>Consumer</v>
      </c>
      <c r="P839" s="1" t="s">
        <v>26</v>
      </c>
      <c r="Q839" s="1" t="str">
        <f t="shared" si="354"/>
        <v>North</v>
      </c>
      <c r="R839" s="1" t="str">
        <f t="shared" si="355"/>
        <v>OK</v>
      </c>
      <c r="S839" s="1" t="s">
        <v>27</v>
      </c>
      <c r="T839" s="1" t="str">
        <f t="shared" si="356"/>
        <v>Rajasthan</v>
      </c>
      <c r="U839" s="1" t="s">
        <v>28</v>
      </c>
      <c r="V839" s="1" t="str">
        <f t="shared" si="357"/>
        <v>Jaipur</v>
      </c>
      <c r="W839" s="1" t="s">
        <v>83</v>
      </c>
      <c r="X839" s="1" t="str">
        <f t="shared" si="358"/>
        <v>Technology</v>
      </c>
      <c r="Y839" s="1" t="s">
        <v>84</v>
      </c>
      <c r="Z839" s="1" t="str">
        <f t="shared" si="359"/>
        <v>Accessories</v>
      </c>
      <c r="AA839" s="1" t="s">
        <v>2900</v>
      </c>
      <c r="AB839" s="1" t="s">
        <v>47</v>
      </c>
      <c r="AC839" s="1" t="str">
        <f t="shared" si="360"/>
        <v>Same Day</v>
      </c>
      <c r="AD839" s="1" t="str">
        <f t="shared" si="361"/>
        <v>OK</v>
      </c>
      <c r="AE839" s="1">
        <v>5</v>
      </c>
      <c r="AF839" s="1">
        <v>3722.66</v>
      </c>
      <c r="AG839" s="9">
        <v>0.55000000000000004</v>
      </c>
      <c r="AH839" s="9">
        <f t="shared" si="362"/>
        <v>0.55000000000000004</v>
      </c>
      <c r="AI839" s="1" t="str">
        <f t="shared" si="363"/>
        <v>OK</v>
      </c>
      <c r="AJ839" s="1">
        <v>16751.97</v>
      </c>
      <c r="AK839" s="1">
        <v>11678.32</v>
      </c>
      <c r="AL839" s="1">
        <v>5073.6499999999996</v>
      </c>
      <c r="AM839" s="13">
        <f t="shared" si="364"/>
        <v>8375.9849999999988</v>
      </c>
      <c r="AN839" s="9">
        <f t="shared" si="365"/>
        <v>-3302.3350000000009</v>
      </c>
      <c r="AO839" s="9">
        <f t="shared" si="374"/>
        <v>-0.39426228676388525</v>
      </c>
      <c r="AP839" s="1" t="s">
        <v>33</v>
      </c>
      <c r="AQ839" s="1" t="str">
        <f t="shared" si="366"/>
        <v>Paid</v>
      </c>
      <c r="AR839" s="1" t="str">
        <f t="shared" si="367"/>
        <v>OK</v>
      </c>
      <c r="AS839" s="1" t="s">
        <v>34</v>
      </c>
      <c r="AT839" s="4" t="str">
        <f t="shared" si="368"/>
        <v>Completed</v>
      </c>
      <c r="AU839" s="3" t="str">
        <f t="shared" si="369"/>
        <v>OK</v>
      </c>
      <c r="AV839" s="3" t="str">
        <f t="shared" si="375"/>
        <v>CLEAN</v>
      </c>
      <c r="AW839" t="str">
        <f t="shared" si="376"/>
        <v>MISMATCH</v>
      </c>
      <c r="AX839" t="str">
        <f t="shared" si="377"/>
        <v>MISMATCH</v>
      </c>
    </row>
    <row r="840" spans="1:50" ht="15.6" hidden="1">
      <c r="A840" s="1" t="s">
        <v>2901</v>
      </c>
      <c r="B840" s="1">
        <f t="shared" si="351"/>
        <v>1</v>
      </c>
      <c r="C840" s="16">
        <v>45736</v>
      </c>
      <c r="D840" s="16">
        <v>45736</v>
      </c>
      <c r="E840" s="16" t="str">
        <f t="shared" si="370"/>
        <v>Mar</v>
      </c>
      <c r="F840" s="1">
        <f t="shared" si="371"/>
        <v>2025</v>
      </c>
      <c r="G840" t="s">
        <v>3358</v>
      </c>
      <c r="H840" s="17">
        <v>45754</v>
      </c>
      <c r="I840" s="21">
        <f t="shared" si="372"/>
        <v>18</v>
      </c>
      <c r="J840" s="6" t="str">
        <f t="shared" si="373"/>
        <v>OK</v>
      </c>
      <c r="K840" s="1" t="s">
        <v>2903</v>
      </c>
      <c r="L840" s="1" t="s">
        <v>158</v>
      </c>
      <c r="M840" s="1" t="str">
        <f t="shared" si="352"/>
        <v>Sneha Kapoor</v>
      </c>
      <c r="N840" s="1" t="s">
        <v>25</v>
      </c>
      <c r="O840" s="1" t="str">
        <f t="shared" si="353"/>
        <v>Consumer</v>
      </c>
      <c r="P840" s="1" t="s">
        <v>41</v>
      </c>
      <c r="Q840" s="1" t="str">
        <f t="shared" si="354"/>
        <v>East</v>
      </c>
      <c r="R840" s="1" t="str">
        <f t="shared" si="355"/>
        <v>OK</v>
      </c>
      <c r="S840" s="1" t="s">
        <v>201</v>
      </c>
      <c r="T840" s="1" t="str">
        <f t="shared" si="356"/>
        <v>Assam</v>
      </c>
      <c r="U840" s="1" t="s">
        <v>202</v>
      </c>
      <c r="V840" s="1" t="str">
        <f t="shared" si="357"/>
        <v>Guwahati</v>
      </c>
      <c r="W840" s="1" t="s">
        <v>44</v>
      </c>
      <c r="X840" s="1" t="str">
        <f t="shared" si="358"/>
        <v>Furniture</v>
      </c>
      <c r="Y840" s="1" t="s">
        <v>190</v>
      </c>
      <c r="Z840" s="1" t="str">
        <f t="shared" si="359"/>
        <v>Bookcases</v>
      </c>
      <c r="AA840" s="1" t="s">
        <v>2904</v>
      </c>
      <c r="AB840" s="1" t="s">
        <v>55</v>
      </c>
      <c r="AC840" s="1" t="str">
        <f t="shared" si="360"/>
        <v>First Class</v>
      </c>
      <c r="AD840" s="1" t="str">
        <f t="shared" si="361"/>
        <v>OK</v>
      </c>
      <c r="AE840" s="1">
        <v>4</v>
      </c>
      <c r="AF840" s="1">
        <v>4357.66</v>
      </c>
      <c r="AG840" s="9">
        <v>0.05</v>
      </c>
      <c r="AH840" s="9">
        <f t="shared" si="362"/>
        <v>0.05</v>
      </c>
      <c r="AI840" s="1" t="str">
        <f t="shared" si="363"/>
        <v>OK</v>
      </c>
      <c r="AJ840" s="1">
        <v>16559.11</v>
      </c>
      <c r="AK840" s="1">
        <v>13233.79</v>
      </c>
      <c r="AL840" s="1">
        <v>3325.32</v>
      </c>
      <c r="AM840" s="13">
        <f t="shared" si="364"/>
        <v>16559.108</v>
      </c>
      <c r="AN840" s="9">
        <f t="shared" si="365"/>
        <v>3325.3179999999993</v>
      </c>
      <c r="AO840" s="9">
        <f t="shared" si="374"/>
        <v>0.20081504390212318</v>
      </c>
      <c r="AP840" s="1" t="s">
        <v>33</v>
      </c>
      <c r="AQ840" s="1" t="str">
        <f t="shared" si="366"/>
        <v>Paid</v>
      </c>
      <c r="AR840" s="1" t="str">
        <f t="shared" si="367"/>
        <v>OK</v>
      </c>
      <c r="AS840" s="1" t="s">
        <v>34</v>
      </c>
      <c r="AT840" s="4" t="str">
        <f t="shared" si="368"/>
        <v>Completed</v>
      </c>
      <c r="AU840" s="3" t="str">
        <f t="shared" si="369"/>
        <v>OK</v>
      </c>
      <c r="AV840" s="3" t="str">
        <f t="shared" si="375"/>
        <v>CLEAN</v>
      </c>
      <c r="AW840" t="str">
        <f t="shared" si="376"/>
        <v>MATCH</v>
      </c>
      <c r="AX840" t="str">
        <f t="shared" si="377"/>
        <v>MATCH</v>
      </c>
    </row>
    <row r="841" spans="1:50" ht="15.6">
      <c r="A841" s="1" t="s">
        <v>2905</v>
      </c>
      <c r="B841" s="1">
        <f t="shared" si="351"/>
        <v>1</v>
      </c>
      <c r="C841" s="16">
        <v>45676</v>
      </c>
      <c r="D841" s="16">
        <v>45676</v>
      </c>
      <c r="E841" s="16" t="str">
        <f t="shared" si="370"/>
        <v>Jan</v>
      </c>
      <c r="F841" s="1">
        <f t="shared" si="371"/>
        <v>2025</v>
      </c>
      <c r="G841" t="s">
        <v>3362</v>
      </c>
      <c r="H841" s="17">
        <v>45557</v>
      </c>
      <c r="I841" s="21">
        <f t="shared" si="372"/>
        <v>-119</v>
      </c>
      <c r="J841" s="6" t="str">
        <f t="shared" si="373"/>
        <v>INVALID_SHIPPING</v>
      </c>
      <c r="K841" s="1" t="s">
        <v>2906</v>
      </c>
      <c r="L841" s="1" t="s">
        <v>334</v>
      </c>
      <c r="M841" s="1" t="str">
        <f t="shared" si="352"/>
        <v>Kabir Singh</v>
      </c>
      <c r="N841" s="1" t="s">
        <v>110</v>
      </c>
      <c r="O841" s="1" t="str">
        <f t="shared" si="353"/>
        <v>Home Office</v>
      </c>
      <c r="P841" s="1" t="s">
        <v>26</v>
      </c>
      <c r="Q841" s="1" t="str">
        <f t="shared" si="354"/>
        <v>North</v>
      </c>
      <c r="R841" s="1" t="str">
        <f t="shared" si="355"/>
        <v>OK</v>
      </c>
      <c r="S841" s="1" t="s">
        <v>146</v>
      </c>
      <c r="T841" s="1" t="str">
        <f t="shared" si="356"/>
        <v>Punjab</v>
      </c>
      <c r="U841" s="1" t="s">
        <v>147</v>
      </c>
      <c r="V841" s="1" t="str">
        <f t="shared" si="357"/>
        <v>Ludhiana</v>
      </c>
      <c r="W841" s="1" t="s">
        <v>83</v>
      </c>
      <c r="X841" s="1" t="str">
        <f t="shared" si="358"/>
        <v>Technology</v>
      </c>
      <c r="Y841" s="1" t="s">
        <v>207</v>
      </c>
      <c r="Z841" s="1" t="str">
        <f t="shared" si="359"/>
        <v>Phones</v>
      </c>
      <c r="AA841" s="1" t="s">
        <v>2907</v>
      </c>
      <c r="AB841" s="1" t="s">
        <v>47</v>
      </c>
      <c r="AC841" s="1" t="str">
        <f t="shared" si="360"/>
        <v>Same Day</v>
      </c>
      <c r="AD841" s="1" t="str">
        <f t="shared" si="361"/>
        <v>OK</v>
      </c>
      <c r="AE841" s="1">
        <v>7</v>
      </c>
      <c r="AF841" s="1">
        <v>1363.04</v>
      </c>
      <c r="AG841" s="9">
        <v>0.15</v>
      </c>
      <c r="AH841" s="9">
        <f t="shared" si="362"/>
        <v>0.15</v>
      </c>
      <c r="AI841" s="1" t="str">
        <f t="shared" si="363"/>
        <v>OK</v>
      </c>
      <c r="AJ841" s="1">
        <v>8110.09</v>
      </c>
      <c r="AK841" s="1">
        <v>6417.32</v>
      </c>
      <c r="AL841" s="1">
        <v>1692.77</v>
      </c>
      <c r="AM841" s="13">
        <f t="shared" si="364"/>
        <v>8110.0879999999988</v>
      </c>
      <c r="AN841" s="9">
        <f t="shared" si="365"/>
        <v>1692.7679999999991</v>
      </c>
      <c r="AO841" s="9">
        <f t="shared" si="374"/>
        <v>0.2087237524426368</v>
      </c>
      <c r="AP841" s="1" t="s">
        <v>33</v>
      </c>
      <c r="AQ841" s="1" t="str">
        <f t="shared" si="366"/>
        <v>Paid</v>
      </c>
      <c r="AR841" s="1" t="str">
        <f t="shared" si="367"/>
        <v>OK</v>
      </c>
      <c r="AS841" s="1" t="s">
        <v>76</v>
      </c>
      <c r="AT841" s="4" t="str">
        <f t="shared" si="368"/>
        <v>Cancelled</v>
      </c>
      <c r="AU841" s="3" t="str">
        <f t="shared" si="369"/>
        <v>EXCLUDE_FROM_SALES</v>
      </c>
      <c r="AV841" s="3" t="str">
        <f t="shared" si="375"/>
        <v>INVALID</v>
      </c>
      <c r="AW841" t="str">
        <f t="shared" si="376"/>
        <v>MATCH</v>
      </c>
      <c r="AX841" t="str">
        <f t="shared" si="377"/>
        <v>MATCH</v>
      </c>
    </row>
    <row r="842" spans="1:50" ht="15.6" hidden="1">
      <c r="A842" s="1" t="s">
        <v>2912</v>
      </c>
      <c r="B842" s="1">
        <f t="shared" si="351"/>
        <v>1</v>
      </c>
      <c r="C842" s="16">
        <v>45690</v>
      </c>
      <c r="D842" s="16">
        <v>45690</v>
      </c>
      <c r="E842" s="16" t="str">
        <f t="shared" si="370"/>
        <v>Feb</v>
      </c>
      <c r="F842" s="1">
        <f t="shared" si="371"/>
        <v>2025</v>
      </c>
      <c r="G842" t="s">
        <v>1932</v>
      </c>
      <c r="H842" s="17">
        <v>45919</v>
      </c>
      <c r="I842" s="21">
        <f t="shared" si="372"/>
        <v>229</v>
      </c>
      <c r="J842" s="6" t="str">
        <f t="shared" si="373"/>
        <v>OK</v>
      </c>
      <c r="K842" s="1" t="s">
        <v>2913</v>
      </c>
      <c r="L842" s="1" t="s">
        <v>334</v>
      </c>
      <c r="M842" s="1" t="str">
        <f t="shared" si="352"/>
        <v>Kabir Singh</v>
      </c>
      <c r="N842" s="1" t="s">
        <v>104</v>
      </c>
      <c r="O842" s="1" t="str">
        <f t="shared" si="353"/>
        <v>Corporate</v>
      </c>
      <c r="P842" s="1" t="s">
        <v>41</v>
      </c>
      <c r="Q842" s="1" t="str">
        <f t="shared" si="354"/>
        <v>East</v>
      </c>
      <c r="R842" s="1" t="str">
        <f t="shared" si="355"/>
        <v>OK</v>
      </c>
      <c r="S842" s="1" t="s">
        <v>116</v>
      </c>
      <c r="T842" s="1" t="str">
        <f t="shared" si="356"/>
        <v>West Bengal</v>
      </c>
      <c r="U842" s="1" t="s">
        <v>117</v>
      </c>
      <c r="V842" s="1" t="str">
        <f t="shared" si="357"/>
        <v>Kolkata</v>
      </c>
      <c r="W842" s="1" t="s">
        <v>83</v>
      </c>
      <c r="X842" s="1" t="str">
        <f t="shared" si="358"/>
        <v>Technology</v>
      </c>
      <c r="Y842" s="1" t="s">
        <v>347</v>
      </c>
      <c r="Z842" s="1" t="str">
        <f t="shared" si="359"/>
        <v>Machines</v>
      </c>
      <c r="AA842" s="1" t="s">
        <v>2914</v>
      </c>
      <c r="AB842" s="1" t="s">
        <v>55</v>
      </c>
      <c r="AC842" s="1" t="str">
        <f t="shared" si="360"/>
        <v>First Class</v>
      </c>
      <c r="AD842" s="1" t="str">
        <f t="shared" si="361"/>
        <v>OK</v>
      </c>
      <c r="AE842" s="1">
        <v>1</v>
      </c>
      <c r="AF842" s="1">
        <v>4326.75</v>
      </c>
      <c r="AG842" s="9">
        <v>0.05</v>
      </c>
      <c r="AH842" s="9">
        <f t="shared" si="362"/>
        <v>0.05</v>
      </c>
      <c r="AI842" s="1" t="str">
        <f t="shared" si="363"/>
        <v>OK</v>
      </c>
      <c r="AJ842" s="1">
        <v>4110.41</v>
      </c>
      <c r="AK842" s="1">
        <v>2394.14</v>
      </c>
      <c r="AL842" s="1">
        <v>1716.27</v>
      </c>
      <c r="AM842" s="13">
        <f t="shared" si="364"/>
        <v>4110.4124999999995</v>
      </c>
      <c r="AN842" s="9">
        <f t="shared" si="365"/>
        <v>1716.2724999999996</v>
      </c>
      <c r="AO842" s="9">
        <f t="shared" si="374"/>
        <v>0.41754264322619683</v>
      </c>
      <c r="AP842" s="1" t="s">
        <v>131</v>
      </c>
      <c r="AQ842" s="1" t="str">
        <f t="shared" si="366"/>
        <v>Pending</v>
      </c>
      <c r="AR842" s="1" t="str">
        <f t="shared" si="367"/>
        <v>OK</v>
      </c>
      <c r="AS842" s="1" t="s">
        <v>120</v>
      </c>
      <c r="AT842" s="4" t="str">
        <f t="shared" si="368"/>
        <v>Returned</v>
      </c>
      <c r="AU842" s="3" t="str">
        <f t="shared" si="369"/>
        <v>RETURNED_ORDER</v>
      </c>
      <c r="AV842" s="3" t="str">
        <f t="shared" si="375"/>
        <v>CLEAN</v>
      </c>
      <c r="AW842" t="str">
        <f t="shared" si="376"/>
        <v>MATCH</v>
      </c>
      <c r="AX842" t="str">
        <f t="shared" si="377"/>
        <v>MATCH</v>
      </c>
    </row>
    <row r="843" spans="1:50" ht="15.6">
      <c r="A843" s="1" t="s">
        <v>2919</v>
      </c>
      <c r="B843" s="1">
        <f t="shared" si="351"/>
        <v>1</v>
      </c>
      <c r="C843" s="16">
        <v>45814</v>
      </c>
      <c r="D843" s="16">
        <v>45814</v>
      </c>
      <c r="E843" s="16" t="str">
        <f t="shared" si="370"/>
        <v>Jun</v>
      </c>
      <c r="F843" s="1">
        <f t="shared" si="371"/>
        <v>2025</v>
      </c>
      <c r="G843" t="s">
        <v>3369</v>
      </c>
      <c r="H843" s="17">
        <v>45700</v>
      </c>
      <c r="I843" s="21">
        <f t="shared" si="372"/>
        <v>-114</v>
      </c>
      <c r="J843" s="6" t="str">
        <f t="shared" si="373"/>
        <v>INVALID_SHIPPING</v>
      </c>
      <c r="K843" s="1" t="s">
        <v>800</v>
      </c>
      <c r="L843" s="1" t="s">
        <v>39</v>
      </c>
      <c r="M843" s="1" t="str">
        <f t="shared" si="352"/>
        <v>Mira Das</v>
      </c>
      <c r="N843" s="1" t="s">
        <v>25</v>
      </c>
      <c r="O843" s="1" t="str">
        <f t="shared" si="353"/>
        <v>Consumer</v>
      </c>
      <c r="P843" s="1" t="s">
        <v>71</v>
      </c>
      <c r="Q843" s="1" t="str">
        <f t="shared" si="354"/>
        <v>West</v>
      </c>
      <c r="R843" s="1" t="str">
        <f t="shared" si="355"/>
        <v>OK</v>
      </c>
      <c r="S843" s="1" t="s">
        <v>27</v>
      </c>
      <c r="T843" s="1" t="str">
        <f t="shared" si="356"/>
        <v>Rajasthan</v>
      </c>
      <c r="U843" s="1" t="s">
        <v>129</v>
      </c>
      <c r="V843" s="1" t="str">
        <f t="shared" si="357"/>
        <v>Udaipur</v>
      </c>
      <c r="W843" s="1" t="s">
        <v>83</v>
      </c>
      <c r="X843" s="1" t="str">
        <f t="shared" si="358"/>
        <v>Technology</v>
      </c>
      <c r="Y843" s="1" t="s">
        <v>347</v>
      </c>
      <c r="Z843" s="1" t="str">
        <f t="shared" si="359"/>
        <v>Machines</v>
      </c>
      <c r="AA843" s="1" t="s">
        <v>2920</v>
      </c>
      <c r="AB843" s="1" t="s">
        <v>32</v>
      </c>
      <c r="AC843" s="1" t="str">
        <f t="shared" si="360"/>
        <v>Second Class</v>
      </c>
      <c r="AD843" s="1" t="str">
        <f t="shared" si="361"/>
        <v>OK</v>
      </c>
      <c r="AE843" s="1">
        <v>1</v>
      </c>
      <c r="AF843" s="1">
        <v>289.97000000000003</v>
      </c>
      <c r="AG843" s="9">
        <v>0.25</v>
      </c>
      <c r="AH843" s="9">
        <f t="shared" si="362"/>
        <v>0.25</v>
      </c>
      <c r="AI843" s="1" t="str">
        <f t="shared" si="363"/>
        <v>OK</v>
      </c>
      <c r="AJ843" s="1">
        <v>217.48</v>
      </c>
      <c r="AK843" s="1">
        <v>132.13</v>
      </c>
      <c r="AL843" s="1">
        <v>85.35</v>
      </c>
      <c r="AM843" s="13">
        <f t="shared" si="364"/>
        <v>217.47750000000002</v>
      </c>
      <c r="AN843" s="9">
        <f t="shared" si="365"/>
        <v>85.347500000000025</v>
      </c>
      <c r="AO843" s="9">
        <f t="shared" si="374"/>
        <v>0.39244289639158081</v>
      </c>
      <c r="AP843" s="1" t="s">
        <v>33</v>
      </c>
      <c r="AQ843" s="1" t="str">
        <f t="shared" si="366"/>
        <v>Paid</v>
      </c>
      <c r="AR843" s="1" t="str">
        <f t="shared" si="367"/>
        <v>OK</v>
      </c>
      <c r="AS843" s="1" t="s">
        <v>34</v>
      </c>
      <c r="AT843" s="4" t="str">
        <f t="shared" si="368"/>
        <v>Completed</v>
      </c>
      <c r="AU843" s="3" t="str">
        <f t="shared" si="369"/>
        <v>OK</v>
      </c>
      <c r="AV843" s="3" t="str">
        <f t="shared" si="375"/>
        <v>INVALID</v>
      </c>
      <c r="AW843" t="str">
        <f t="shared" si="376"/>
        <v>MATCH</v>
      </c>
      <c r="AX843" t="str">
        <f t="shared" si="377"/>
        <v>MATCH</v>
      </c>
    </row>
    <row r="844" spans="1:50" ht="15.6">
      <c r="A844" s="1" t="s">
        <v>2921</v>
      </c>
      <c r="B844" s="1">
        <f t="shared" si="351"/>
        <v>1</v>
      </c>
      <c r="C844" s="16">
        <v>45738</v>
      </c>
      <c r="D844" s="16">
        <v>45738</v>
      </c>
      <c r="E844" s="16" t="str">
        <f t="shared" si="370"/>
        <v>Mar</v>
      </c>
      <c r="F844" s="1">
        <f t="shared" si="371"/>
        <v>2025</v>
      </c>
      <c r="G844" t="s">
        <v>3373</v>
      </c>
      <c r="H844" s="17">
        <v>45381</v>
      </c>
      <c r="I844" s="21">
        <f t="shared" si="372"/>
        <v>-357</v>
      </c>
      <c r="J844" s="6" t="str">
        <f t="shared" si="373"/>
        <v>INVALID_SHIPPING</v>
      </c>
      <c r="K844" s="1" t="s">
        <v>2922</v>
      </c>
      <c r="L844" s="1" t="s">
        <v>24</v>
      </c>
      <c r="M844" s="1" t="str">
        <f t="shared" si="352"/>
        <v>Karan Malhotra</v>
      </c>
      <c r="N844" s="1" t="s">
        <v>110</v>
      </c>
      <c r="O844" s="1" t="str">
        <f t="shared" si="353"/>
        <v>Home Office</v>
      </c>
      <c r="P844" s="1" t="s">
        <v>26</v>
      </c>
      <c r="Q844" s="1" t="str">
        <f t="shared" si="354"/>
        <v>North</v>
      </c>
      <c r="R844" s="1" t="str">
        <f t="shared" si="355"/>
        <v>OK</v>
      </c>
      <c r="S844" s="1" t="s">
        <v>454</v>
      </c>
      <c r="T844" s="1" t="str">
        <f t="shared" si="356"/>
        <v>Delhi</v>
      </c>
      <c r="U844" s="1" t="s">
        <v>455</v>
      </c>
      <c r="V844" s="1" t="str">
        <f t="shared" si="357"/>
        <v>New Delhi</v>
      </c>
      <c r="W844" s="1" t="s">
        <v>83</v>
      </c>
      <c r="X844" s="1" t="str">
        <f t="shared" si="358"/>
        <v>Technology</v>
      </c>
      <c r="Y844" s="1" t="s">
        <v>91</v>
      </c>
      <c r="Z844" s="1" t="str">
        <f t="shared" si="359"/>
        <v>Copiers</v>
      </c>
      <c r="AA844" s="1" t="s">
        <v>2923</v>
      </c>
      <c r="AB844" s="1" t="s">
        <v>65</v>
      </c>
      <c r="AC844" s="1" t="str">
        <f t="shared" si="360"/>
        <v>Standard Class</v>
      </c>
      <c r="AD844" s="1" t="str">
        <f t="shared" si="361"/>
        <v>OK</v>
      </c>
      <c r="AE844" s="1">
        <v>9</v>
      </c>
      <c r="AF844" s="1">
        <v>2075.02</v>
      </c>
      <c r="AG844" s="9">
        <v>0</v>
      </c>
      <c r="AH844" s="9">
        <f t="shared" si="362"/>
        <v>0</v>
      </c>
      <c r="AI844" s="1" t="str">
        <f t="shared" si="363"/>
        <v>OK</v>
      </c>
      <c r="AJ844" s="1">
        <v>18675.18</v>
      </c>
      <c r="AK844" s="1">
        <v>13974.7</v>
      </c>
      <c r="AL844" s="1">
        <v>4700.4799999999996</v>
      </c>
      <c r="AM844" s="13">
        <f t="shared" si="364"/>
        <v>18675.18</v>
      </c>
      <c r="AN844" s="9">
        <f t="shared" si="365"/>
        <v>4700.4799999999996</v>
      </c>
      <c r="AO844" s="9">
        <f t="shared" si="374"/>
        <v>0.25169663692665878</v>
      </c>
      <c r="AP844" s="1" t="s">
        <v>33</v>
      </c>
      <c r="AQ844" s="1" t="str">
        <f t="shared" si="366"/>
        <v>Paid</v>
      </c>
      <c r="AR844" s="1" t="str">
        <f t="shared" si="367"/>
        <v>OK</v>
      </c>
      <c r="AS844" s="1" t="s">
        <v>34</v>
      </c>
      <c r="AT844" s="4" t="str">
        <f t="shared" si="368"/>
        <v>Completed</v>
      </c>
      <c r="AU844" s="3" t="str">
        <f t="shared" si="369"/>
        <v>OK</v>
      </c>
      <c r="AV844" s="3" t="str">
        <f t="shared" si="375"/>
        <v>INVALID</v>
      </c>
      <c r="AW844" t="str">
        <f t="shared" si="376"/>
        <v>MATCH</v>
      </c>
      <c r="AX844" t="str">
        <f t="shared" si="377"/>
        <v>MATCH</v>
      </c>
    </row>
    <row r="845" spans="1:50" ht="15.6">
      <c r="A845" s="1" t="s">
        <v>2924</v>
      </c>
      <c r="B845" s="1">
        <f t="shared" si="351"/>
        <v>1</v>
      </c>
      <c r="C845" s="16">
        <v>45891</v>
      </c>
      <c r="D845" s="16">
        <v>45891</v>
      </c>
      <c r="E845" s="16" t="str">
        <f t="shared" si="370"/>
        <v>Aug</v>
      </c>
      <c r="F845" s="1">
        <f t="shared" si="371"/>
        <v>2025</v>
      </c>
      <c r="G845" t="s">
        <v>3378</v>
      </c>
      <c r="H845" s="17">
        <v>45863</v>
      </c>
      <c r="I845" s="21">
        <f t="shared" si="372"/>
        <v>-28</v>
      </c>
      <c r="J845" s="6" t="str">
        <f t="shared" si="373"/>
        <v>INVALID_SHIPPING</v>
      </c>
      <c r="K845" s="1" t="s">
        <v>2925</v>
      </c>
      <c r="L845" s="1" t="s">
        <v>136</v>
      </c>
      <c r="M845" s="1" t="str">
        <f t="shared" si="352"/>
        <v>Priya Menon</v>
      </c>
      <c r="N845" s="1" t="s">
        <v>25</v>
      </c>
      <c r="O845" s="1" t="str">
        <f t="shared" si="353"/>
        <v>Consumer</v>
      </c>
      <c r="P845" s="1" t="s">
        <v>26</v>
      </c>
      <c r="Q845" s="1" t="str">
        <f t="shared" si="354"/>
        <v>North</v>
      </c>
      <c r="R845" s="1" t="str">
        <f t="shared" si="355"/>
        <v>OK</v>
      </c>
      <c r="S845" s="1" t="s">
        <v>294</v>
      </c>
      <c r="T845" s="1" t="str">
        <f t="shared" si="356"/>
        <v>Haryana</v>
      </c>
      <c r="U845" s="1" t="s">
        <v>295</v>
      </c>
      <c r="V845" s="1" t="str">
        <f t="shared" si="357"/>
        <v>Gurugram</v>
      </c>
      <c r="W845" s="1" t="s">
        <v>44</v>
      </c>
      <c r="X845" s="1" t="str">
        <f t="shared" si="358"/>
        <v>Furniture</v>
      </c>
      <c r="Y845" s="1" t="s">
        <v>74</v>
      </c>
      <c r="Z845" s="1" t="str">
        <f t="shared" si="359"/>
        <v>Chairs</v>
      </c>
      <c r="AA845" s="1" t="s">
        <v>2926</v>
      </c>
      <c r="AB845" s="1" t="s">
        <v>32</v>
      </c>
      <c r="AC845" s="1" t="str">
        <f t="shared" si="360"/>
        <v>Second Class</v>
      </c>
      <c r="AD845" s="1" t="str">
        <f t="shared" si="361"/>
        <v>OK</v>
      </c>
      <c r="AE845" s="1">
        <v>7</v>
      </c>
      <c r="AF845" s="1">
        <v>2843.09</v>
      </c>
      <c r="AG845" s="9">
        <v>0</v>
      </c>
      <c r="AH845" s="9">
        <f t="shared" si="362"/>
        <v>0</v>
      </c>
      <c r="AI845" s="1" t="str">
        <f t="shared" si="363"/>
        <v>OK</v>
      </c>
      <c r="AJ845" s="1">
        <v>19901.63</v>
      </c>
      <c r="AK845" s="1">
        <v>15492.03</v>
      </c>
      <c r="AL845" s="1">
        <v>4409.6000000000004</v>
      </c>
      <c r="AM845" s="13">
        <f t="shared" si="364"/>
        <v>19901.63</v>
      </c>
      <c r="AN845" s="9">
        <f t="shared" si="365"/>
        <v>4409.6000000000004</v>
      </c>
      <c r="AO845" s="9">
        <f t="shared" si="374"/>
        <v>0.22156979101711771</v>
      </c>
      <c r="AP845" s="1" t="s">
        <v>119</v>
      </c>
      <c r="AQ845" s="1" t="str">
        <f t="shared" si="366"/>
        <v>Refunded</v>
      </c>
      <c r="AR845" s="1" t="str">
        <f t="shared" si="367"/>
        <v>REFUNDED_PAYMENT</v>
      </c>
      <c r="AS845" s="1" t="s">
        <v>76</v>
      </c>
      <c r="AT845" s="4" t="str">
        <f t="shared" si="368"/>
        <v>Cancelled</v>
      </c>
      <c r="AU845" s="3" t="str">
        <f t="shared" si="369"/>
        <v>EXCLUDE_FROM_SALES</v>
      </c>
      <c r="AV845" s="3" t="str">
        <f t="shared" si="375"/>
        <v>INVALID</v>
      </c>
      <c r="AW845" t="str">
        <f t="shared" si="376"/>
        <v>MATCH</v>
      </c>
      <c r="AX845" t="str">
        <f t="shared" si="377"/>
        <v>MATCH</v>
      </c>
    </row>
    <row r="846" spans="1:50" ht="15.6">
      <c r="A846" s="1" t="s">
        <v>2927</v>
      </c>
      <c r="B846" s="1">
        <f t="shared" si="351"/>
        <v>1</v>
      </c>
      <c r="C846" s="16">
        <v>45895</v>
      </c>
      <c r="D846" s="16">
        <v>45895</v>
      </c>
      <c r="E846" s="16" t="str">
        <f t="shared" si="370"/>
        <v>Aug</v>
      </c>
      <c r="F846" s="1">
        <f t="shared" si="371"/>
        <v>2025</v>
      </c>
      <c r="G846" t="s">
        <v>3382</v>
      </c>
      <c r="H846" s="17">
        <v>45682</v>
      </c>
      <c r="I846" s="21">
        <f t="shared" si="372"/>
        <v>-213</v>
      </c>
      <c r="J846" s="6" t="str">
        <f t="shared" si="373"/>
        <v>INVALID_SHIPPING</v>
      </c>
      <c r="K846" s="1" t="s">
        <v>2928</v>
      </c>
      <c r="L846" s="1" t="s">
        <v>196</v>
      </c>
      <c r="M846" s="1" t="str">
        <f t="shared" si="352"/>
        <v>Diya Patel</v>
      </c>
      <c r="N846" s="1" t="s">
        <v>40</v>
      </c>
      <c r="O846" s="1" t="str">
        <f t="shared" si="353"/>
        <v>Small Business</v>
      </c>
      <c r="P846" s="1" t="s">
        <v>26</v>
      </c>
      <c r="Q846" s="1" t="str">
        <f t="shared" si="354"/>
        <v>North</v>
      </c>
      <c r="R846" s="1" t="str">
        <f t="shared" si="355"/>
        <v>OK</v>
      </c>
      <c r="S846" s="1" t="s">
        <v>294</v>
      </c>
      <c r="T846" s="1" t="str">
        <f t="shared" si="356"/>
        <v>Haryana</v>
      </c>
      <c r="U846" s="1" t="s">
        <v>295</v>
      </c>
      <c r="V846" s="1" t="str">
        <f t="shared" si="357"/>
        <v>Gurugram</v>
      </c>
      <c r="W846" s="1" t="s">
        <v>83</v>
      </c>
      <c r="X846" s="1" t="str">
        <f t="shared" si="358"/>
        <v>Technology</v>
      </c>
      <c r="Y846" s="1" t="s">
        <v>207</v>
      </c>
      <c r="Z846" s="1" t="str">
        <f t="shared" si="359"/>
        <v>Phones</v>
      </c>
      <c r="AA846" s="1" t="s">
        <v>2929</v>
      </c>
      <c r="AB846" s="1" t="s">
        <v>55</v>
      </c>
      <c r="AC846" s="1" t="str">
        <f t="shared" si="360"/>
        <v>First Class</v>
      </c>
      <c r="AD846" s="1" t="str">
        <f t="shared" si="361"/>
        <v>OK</v>
      </c>
      <c r="AE846" s="1">
        <v>1</v>
      </c>
      <c r="AF846" s="1">
        <v>3388.02</v>
      </c>
      <c r="AG846" s="9">
        <v>0.15</v>
      </c>
      <c r="AH846" s="9">
        <f t="shared" si="362"/>
        <v>0.15</v>
      </c>
      <c r="AI846" s="1" t="str">
        <f t="shared" si="363"/>
        <v>OK</v>
      </c>
      <c r="AJ846" s="1">
        <v>2879.82</v>
      </c>
      <c r="AK846" s="1">
        <v>1824.88</v>
      </c>
      <c r="AL846" s="1">
        <v>1054.94</v>
      </c>
      <c r="AM846" s="13">
        <f t="shared" si="364"/>
        <v>2879.817</v>
      </c>
      <c r="AN846" s="9">
        <f t="shared" si="365"/>
        <v>1054.9369999999999</v>
      </c>
      <c r="AO846" s="9">
        <f t="shared" si="374"/>
        <v>0.3663208460815392</v>
      </c>
      <c r="AP846" s="1" t="s">
        <v>33</v>
      </c>
      <c r="AQ846" s="1" t="str">
        <f t="shared" si="366"/>
        <v>Paid</v>
      </c>
      <c r="AR846" s="1" t="str">
        <f t="shared" si="367"/>
        <v>OK</v>
      </c>
      <c r="AS846" s="1" t="s">
        <v>34</v>
      </c>
      <c r="AT846" s="4" t="str">
        <f t="shared" si="368"/>
        <v>Completed</v>
      </c>
      <c r="AU846" s="3" t="str">
        <f t="shared" si="369"/>
        <v>OK</v>
      </c>
      <c r="AV846" s="3" t="str">
        <f t="shared" si="375"/>
        <v>INVALID</v>
      </c>
      <c r="AW846" t="str">
        <f t="shared" si="376"/>
        <v>MATCH</v>
      </c>
      <c r="AX846" t="str">
        <f t="shared" si="377"/>
        <v>MATCH</v>
      </c>
    </row>
    <row r="847" spans="1:50" ht="15.6">
      <c r="A847" s="1" t="s">
        <v>2930</v>
      </c>
      <c r="B847" s="1">
        <f t="shared" si="351"/>
        <v>1</v>
      </c>
      <c r="C847" s="16">
        <v>45942</v>
      </c>
      <c r="D847" s="16">
        <v>45942</v>
      </c>
      <c r="E847" s="16" t="str">
        <f t="shared" si="370"/>
        <v>Oct</v>
      </c>
      <c r="F847" s="1">
        <f t="shared" si="371"/>
        <v>2025</v>
      </c>
      <c r="G847" t="s">
        <v>3386</v>
      </c>
      <c r="H847" s="17">
        <v>45349</v>
      </c>
      <c r="I847" s="21">
        <f t="shared" si="372"/>
        <v>-593</v>
      </c>
      <c r="J847" s="6" t="str">
        <f t="shared" si="373"/>
        <v>INVALID_SHIPPING</v>
      </c>
      <c r="K847" s="1" t="s">
        <v>2931</v>
      </c>
      <c r="L847" s="1" t="s">
        <v>334</v>
      </c>
      <c r="M847" s="1" t="str">
        <f t="shared" si="352"/>
        <v>Kabir Singh</v>
      </c>
      <c r="N847" s="1" t="s">
        <v>40</v>
      </c>
      <c r="O847" s="1" t="str">
        <f t="shared" si="353"/>
        <v>Small Business</v>
      </c>
      <c r="P847" s="1" t="s">
        <v>26</v>
      </c>
      <c r="Q847" s="1" t="str">
        <f t="shared" si="354"/>
        <v>North</v>
      </c>
      <c r="R847" s="1" t="str">
        <f t="shared" si="355"/>
        <v>OK</v>
      </c>
      <c r="S847" s="1" t="s">
        <v>294</v>
      </c>
      <c r="T847" s="1" t="str">
        <f t="shared" si="356"/>
        <v>Haryana</v>
      </c>
      <c r="U847" s="1" t="s">
        <v>295</v>
      </c>
      <c r="V847" s="1" t="str">
        <f t="shared" si="357"/>
        <v>Gurugram</v>
      </c>
      <c r="W847" s="1" t="s">
        <v>83</v>
      </c>
      <c r="X847" s="1" t="str">
        <f t="shared" si="358"/>
        <v>Technology</v>
      </c>
      <c r="Y847" s="1" t="s">
        <v>347</v>
      </c>
      <c r="Z847" s="1" t="str">
        <f t="shared" si="359"/>
        <v>Machines</v>
      </c>
      <c r="AA847" s="1" t="s">
        <v>2932</v>
      </c>
      <c r="AB847" s="1" t="s">
        <v>65</v>
      </c>
      <c r="AC847" s="1" t="str">
        <f t="shared" si="360"/>
        <v>Standard Class</v>
      </c>
      <c r="AD847" s="1" t="str">
        <f t="shared" si="361"/>
        <v>OK</v>
      </c>
      <c r="AE847" s="1">
        <v>9</v>
      </c>
      <c r="AF847" s="1">
        <v>2598.92</v>
      </c>
      <c r="AG847" s="9">
        <v>0.2</v>
      </c>
      <c r="AH847" s="9">
        <f t="shared" si="362"/>
        <v>0.2</v>
      </c>
      <c r="AI847" s="1" t="str">
        <f t="shared" si="363"/>
        <v>OK</v>
      </c>
      <c r="AJ847" s="1">
        <v>18712.22</v>
      </c>
      <c r="AK847" s="1">
        <v>11852.22</v>
      </c>
      <c r="AL847" s="1">
        <v>6860</v>
      </c>
      <c r="AM847" s="13">
        <f t="shared" si="364"/>
        <v>18712.223999999998</v>
      </c>
      <c r="AN847" s="9">
        <f t="shared" si="365"/>
        <v>6860.003999999999</v>
      </c>
      <c r="AO847" s="9">
        <f t="shared" si="374"/>
        <v>0.3666054874075898</v>
      </c>
      <c r="AP847" s="1" t="s">
        <v>131</v>
      </c>
      <c r="AQ847" s="1" t="str">
        <f t="shared" si="366"/>
        <v>Pending</v>
      </c>
      <c r="AR847" s="1" t="str">
        <f t="shared" si="367"/>
        <v>OK</v>
      </c>
      <c r="AS847" s="1" t="s">
        <v>76</v>
      </c>
      <c r="AT847" s="4" t="str">
        <f t="shared" si="368"/>
        <v>Cancelled</v>
      </c>
      <c r="AU847" s="3" t="str">
        <f t="shared" si="369"/>
        <v>EXCLUDE_FROM_SALES</v>
      </c>
      <c r="AV847" s="3" t="str">
        <f t="shared" si="375"/>
        <v>INVALID</v>
      </c>
      <c r="AW847" t="str">
        <f t="shared" si="376"/>
        <v>MATCH</v>
      </c>
      <c r="AX847" t="str">
        <f t="shared" si="377"/>
        <v>MATCH</v>
      </c>
    </row>
    <row r="848" spans="1:50" ht="15.6">
      <c r="A848" s="1" t="s">
        <v>2936</v>
      </c>
      <c r="B848" s="1">
        <f t="shared" si="351"/>
        <v>2</v>
      </c>
      <c r="C848" s="16">
        <v>45878</v>
      </c>
      <c r="D848" s="16">
        <v>45878</v>
      </c>
      <c r="E848" s="16" t="str">
        <f t="shared" si="370"/>
        <v>Aug</v>
      </c>
      <c r="F848" s="1">
        <f t="shared" si="371"/>
        <v>2025</v>
      </c>
      <c r="G848" t="s">
        <v>3389</v>
      </c>
      <c r="H848" s="17">
        <v>45404</v>
      </c>
      <c r="I848" s="21">
        <f t="shared" si="372"/>
        <v>-474</v>
      </c>
      <c r="J848" s="6" t="str">
        <f t="shared" si="373"/>
        <v>INVALID_SHIPPING</v>
      </c>
      <c r="K848" s="1" t="s">
        <v>173</v>
      </c>
      <c r="L848" s="1" t="s">
        <v>334</v>
      </c>
      <c r="M848" s="1" t="str">
        <f t="shared" si="352"/>
        <v>Kabir Singh</v>
      </c>
      <c r="N848" s="1" t="s">
        <v>104</v>
      </c>
      <c r="O848" s="1" t="str">
        <f t="shared" si="353"/>
        <v>Corporate</v>
      </c>
      <c r="P848" s="1" t="s">
        <v>71</v>
      </c>
      <c r="Q848" s="1" t="str">
        <f t="shared" si="354"/>
        <v>West</v>
      </c>
      <c r="R848" s="1" t="str">
        <f t="shared" si="355"/>
        <v>OK</v>
      </c>
      <c r="S848" s="1" t="s">
        <v>218</v>
      </c>
      <c r="T848" s="1" t="str">
        <f t="shared" si="356"/>
        <v>Gujarat</v>
      </c>
      <c r="U848" s="1" t="s">
        <v>219</v>
      </c>
      <c r="V848" s="1" t="str">
        <f t="shared" si="357"/>
        <v>Ahmedabad</v>
      </c>
      <c r="W848" s="1" t="s">
        <v>29</v>
      </c>
      <c r="X848" s="1" t="str">
        <f t="shared" si="358"/>
        <v>Office Supplies</v>
      </c>
      <c r="Y848" s="1" t="s">
        <v>53</v>
      </c>
      <c r="Z848" s="1" t="str">
        <f t="shared" si="359"/>
        <v>Art</v>
      </c>
      <c r="AA848" s="1" t="s">
        <v>2937</v>
      </c>
      <c r="AB848" s="1" t="s">
        <v>47</v>
      </c>
      <c r="AC848" s="1" t="str">
        <f t="shared" si="360"/>
        <v>Same Day</v>
      </c>
      <c r="AD848" s="1" t="str">
        <f t="shared" si="361"/>
        <v>OK</v>
      </c>
      <c r="AE848" s="1">
        <v>2</v>
      </c>
      <c r="AF848" s="1">
        <v>2372.41</v>
      </c>
      <c r="AG848" s="9">
        <v>0.2</v>
      </c>
      <c r="AH848" s="9">
        <f t="shared" si="362"/>
        <v>0.2</v>
      </c>
      <c r="AI848" s="1" t="str">
        <f t="shared" si="363"/>
        <v>OK</v>
      </c>
      <c r="AJ848" s="1">
        <v>3795.86</v>
      </c>
      <c r="AK848" s="1">
        <v>2264.92</v>
      </c>
      <c r="AL848" s="1">
        <v>1530.94</v>
      </c>
      <c r="AM848" s="13">
        <f t="shared" si="364"/>
        <v>3795.8559999999998</v>
      </c>
      <c r="AN848" s="9">
        <f t="shared" si="365"/>
        <v>1530.9359999999997</v>
      </c>
      <c r="AO848" s="9">
        <f t="shared" si="374"/>
        <v>0.40331772332775528</v>
      </c>
      <c r="AP848" s="1" t="s">
        <v>33</v>
      </c>
      <c r="AQ848" s="1" t="str">
        <f t="shared" si="366"/>
        <v>Paid</v>
      </c>
      <c r="AR848" s="1" t="str">
        <f t="shared" si="367"/>
        <v>OK</v>
      </c>
      <c r="AS848" s="1" t="s">
        <v>34</v>
      </c>
      <c r="AT848" s="4" t="str">
        <f t="shared" si="368"/>
        <v>Completed</v>
      </c>
      <c r="AU848" s="3" t="str">
        <f t="shared" si="369"/>
        <v>OK</v>
      </c>
      <c r="AV848" s="3" t="str">
        <f t="shared" si="375"/>
        <v>INVALID</v>
      </c>
      <c r="AW848" t="str">
        <f t="shared" si="376"/>
        <v>MATCH</v>
      </c>
      <c r="AX848" t="str">
        <f t="shared" si="377"/>
        <v>MATCH</v>
      </c>
    </row>
    <row r="849" spans="1:50" ht="15.6">
      <c r="A849" s="1" t="s">
        <v>2936</v>
      </c>
      <c r="B849" s="1">
        <f t="shared" si="351"/>
        <v>2</v>
      </c>
      <c r="C849" s="16">
        <v>45878</v>
      </c>
      <c r="D849" s="16">
        <v>45878</v>
      </c>
      <c r="E849" s="16" t="str">
        <f t="shared" si="370"/>
        <v>Aug</v>
      </c>
      <c r="F849" s="1">
        <f t="shared" si="371"/>
        <v>2025</v>
      </c>
      <c r="G849" t="s">
        <v>3393</v>
      </c>
      <c r="H849" s="17">
        <v>45799</v>
      </c>
      <c r="I849" s="21">
        <f t="shared" si="372"/>
        <v>-79</v>
      </c>
      <c r="J849" s="6" t="str">
        <f t="shared" si="373"/>
        <v>INVALID_SHIPPING</v>
      </c>
      <c r="K849" s="1" t="s">
        <v>173</v>
      </c>
      <c r="L849" s="1" t="s">
        <v>334</v>
      </c>
      <c r="M849" s="1" t="str">
        <f t="shared" si="352"/>
        <v>Kabir Singh</v>
      </c>
      <c r="N849" s="1" t="s">
        <v>104</v>
      </c>
      <c r="O849" s="1" t="str">
        <f t="shared" si="353"/>
        <v>Corporate</v>
      </c>
      <c r="P849" s="1" t="s">
        <v>71</v>
      </c>
      <c r="Q849" s="1" t="str">
        <f t="shared" si="354"/>
        <v>West</v>
      </c>
      <c r="R849" s="1" t="str">
        <f t="shared" si="355"/>
        <v>OK</v>
      </c>
      <c r="S849" s="1" t="s">
        <v>218</v>
      </c>
      <c r="T849" s="1" t="str">
        <f t="shared" si="356"/>
        <v>Gujarat</v>
      </c>
      <c r="U849" s="1" t="s">
        <v>219</v>
      </c>
      <c r="V849" s="1" t="str">
        <f t="shared" si="357"/>
        <v>Ahmedabad</v>
      </c>
      <c r="W849" s="1" t="s">
        <v>29</v>
      </c>
      <c r="X849" s="1" t="str">
        <f t="shared" si="358"/>
        <v>Office Supplies</v>
      </c>
      <c r="Y849" s="1" t="s">
        <v>53</v>
      </c>
      <c r="Z849" s="1" t="str">
        <f t="shared" si="359"/>
        <v>Art</v>
      </c>
      <c r="AA849" s="1" t="s">
        <v>2937</v>
      </c>
      <c r="AB849" s="1" t="s">
        <v>47</v>
      </c>
      <c r="AC849" s="1" t="str">
        <f t="shared" si="360"/>
        <v>Same Day</v>
      </c>
      <c r="AD849" s="1" t="str">
        <f t="shared" si="361"/>
        <v>OK</v>
      </c>
      <c r="AE849" s="1">
        <v>2</v>
      </c>
      <c r="AF849" s="1">
        <v>2372.41</v>
      </c>
      <c r="AG849" s="9">
        <v>0.2</v>
      </c>
      <c r="AH849" s="9">
        <f t="shared" si="362"/>
        <v>0.2</v>
      </c>
      <c r="AI849" s="1" t="str">
        <f t="shared" si="363"/>
        <v>OK</v>
      </c>
      <c r="AJ849" s="1">
        <v>3795.86</v>
      </c>
      <c r="AK849" s="1">
        <v>2264.92</v>
      </c>
      <c r="AL849" s="1">
        <v>1530.94</v>
      </c>
      <c r="AM849" s="13">
        <f t="shared" si="364"/>
        <v>3795.8559999999998</v>
      </c>
      <c r="AN849" s="9">
        <f t="shared" si="365"/>
        <v>1530.9359999999997</v>
      </c>
      <c r="AO849" s="9">
        <f t="shared" si="374"/>
        <v>0.40331772332775528</v>
      </c>
      <c r="AP849" s="1" t="s">
        <v>33</v>
      </c>
      <c r="AQ849" s="1" t="str">
        <f t="shared" si="366"/>
        <v>Paid</v>
      </c>
      <c r="AR849" s="1" t="str">
        <f t="shared" si="367"/>
        <v>OK</v>
      </c>
      <c r="AS849" s="1" t="s">
        <v>34</v>
      </c>
      <c r="AT849" s="4" t="str">
        <f t="shared" si="368"/>
        <v>Completed</v>
      </c>
      <c r="AU849" s="3" t="str">
        <f t="shared" si="369"/>
        <v>OK</v>
      </c>
      <c r="AV849" s="3" t="str">
        <f t="shared" si="375"/>
        <v>INVALID</v>
      </c>
      <c r="AW849" t="str">
        <f t="shared" si="376"/>
        <v>MATCH</v>
      </c>
      <c r="AX849" t="str">
        <f t="shared" si="377"/>
        <v>MATCH</v>
      </c>
    </row>
    <row r="850" spans="1:50" ht="15.6">
      <c r="A850" s="1" t="s">
        <v>2942</v>
      </c>
      <c r="B850" s="1">
        <f t="shared" si="351"/>
        <v>1</v>
      </c>
      <c r="C850" s="16">
        <v>45827</v>
      </c>
      <c r="D850" s="16">
        <v>45827</v>
      </c>
      <c r="E850" s="16" t="str">
        <f t="shared" si="370"/>
        <v>Jun</v>
      </c>
      <c r="F850" s="1">
        <f t="shared" si="371"/>
        <v>2025</v>
      </c>
      <c r="G850" t="s">
        <v>3397</v>
      </c>
      <c r="H850" s="17">
        <v>45806</v>
      </c>
      <c r="I850" s="21">
        <f t="shared" si="372"/>
        <v>-21</v>
      </c>
      <c r="J850" s="6" t="str">
        <f t="shared" si="373"/>
        <v>INVALID_SHIPPING</v>
      </c>
      <c r="K850" s="1" t="s">
        <v>2944</v>
      </c>
      <c r="L850" s="1" t="s">
        <v>158</v>
      </c>
      <c r="M850" s="1" t="str">
        <f t="shared" si="352"/>
        <v>Sneha Kapoor</v>
      </c>
      <c r="N850" s="1" t="s">
        <v>25</v>
      </c>
      <c r="O850" s="1" t="str">
        <f t="shared" si="353"/>
        <v>Consumer</v>
      </c>
      <c r="P850" s="1" t="s">
        <v>60</v>
      </c>
      <c r="Q850" s="1" t="str">
        <f t="shared" si="354"/>
        <v>South</v>
      </c>
      <c r="R850" s="1" t="str">
        <f t="shared" si="355"/>
        <v>OK</v>
      </c>
      <c r="S850" s="1" t="s">
        <v>212</v>
      </c>
      <c r="T850" s="1" t="str">
        <f t="shared" si="356"/>
        <v>Karnataka</v>
      </c>
      <c r="U850" s="1" t="s">
        <v>213</v>
      </c>
      <c r="V850" s="1" t="str">
        <f t="shared" si="357"/>
        <v>Bengaluru</v>
      </c>
      <c r="W850" s="1" t="s">
        <v>83</v>
      </c>
      <c r="X850" s="1" t="str">
        <f t="shared" si="358"/>
        <v>Technology</v>
      </c>
      <c r="Y850" s="1" t="s">
        <v>91</v>
      </c>
      <c r="Z850" s="1" t="str">
        <f t="shared" si="359"/>
        <v>Copiers</v>
      </c>
      <c r="AA850" s="1" t="s">
        <v>2945</v>
      </c>
      <c r="AB850" s="1" t="s">
        <v>55</v>
      </c>
      <c r="AC850" s="1" t="str">
        <f t="shared" si="360"/>
        <v>First Class</v>
      </c>
      <c r="AD850" s="1" t="str">
        <f t="shared" si="361"/>
        <v>OK</v>
      </c>
      <c r="AE850" s="1">
        <v>5</v>
      </c>
      <c r="AF850" s="1">
        <v>2729.95</v>
      </c>
      <c r="AG850" s="9">
        <v>0</v>
      </c>
      <c r="AH850" s="9">
        <f t="shared" si="362"/>
        <v>0</v>
      </c>
      <c r="AI850" s="1" t="str">
        <f t="shared" si="363"/>
        <v>OK</v>
      </c>
      <c r="AJ850" s="1">
        <v>13649.75</v>
      </c>
      <c r="AK850" s="1">
        <v>10288.030000000001</v>
      </c>
      <c r="AL850" s="1">
        <v>3361.72</v>
      </c>
      <c r="AM850" s="13">
        <f t="shared" si="364"/>
        <v>13649.75</v>
      </c>
      <c r="AN850" s="9">
        <f t="shared" si="365"/>
        <v>3361.7199999999993</v>
      </c>
      <c r="AO850" s="9">
        <f t="shared" si="374"/>
        <v>0.24628436418249414</v>
      </c>
      <c r="AP850" s="1" t="s">
        <v>33</v>
      </c>
      <c r="AQ850" s="1" t="str">
        <f t="shared" si="366"/>
        <v>Paid</v>
      </c>
      <c r="AR850" s="1" t="str">
        <f t="shared" si="367"/>
        <v>OK</v>
      </c>
      <c r="AS850" s="1" t="s">
        <v>34</v>
      </c>
      <c r="AT850" s="4" t="str">
        <f t="shared" si="368"/>
        <v>Completed</v>
      </c>
      <c r="AU850" s="3" t="str">
        <f t="shared" si="369"/>
        <v>OK</v>
      </c>
      <c r="AV850" s="3" t="str">
        <f t="shared" si="375"/>
        <v>INVALID</v>
      </c>
      <c r="AW850" t="str">
        <f t="shared" si="376"/>
        <v>MATCH</v>
      </c>
      <c r="AX850" t="str">
        <f t="shared" si="377"/>
        <v>MATCH</v>
      </c>
    </row>
    <row r="851" spans="1:50" ht="15.6">
      <c r="A851" s="1" t="s">
        <v>2950</v>
      </c>
      <c r="B851" s="1">
        <f t="shared" si="351"/>
        <v>1</v>
      </c>
      <c r="C851" s="16">
        <v>45818</v>
      </c>
      <c r="D851" s="16">
        <v>45818</v>
      </c>
      <c r="E851" s="16" t="str">
        <f t="shared" si="370"/>
        <v>Jun</v>
      </c>
      <c r="F851" s="1">
        <f t="shared" si="371"/>
        <v>2025</v>
      </c>
      <c r="G851" t="s">
        <v>947</v>
      </c>
      <c r="H851" s="17">
        <v>45629</v>
      </c>
      <c r="I851" s="21">
        <f t="shared" si="372"/>
        <v>-189</v>
      </c>
      <c r="J851" s="6" t="str">
        <f t="shared" si="373"/>
        <v>INVALID_SHIPPING</v>
      </c>
      <c r="K851" s="1" t="s">
        <v>2952</v>
      </c>
      <c r="L851" s="1" t="s">
        <v>334</v>
      </c>
      <c r="M851" s="1" t="str">
        <f t="shared" si="352"/>
        <v>Kabir Singh</v>
      </c>
      <c r="N851" s="1" t="s">
        <v>110</v>
      </c>
      <c r="O851" s="1" t="str">
        <f t="shared" si="353"/>
        <v>Home Office</v>
      </c>
      <c r="P851" s="1" t="s">
        <v>41</v>
      </c>
      <c r="Q851" s="1" t="str">
        <f t="shared" si="354"/>
        <v>East</v>
      </c>
      <c r="R851" s="1" t="str">
        <f t="shared" si="355"/>
        <v>OK</v>
      </c>
      <c r="S851" s="1" t="s">
        <v>284</v>
      </c>
      <c r="T851" s="1" t="str">
        <f t="shared" si="356"/>
        <v>Jharkhand</v>
      </c>
      <c r="U851" s="1" t="s">
        <v>285</v>
      </c>
      <c r="V851" s="1" t="str">
        <f t="shared" si="357"/>
        <v>Ranchi</v>
      </c>
      <c r="W851" s="1" t="s">
        <v>83</v>
      </c>
      <c r="X851" s="1" t="str">
        <f t="shared" si="358"/>
        <v>Technology</v>
      </c>
      <c r="Y851" s="1" t="s">
        <v>84</v>
      </c>
      <c r="Z851" s="1" t="str">
        <f t="shared" si="359"/>
        <v>Accessories</v>
      </c>
      <c r="AA851" s="1" t="s">
        <v>2953</v>
      </c>
      <c r="AB851" s="1" t="s">
        <v>65</v>
      </c>
      <c r="AC851" s="1" t="str">
        <f t="shared" si="360"/>
        <v>Standard Class</v>
      </c>
      <c r="AD851" s="1" t="str">
        <f t="shared" si="361"/>
        <v>OK</v>
      </c>
      <c r="AE851" s="1">
        <v>6</v>
      </c>
      <c r="AF851" s="1">
        <v>2391.9299999999998</v>
      </c>
      <c r="AG851" s="9">
        <v>0.05</v>
      </c>
      <c r="AH851" s="9">
        <f t="shared" si="362"/>
        <v>0.05</v>
      </c>
      <c r="AI851" s="1" t="str">
        <f t="shared" si="363"/>
        <v>OK</v>
      </c>
      <c r="AJ851" s="1">
        <v>13634</v>
      </c>
      <c r="AK851" s="1">
        <v>9589.81</v>
      </c>
      <c r="AL851" s="1">
        <v>4044.19</v>
      </c>
      <c r="AM851" s="13">
        <f t="shared" si="364"/>
        <v>13634.000999999998</v>
      </c>
      <c r="AN851" s="9">
        <f t="shared" si="365"/>
        <v>4044.1909999999989</v>
      </c>
      <c r="AO851" s="9">
        <f t="shared" si="374"/>
        <v>0.29662539998346776</v>
      </c>
      <c r="AP851" s="1" t="s">
        <v>186</v>
      </c>
      <c r="AQ851" s="1" t="str">
        <f t="shared" si="366"/>
        <v>Failed</v>
      </c>
      <c r="AR851" s="1" t="str">
        <f t="shared" si="367"/>
        <v>EXCLUDE_FROM_SALES</v>
      </c>
      <c r="AS851" s="1" t="s">
        <v>120</v>
      </c>
      <c r="AT851" s="4" t="str">
        <f t="shared" si="368"/>
        <v>Returned</v>
      </c>
      <c r="AU851" s="3" t="str">
        <f t="shared" si="369"/>
        <v>RETURNED_ORDER</v>
      </c>
      <c r="AV851" s="3" t="str">
        <f t="shared" si="375"/>
        <v>INVALID</v>
      </c>
      <c r="AW851" t="str">
        <f t="shared" si="376"/>
        <v>MATCH</v>
      </c>
      <c r="AX851" t="str">
        <f t="shared" si="377"/>
        <v>MATCH</v>
      </c>
    </row>
    <row r="852" spans="1:50" ht="15.6">
      <c r="A852" s="1" t="s">
        <v>2957</v>
      </c>
      <c r="B852" s="1">
        <f t="shared" si="351"/>
        <v>1</v>
      </c>
      <c r="C852" s="16">
        <v>45787</v>
      </c>
      <c r="D852" s="16">
        <v>45787</v>
      </c>
      <c r="E852" s="16" t="str">
        <f t="shared" si="370"/>
        <v>May</v>
      </c>
      <c r="F852" s="1">
        <f t="shared" si="371"/>
        <v>2025</v>
      </c>
      <c r="G852" t="s">
        <v>3296</v>
      </c>
      <c r="H852" s="17">
        <v>45476</v>
      </c>
      <c r="I852" s="21">
        <f t="shared" si="372"/>
        <v>-311</v>
      </c>
      <c r="J852" s="6" t="str">
        <f t="shared" si="373"/>
        <v>INVALID_SHIPPING</v>
      </c>
      <c r="K852" s="1" t="s">
        <v>2958</v>
      </c>
      <c r="L852" s="1" t="s">
        <v>136</v>
      </c>
      <c r="M852" s="1" t="str">
        <f t="shared" si="352"/>
        <v>Priya Menon</v>
      </c>
      <c r="N852" s="1" t="s">
        <v>104</v>
      </c>
      <c r="O852" s="1" t="str">
        <f t="shared" si="353"/>
        <v>Corporate</v>
      </c>
      <c r="P852" s="1" t="s">
        <v>60</v>
      </c>
      <c r="Q852" s="1" t="str">
        <f t="shared" si="354"/>
        <v>South</v>
      </c>
      <c r="R852" s="1" t="str">
        <f t="shared" si="355"/>
        <v>OK</v>
      </c>
      <c r="S852" s="1" t="s">
        <v>212</v>
      </c>
      <c r="T852" s="1" t="str">
        <f t="shared" si="356"/>
        <v>Karnataka</v>
      </c>
      <c r="U852" s="1" t="s">
        <v>213</v>
      </c>
      <c r="V852" s="1" t="str">
        <f t="shared" si="357"/>
        <v>Bengaluru</v>
      </c>
      <c r="W852" s="1" t="s">
        <v>44</v>
      </c>
      <c r="X852" s="1" t="str">
        <f t="shared" si="358"/>
        <v>Furniture</v>
      </c>
      <c r="Y852" s="1" t="s">
        <v>45</v>
      </c>
      <c r="Z852" s="1" t="str">
        <f t="shared" si="359"/>
        <v>Tables</v>
      </c>
      <c r="AA852" s="1" t="s">
        <v>2959</v>
      </c>
      <c r="AB852" s="1" t="s">
        <v>32</v>
      </c>
      <c r="AC852" s="1" t="str">
        <f t="shared" si="360"/>
        <v>Second Class</v>
      </c>
      <c r="AD852" s="1" t="str">
        <f t="shared" si="361"/>
        <v>OK</v>
      </c>
      <c r="AE852" s="1">
        <v>7</v>
      </c>
      <c r="AF852" s="1">
        <v>2134.73</v>
      </c>
      <c r="AG852" s="9">
        <v>0</v>
      </c>
      <c r="AH852" s="9">
        <f t="shared" si="362"/>
        <v>0</v>
      </c>
      <c r="AI852" s="1" t="str">
        <f t="shared" si="363"/>
        <v>OK</v>
      </c>
      <c r="AJ852" s="1">
        <v>14943.11</v>
      </c>
      <c r="AK852" s="1">
        <v>8521.5</v>
      </c>
      <c r="AL852" s="1">
        <v>6421.61</v>
      </c>
      <c r="AM852" s="13">
        <f t="shared" si="364"/>
        <v>14943.11</v>
      </c>
      <c r="AN852" s="9">
        <f t="shared" si="365"/>
        <v>6421.6100000000006</v>
      </c>
      <c r="AO852" s="9">
        <f t="shared" si="374"/>
        <v>0.42973718322357263</v>
      </c>
      <c r="AP852" s="1" t="s">
        <v>33</v>
      </c>
      <c r="AQ852" s="1" t="str">
        <f t="shared" si="366"/>
        <v>Paid</v>
      </c>
      <c r="AR852" s="1" t="str">
        <f t="shared" si="367"/>
        <v>OK</v>
      </c>
      <c r="AS852" s="1" t="s">
        <v>34</v>
      </c>
      <c r="AT852" s="4" t="str">
        <f t="shared" si="368"/>
        <v>Completed</v>
      </c>
      <c r="AU852" s="3" t="str">
        <f t="shared" si="369"/>
        <v>OK</v>
      </c>
      <c r="AV852" s="3" t="str">
        <f t="shared" si="375"/>
        <v>INVALID</v>
      </c>
      <c r="AW852" t="str">
        <f t="shared" si="376"/>
        <v>MATCH</v>
      </c>
      <c r="AX852" t="str">
        <f t="shared" si="377"/>
        <v>MATCH</v>
      </c>
    </row>
    <row r="853" spans="1:50" ht="15.6">
      <c r="A853" s="1" t="s">
        <v>2971</v>
      </c>
      <c r="B853" s="1">
        <f t="shared" si="351"/>
        <v>2</v>
      </c>
      <c r="C853" s="16">
        <v>45794</v>
      </c>
      <c r="D853" s="16">
        <v>45794</v>
      </c>
      <c r="E853" s="16" t="str">
        <f t="shared" si="370"/>
        <v>May</v>
      </c>
      <c r="F853" s="1">
        <f t="shared" si="371"/>
        <v>2025</v>
      </c>
      <c r="G853" t="s">
        <v>2764</v>
      </c>
      <c r="H853" s="17">
        <v>45383</v>
      </c>
      <c r="I853" s="21">
        <f t="shared" si="372"/>
        <v>-411</v>
      </c>
      <c r="J853" s="6" t="str">
        <f t="shared" si="373"/>
        <v>INVALID_SHIPPING</v>
      </c>
      <c r="K853" s="1" t="s">
        <v>2973</v>
      </c>
      <c r="L853" s="1" t="s">
        <v>70</v>
      </c>
      <c r="M853" s="1" t="str">
        <f t="shared" si="352"/>
        <v>Ananya Rao</v>
      </c>
      <c r="N853" s="1" t="s">
        <v>104</v>
      </c>
      <c r="O853" s="1" t="str">
        <f t="shared" si="353"/>
        <v>Corporate</v>
      </c>
      <c r="P853" s="1" t="s">
        <v>60</v>
      </c>
      <c r="Q853" s="1" t="str">
        <f t="shared" si="354"/>
        <v>South</v>
      </c>
      <c r="R853" s="1" t="str">
        <f t="shared" si="355"/>
        <v>OK</v>
      </c>
      <c r="S853" s="1" t="s">
        <v>309</v>
      </c>
      <c r="T853" s="1" t="str">
        <f t="shared" si="356"/>
        <v>Tamil Nadu</v>
      </c>
      <c r="U853" s="1" t="s">
        <v>310</v>
      </c>
      <c r="V853" s="1" t="str">
        <f t="shared" si="357"/>
        <v>Chennai</v>
      </c>
      <c r="W853" s="1" t="s">
        <v>83</v>
      </c>
      <c r="X853" s="1" t="str">
        <f t="shared" si="358"/>
        <v>Technology</v>
      </c>
      <c r="Y853" s="1" t="s">
        <v>347</v>
      </c>
      <c r="Z853" s="1" t="str">
        <f t="shared" si="359"/>
        <v>Machines</v>
      </c>
      <c r="AA853" s="1" t="s">
        <v>2974</v>
      </c>
      <c r="AB853" s="1" t="s">
        <v>47</v>
      </c>
      <c r="AC853" s="1" t="str">
        <f t="shared" si="360"/>
        <v>Same Day</v>
      </c>
      <c r="AD853" s="1" t="str">
        <f t="shared" si="361"/>
        <v>OK</v>
      </c>
      <c r="AE853" s="1">
        <v>6</v>
      </c>
      <c r="AF853" s="1">
        <v>1810.63</v>
      </c>
      <c r="AG853" s="9">
        <v>0.15</v>
      </c>
      <c r="AH853" s="9">
        <f t="shared" si="362"/>
        <v>0.15</v>
      </c>
      <c r="AI853" s="1" t="str">
        <f t="shared" si="363"/>
        <v>OK</v>
      </c>
      <c r="AJ853" s="1">
        <v>9234.2099999999991</v>
      </c>
      <c r="AK853" s="1">
        <v>5516.52</v>
      </c>
      <c r="AL853" s="1">
        <v>3717.69</v>
      </c>
      <c r="AM853" s="13">
        <f t="shared" si="364"/>
        <v>9234.2129999999997</v>
      </c>
      <c r="AN853" s="9">
        <f t="shared" si="365"/>
        <v>3717.6929999999993</v>
      </c>
      <c r="AO853" s="9">
        <f t="shared" si="374"/>
        <v>0.40259987505161504</v>
      </c>
      <c r="AP853" s="1" t="s">
        <v>33</v>
      </c>
      <c r="AQ853" s="1" t="str">
        <f t="shared" si="366"/>
        <v>Paid</v>
      </c>
      <c r="AR853" s="1" t="str">
        <f t="shared" si="367"/>
        <v>OK</v>
      </c>
      <c r="AS853" s="1" t="s">
        <v>34</v>
      </c>
      <c r="AT853" s="4" t="str">
        <f t="shared" si="368"/>
        <v>Completed</v>
      </c>
      <c r="AU853" s="3" t="str">
        <f t="shared" si="369"/>
        <v>OK</v>
      </c>
      <c r="AV853" s="3" t="str">
        <f t="shared" si="375"/>
        <v>INVALID</v>
      </c>
      <c r="AW853" t="str">
        <f t="shared" si="376"/>
        <v>MATCH</v>
      </c>
      <c r="AX853" t="str">
        <f t="shared" si="377"/>
        <v>MATCH</v>
      </c>
    </row>
    <row r="854" spans="1:50" ht="15.6">
      <c r="A854" s="1" t="s">
        <v>2971</v>
      </c>
      <c r="B854" s="1">
        <f t="shared" si="351"/>
        <v>2</v>
      </c>
      <c r="C854" s="16">
        <v>45794</v>
      </c>
      <c r="D854" s="16">
        <v>45794</v>
      </c>
      <c r="E854" s="16" t="str">
        <f t="shared" si="370"/>
        <v>May</v>
      </c>
      <c r="F854" s="1">
        <f t="shared" si="371"/>
        <v>2025</v>
      </c>
      <c r="G854" t="s">
        <v>3255</v>
      </c>
      <c r="H854" s="17">
        <v>45508</v>
      </c>
      <c r="I854" s="21">
        <f t="shared" si="372"/>
        <v>-286</v>
      </c>
      <c r="J854" s="6" t="str">
        <f t="shared" si="373"/>
        <v>INVALID_SHIPPING</v>
      </c>
      <c r="K854" s="1" t="s">
        <v>2973</v>
      </c>
      <c r="L854" s="1" t="s">
        <v>70</v>
      </c>
      <c r="M854" s="1" t="str">
        <f t="shared" si="352"/>
        <v>Ananya Rao</v>
      </c>
      <c r="N854" s="1" t="s">
        <v>104</v>
      </c>
      <c r="O854" s="1" t="str">
        <f t="shared" si="353"/>
        <v>Corporate</v>
      </c>
      <c r="P854" s="1" t="s">
        <v>60</v>
      </c>
      <c r="Q854" s="1" t="str">
        <f t="shared" si="354"/>
        <v>South</v>
      </c>
      <c r="R854" s="1" t="str">
        <f t="shared" si="355"/>
        <v>OK</v>
      </c>
      <c r="S854" s="1" t="s">
        <v>309</v>
      </c>
      <c r="T854" s="1" t="str">
        <f t="shared" si="356"/>
        <v>Tamil Nadu</v>
      </c>
      <c r="U854" s="1" t="s">
        <v>310</v>
      </c>
      <c r="V854" s="1" t="str">
        <f t="shared" si="357"/>
        <v>Chennai</v>
      </c>
      <c r="W854" s="1" t="s">
        <v>83</v>
      </c>
      <c r="X854" s="1" t="str">
        <f t="shared" si="358"/>
        <v>Technology</v>
      </c>
      <c r="Y854" s="1" t="s">
        <v>347</v>
      </c>
      <c r="Z854" s="1" t="str">
        <f t="shared" si="359"/>
        <v>Machines</v>
      </c>
      <c r="AA854" s="1" t="s">
        <v>2974</v>
      </c>
      <c r="AB854" s="1" t="s">
        <v>47</v>
      </c>
      <c r="AC854" s="1" t="str">
        <f t="shared" si="360"/>
        <v>Same Day</v>
      </c>
      <c r="AD854" s="1" t="str">
        <f t="shared" si="361"/>
        <v>OK</v>
      </c>
      <c r="AE854" s="1">
        <v>6</v>
      </c>
      <c r="AF854" s="1">
        <v>1810.63</v>
      </c>
      <c r="AG854" s="9">
        <v>0.15</v>
      </c>
      <c r="AH854" s="9">
        <f t="shared" si="362"/>
        <v>0.15</v>
      </c>
      <c r="AI854" s="1" t="str">
        <f t="shared" si="363"/>
        <v>OK</v>
      </c>
      <c r="AJ854" s="1">
        <v>9234.2099999999991</v>
      </c>
      <c r="AK854" s="1">
        <v>5516.52</v>
      </c>
      <c r="AL854" s="1">
        <v>3717.69</v>
      </c>
      <c r="AM854" s="13">
        <f t="shared" si="364"/>
        <v>9234.2129999999997</v>
      </c>
      <c r="AN854" s="9">
        <f t="shared" si="365"/>
        <v>3717.6929999999993</v>
      </c>
      <c r="AO854" s="9">
        <f t="shared" si="374"/>
        <v>0.40259987505161504</v>
      </c>
      <c r="AP854" s="1" t="s">
        <v>33</v>
      </c>
      <c r="AQ854" s="1" t="str">
        <f t="shared" si="366"/>
        <v>Paid</v>
      </c>
      <c r="AR854" s="1" t="str">
        <f t="shared" si="367"/>
        <v>OK</v>
      </c>
      <c r="AS854" s="1" t="s">
        <v>34</v>
      </c>
      <c r="AT854" s="4" t="str">
        <f t="shared" si="368"/>
        <v>Completed</v>
      </c>
      <c r="AU854" s="3" t="str">
        <f t="shared" si="369"/>
        <v>OK</v>
      </c>
      <c r="AV854" s="3" t="str">
        <f t="shared" si="375"/>
        <v>INVALID</v>
      </c>
      <c r="AW854" t="str">
        <f t="shared" si="376"/>
        <v>MATCH</v>
      </c>
      <c r="AX854" t="str">
        <f t="shared" si="377"/>
        <v>MATCH</v>
      </c>
    </row>
    <row r="855" spans="1:50" ht="15.6">
      <c r="A855" s="1" t="s">
        <v>2975</v>
      </c>
      <c r="B855" s="1">
        <f t="shared" si="351"/>
        <v>1</v>
      </c>
      <c r="C855" s="16">
        <v>45827</v>
      </c>
      <c r="D855" s="16">
        <v>45827</v>
      </c>
      <c r="E855" s="16" t="str">
        <f t="shared" si="370"/>
        <v>Jun</v>
      </c>
      <c r="F855" s="1">
        <f t="shared" si="371"/>
        <v>2025</v>
      </c>
      <c r="G855" t="s">
        <v>3393</v>
      </c>
      <c r="H855" s="17">
        <v>45799</v>
      </c>
      <c r="I855" s="21">
        <f t="shared" si="372"/>
        <v>-28</v>
      </c>
      <c r="J855" s="6" t="str">
        <f t="shared" si="373"/>
        <v>INVALID_SHIPPING</v>
      </c>
      <c r="K855" s="1" t="s">
        <v>2976</v>
      </c>
      <c r="L855" s="1" t="s">
        <v>59</v>
      </c>
      <c r="M855" s="1" t="str">
        <f t="shared" si="352"/>
        <v>Arjun Bose</v>
      </c>
      <c r="N855" s="1" t="s">
        <v>25</v>
      </c>
      <c r="O855" s="1" t="str">
        <f t="shared" si="353"/>
        <v>Consumer</v>
      </c>
      <c r="P855" s="1" t="s">
        <v>41</v>
      </c>
      <c r="Q855" s="1" t="str">
        <f t="shared" si="354"/>
        <v>East</v>
      </c>
      <c r="R855" s="1" t="str">
        <f t="shared" si="355"/>
        <v>OK</v>
      </c>
      <c r="S855" s="1" t="s">
        <v>116</v>
      </c>
      <c r="T855" s="1" t="str">
        <f t="shared" si="356"/>
        <v>West Bengal</v>
      </c>
      <c r="U855" s="1" t="s">
        <v>117</v>
      </c>
      <c r="V855" s="1" t="str">
        <f t="shared" si="357"/>
        <v>Kolkata</v>
      </c>
      <c r="W855" s="1" t="s">
        <v>29</v>
      </c>
      <c r="X855" s="1" t="str">
        <f t="shared" si="358"/>
        <v>Office Supplies</v>
      </c>
      <c r="Y855" s="1" t="s">
        <v>53</v>
      </c>
      <c r="Z855" s="1" t="str">
        <f t="shared" si="359"/>
        <v>Art</v>
      </c>
      <c r="AA855" s="1" t="s">
        <v>2977</v>
      </c>
      <c r="AB855" s="1" t="s">
        <v>32</v>
      </c>
      <c r="AC855" s="1" t="str">
        <f t="shared" si="360"/>
        <v>Second Class</v>
      </c>
      <c r="AD855" s="1" t="str">
        <f t="shared" si="361"/>
        <v>OK</v>
      </c>
      <c r="AE855" s="1">
        <v>4</v>
      </c>
      <c r="AF855" s="1">
        <v>782.01</v>
      </c>
      <c r="AG855" s="9">
        <v>0.15</v>
      </c>
      <c r="AH855" s="9">
        <f t="shared" si="362"/>
        <v>0.15</v>
      </c>
      <c r="AI855" s="1" t="str">
        <f t="shared" si="363"/>
        <v>OK</v>
      </c>
      <c r="AJ855" s="1">
        <v>2658.83</v>
      </c>
      <c r="AK855" s="1">
        <v>2226.9699999999998</v>
      </c>
      <c r="AL855" s="1">
        <v>431.86</v>
      </c>
      <c r="AM855" s="13">
        <f t="shared" si="364"/>
        <v>2658.8339999999998</v>
      </c>
      <c r="AN855" s="9">
        <f t="shared" si="365"/>
        <v>431.86400000000003</v>
      </c>
      <c r="AO855" s="9">
        <f t="shared" si="374"/>
        <v>0.16242608602116568</v>
      </c>
      <c r="AP855" s="1" t="s">
        <v>119</v>
      </c>
      <c r="AQ855" s="1" t="str">
        <f t="shared" si="366"/>
        <v>Refunded</v>
      </c>
      <c r="AR855" s="1" t="str">
        <f t="shared" si="367"/>
        <v>REFUNDED_PAYMENT</v>
      </c>
      <c r="AS855" s="1" t="s">
        <v>120</v>
      </c>
      <c r="AT855" s="4" t="str">
        <f t="shared" si="368"/>
        <v>Returned</v>
      </c>
      <c r="AU855" s="3" t="str">
        <f t="shared" si="369"/>
        <v>RETURNED_ORDER</v>
      </c>
      <c r="AV855" s="3" t="str">
        <f t="shared" si="375"/>
        <v>INVALID</v>
      </c>
      <c r="AW855" t="str">
        <f t="shared" si="376"/>
        <v>MATCH</v>
      </c>
      <c r="AX855" t="str">
        <f t="shared" si="377"/>
        <v>MATCH</v>
      </c>
    </row>
    <row r="856" spans="1:50" ht="15.6" hidden="1">
      <c r="A856" s="1" t="s">
        <v>3003</v>
      </c>
      <c r="B856" s="1">
        <f t="shared" si="351"/>
        <v>1</v>
      </c>
      <c r="C856" s="16">
        <v>45708</v>
      </c>
      <c r="D856" s="16">
        <v>45708</v>
      </c>
      <c r="E856" s="16" t="str">
        <f t="shared" si="370"/>
        <v>Feb</v>
      </c>
      <c r="F856" s="1">
        <f t="shared" si="371"/>
        <v>2025</v>
      </c>
      <c r="G856" t="s">
        <v>3416</v>
      </c>
      <c r="H856" s="17">
        <v>45749</v>
      </c>
      <c r="I856" s="21">
        <f t="shared" si="372"/>
        <v>41</v>
      </c>
      <c r="J856" s="6" t="str">
        <f t="shared" si="373"/>
        <v>OK</v>
      </c>
      <c r="K856" s="1" t="s">
        <v>3005</v>
      </c>
      <c r="L856" s="1" t="s">
        <v>136</v>
      </c>
      <c r="M856" s="1" t="str">
        <f t="shared" si="352"/>
        <v>Priya Menon</v>
      </c>
      <c r="N856" s="1" t="s">
        <v>104</v>
      </c>
      <c r="O856" s="1" t="str">
        <f t="shared" si="353"/>
        <v>Corporate</v>
      </c>
      <c r="P856" s="1" t="s">
        <v>60</v>
      </c>
      <c r="Q856" s="1" t="str">
        <f t="shared" si="354"/>
        <v>South</v>
      </c>
      <c r="R856" s="1" t="str">
        <f t="shared" si="355"/>
        <v>OK</v>
      </c>
      <c r="S856" s="1" t="s">
        <v>224</v>
      </c>
      <c r="T856" s="1" t="str">
        <f t="shared" si="356"/>
        <v>Kerala</v>
      </c>
      <c r="U856" s="1" t="s">
        <v>225</v>
      </c>
      <c r="V856" s="1" t="str">
        <f t="shared" si="357"/>
        <v>Kochi</v>
      </c>
      <c r="W856" s="1" t="s">
        <v>29</v>
      </c>
      <c r="X856" s="1" t="str">
        <f t="shared" si="358"/>
        <v>Office Supplies</v>
      </c>
      <c r="Y856" s="1" t="s">
        <v>30</v>
      </c>
      <c r="Z856" s="1" t="str">
        <f t="shared" si="359"/>
        <v>Paper</v>
      </c>
      <c r="AA856" s="1" t="s">
        <v>3006</v>
      </c>
      <c r="AB856" s="1" t="s">
        <v>55</v>
      </c>
      <c r="AC856" s="1" t="str">
        <f t="shared" si="360"/>
        <v>First Class</v>
      </c>
      <c r="AD856" s="1" t="str">
        <f t="shared" si="361"/>
        <v>OK</v>
      </c>
      <c r="AE856" s="1">
        <v>1</v>
      </c>
      <c r="AF856" s="1">
        <v>2188.19</v>
      </c>
      <c r="AG856" s="9">
        <v>0</v>
      </c>
      <c r="AH856" s="9">
        <f t="shared" si="362"/>
        <v>0</v>
      </c>
      <c r="AI856" s="1" t="str">
        <f t="shared" si="363"/>
        <v>OK</v>
      </c>
      <c r="AJ856" s="1">
        <v>2188.19</v>
      </c>
      <c r="AK856" s="1">
        <v>1298.8399999999999</v>
      </c>
      <c r="AL856" s="1">
        <v>889.35</v>
      </c>
      <c r="AM856" s="13">
        <f t="shared" si="364"/>
        <v>2188.19</v>
      </c>
      <c r="AN856" s="9">
        <f t="shared" si="365"/>
        <v>889.35000000000014</v>
      </c>
      <c r="AO856" s="9">
        <f t="shared" si="374"/>
        <v>0.40643179979800664</v>
      </c>
      <c r="AP856" s="1" t="s">
        <v>33</v>
      </c>
      <c r="AQ856" s="1" t="str">
        <f t="shared" si="366"/>
        <v>Paid</v>
      </c>
      <c r="AR856" s="1" t="str">
        <f t="shared" si="367"/>
        <v>OK</v>
      </c>
      <c r="AS856" s="1" t="s">
        <v>34</v>
      </c>
      <c r="AT856" s="4" t="str">
        <f t="shared" si="368"/>
        <v>Completed</v>
      </c>
      <c r="AU856" s="3" t="str">
        <f t="shared" si="369"/>
        <v>OK</v>
      </c>
      <c r="AV856" s="3" t="str">
        <f t="shared" si="375"/>
        <v>CLEAN</v>
      </c>
      <c r="AW856" t="str">
        <f t="shared" si="376"/>
        <v>MATCH</v>
      </c>
      <c r="AX856" t="str">
        <f t="shared" si="377"/>
        <v>MATCH</v>
      </c>
    </row>
    <row r="857" spans="1:50" ht="15.6">
      <c r="A857" s="1" t="s">
        <v>3013</v>
      </c>
      <c r="B857" s="1">
        <f t="shared" si="351"/>
        <v>1</v>
      </c>
      <c r="C857" s="16">
        <v>45770</v>
      </c>
      <c r="D857" s="16">
        <v>45770</v>
      </c>
      <c r="E857" s="16" t="str">
        <f t="shared" si="370"/>
        <v>Apr</v>
      </c>
      <c r="F857" s="1">
        <f t="shared" si="371"/>
        <v>2025</v>
      </c>
      <c r="G857" t="s">
        <v>3420</v>
      </c>
      <c r="H857" s="17">
        <v>45506</v>
      </c>
      <c r="I857" s="21">
        <f t="shared" si="372"/>
        <v>-264</v>
      </c>
      <c r="J857" s="6" t="str">
        <f t="shared" si="373"/>
        <v>INVALID_SHIPPING</v>
      </c>
      <c r="K857" s="1" t="s">
        <v>3015</v>
      </c>
      <c r="L857" s="1" t="s">
        <v>52</v>
      </c>
      <c r="M857" s="1" t="str">
        <f t="shared" si="352"/>
        <v>Isha Nair</v>
      </c>
      <c r="N857" s="1" t="s">
        <v>110</v>
      </c>
      <c r="O857" s="1" t="str">
        <f t="shared" si="353"/>
        <v>Home Office</v>
      </c>
      <c r="P857" s="1" t="s">
        <v>60</v>
      </c>
      <c r="Q857" s="1" t="str">
        <f t="shared" si="354"/>
        <v>South</v>
      </c>
      <c r="R857" s="1" t="str">
        <f t="shared" si="355"/>
        <v>OK</v>
      </c>
      <c r="S857" s="1" t="s">
        <v>309</v>
      </c>
      <c r="T857" s="1" t="str">
        <f t="shared" si="356"/>
        <v>Tamil Nadu</v>
      </c>
      <c r="U857" s="1" t="s">
        <v>310</v>
      </c>
      <c r="V857" s="1" t="str">
        <f t="shared" si="357"/>
        <v>Chennai</v>
      </c>
      <c r="W857" s="1" t="s">
        <v>44</v>
      </c>
      <c r="X857" s="1" t="str">
        <f t="shared" si="358"/>
        <v>Furniture</v>
      </c>
      <c r="Y857" s="1" t="s">
        <v>74</v>
      </c>
      <c r="Z857" s="1" t="str">
        <f t="shared" si="359"/>
        <v>Chairs</v>
      </c>
      <c r="AA857" s="1" t="s">
        <v>3016</v>
      </c>
      <c r="AB857" s="1" t="s">
        <v>32</v>
      </c>
      <c r="AC857" s="1" t="str">
        <f t="shared" si="360"/>
        <v>Second Class</v>
      </c>
      <c r="AD857" s="1" t="str">
        <f t="shared" si="361"/>
        <v>OK</v>
      </c>
      <c r="AE857" s="1">
        <v>3</v>
      </c>
      <c r="AF857" s="1">
        <v>2951.12</v>
      </c>
      <c r="AG857" s="9"/>
      <c r="AH857" s="9">
        <f t="shared" si="362"/>
        <v>0</v>
      </c>
      <c r="AI857" s="1" t="str">
        <f t="shared" si="363"/>
        <v>Missing Discount</v>
      </c>
      <c r="AJ857" s="1">
        <v>7082.69</v>
      </c>
      <c r="AK857" s="1">
        <v>5596.34</v>
      </c>
      <c r="AL857" s="1">
        <v>1486.35</v>
      </c>
      <c r="AM857" s="13">
        <f t="shared" si="364"/>
        <v>8853.36</v>
      </c>
      <c r="AN857" s="9">
        <f t="shared" si="365"/>
        <v>3257.0200000000004</v>
      </c>
      <c r="AO857" s="9">
        <f t="shared" si="374"/>
        <v>0.36788518709280998</v>
      </c>
      <c r="AP857" s="1" t="s">
        <v>33</v>
      </c>
      <c r="AQ857" s="1" t="str">
        <f t="shared" si="366"/>
        <v>Paid</v>
      </c>
      <c r="AR857" s="1" t="str">
        <f t="shared" si="367"/>
        <v>OK</v>
      </c>
      <c r="AS857" s="1" t="s">
        <v>76</v>
      </c>
      <c r="AT857" s="4" t="str">
        <f t="shared" si="368"/>
        <v>Cancelled</v>
      </c>
      <c r="AU857" s="3" t="str">
        <f t="shared" si="369"/>
        <v>EXCLUDE_FROM_SALES</v>
      </c>
      <c r="AV857" s="3" t="str">
        <f t="shared" si="375"/>
        <v>INVALID</v>
      </c>
      <c r="AW857" t="str">
        <f t="shared" si="376"/>
        <v>MISMATCH</v>
      </c>
      <c r="AX857" t="str">
        <f t="shared" si="377"/>
        <v>MISMATCH</v>
      </c>
    </row>
    <row r="858" spans="1:50" ht="15.6">
      <c r="A858" s="1" t="s">
        <v>3022</v>
      </c>
      <c r="B858" s="1">
        <f t="shared" si="351"/>
        <v>1</v>
      </c>
      <c r="C858" s="16">
        <v>45993</v>
      </c>
      <c r="D858" s="16">
        <v>45993</v>
      </c>
      <c r="E858" s="16" t="str">
        <f t="shared" si="370"/>
        <v>Dec</v>
      </c>
      <c r="F858" s="1">
        <f t="shared" si="371"/>
        <v>2025</v>
      </c>
      <c r="G858" t="s">
        <v>614</v>
      </c>
      <c r="H858" s="17">
        <v>45462</v>
      </c>
      <c r="I858" s="21">
        <f t="shared" si="372"/>
        <v>-531</v>
      </c>
      <c r="J858" s="6" t="str">
        <f t="shared" si="373"/>
        <v>INVALID_SHIPPING</v>
      </c>
      <c r="K858" s="1" t="s">
        <v>3023</v>
      </c>
      <c r="L858" s="1" t="s">
        <v>158</v>
      </c>
      <c r="M858" s="1" t="str">
        <f t="shared" si="352"/>
        <v>Sneha Kapoor</v>
      </c>
      <c r="N858" s="1" t="s">
        <v>25</v>
      </c>
      <c r="O858" s="1" t="str">
        <f t="shared" si="353"/>
        <v>Consumer</v>
      </c>
      <c r="P858" s="1" t="s">
        <v>26</v>
      </c>
      <c r="Q858" s="1" t="str">
        <f t="shared" si="354"/>
        <v>North</v>
      </c>
      <c r="R858" s="1" t="str">
        <f t="shared" si="355"/>
        <v>OK</v>
      </c>
      <c r="S858" s="1" t="s">
        <v>163</v>
      </c>
      <c r="T858" s="1" t="str">
        <f t="shared" si="356"/>
        <v>Uttar Pradesh</v>
      </c>
      <c r="U858" s="1" t="s">
        <v>164</v>
      </c>
      <c r="V858" s="1" t="str">
        <f t="shared" si="357"/>
        <v>Noida</v>
      </c>
      <c r="W858" s="1" t="s">
        <v>29</v>
      </c>
      <c r="X858" s="1" t="str">
        <f t="shared" si="358"/>
        <v>Office Supplies</v>
      </c>
      <c r="Y858" s="1" t="s">
        <v>53</v>
      </c>
      <c r="Z858" s="1" t="str">
        <f t="shared" si="359"/>
        <v>Art</v>
      </c>
      <c r="AA858" s="1" t="s">
        <v>3024</v>
      </c>
      <c r="AB858" s="1" t="s">
        <v>65</v>
      </c>
      <c r="AC858" s="1" t="str">
        <f t="shared" si="360"/>
        <v>Standard Class</v>
      </c>
      <c r="AD858" s="1" t="str">
        <f t="shared" si="361"/>
        <v>OK</v>
      </c>
      <c r="AE858" s="1">
        <v>6</v>
      </c>
      <c r="AF858" s="1">
        <v>491.4</v>
      </c>
      <c r="AG858" s="9">
        <v>0.25</v>
      </c>
      <c r="AH858" s="9">
        <f t="shared" si="362"/>
        <v>0.25</v>
      </c>
      <c r="AI858" s="1" t="str">
        <f t="shared" si="363"/>
        <v>OK</v>
      </c>
      <c r="AJ858" s="1">
        <v>2211.3000000000002</v>
      </c>
      <c r="AK858" s="1">
        <v>1735.64</v>
      </c>
      <c r="AL858" s="1">
        <v>475.66</v>
      </c>
      <c r="AM858" s="13">
        <f t="shared" si="364"/>
        <v>2211.2999999999997</v>
      </c>
      <c r="AN858" s="9">
        <f t="shared" si="365"/>
        <v>475.65999999999963</v>
      </c>
      <c r="AO858" s="9">
        <f t="shared" si="374"/>
        <v>0.21510423732645942</v>
      </c>
      <c r="AP858" s="1" t="s">
        <v>33</v>
      </c>
      <c r="AQ858" s="1" t="str">
        <f t="shared" si="366"/>
        <v>Paid</v>
      </c>
      <c r="AR858" s="1" t="str">
        <f t="shared" si="367"/>
        <v>OK</v>
      </c>
      <c r="AS858" s="1" t="s">
        <v>34</v>
      </c>
      <c r="AT858" s="4" t="str">
        <f t="shared" si="368"/>
        <v>Completed</v>
      </c>
      <c r="AU858" s="3" t="str">
        <f t="shared" si="369"/>
        <v>OK</v>
      </c>
      <c r="AV858" s="3" t="str">
        <f t="shared" si="375"/>
        <v>INVALID</v>
      </c>
      <c r="AW858" t="str">
        <f t="shared" si="376"/>
        <v>MATCH</v>
      </c>
      <c r="AX858" t="str">
        <f t="shared" si="377"/>
        <v>MATCH</v>
      </c>
    </row>
    <row r="859" spans="1:50" ht="15.6">
      <c r="A859" s="1" t="s">
        <v>3025</v>
      </c>
      <c r="B859" s="1">
        <f t="shared" si="351"/>
        <v>1</v>
      </c>
      <c r="C859" s="16">
        <v>45886</v>
      </c>
      <c r="D859" s="16">
        <v>45886</v>
      </c>
      <c r="E859" s="16" t="str">
        <f t="shared" si="370"/>
        <v>Aug</v>
      </c>
      <c r="F859" s="1">
        <f t="shared" si="371"/>
        <v>2025</v>
      </c>
      <c r="G859" t="s">
        <v>3426</v>
      </c>
      <c r="H859" s="17">
        <v>45388</v>
      </c>
      <c r="I859" s="21">
        <f t="shared" si="372"/>
        <v>-498</v>
      </c>
      <c r="J859" s="6" t="str">
        <f t="shared" si="373"/>
        <v>INVALID_SHIPPING</v>
      </c>
      <c r="K859" s="1" t="s">
        <v>3026</v>
      </c>
      <c r="L859" s="1" t="s">
        <v>39</v>
      </c>
      <c r="M859" s="1" t="str">
        <f t="shared" si="352"/>
        <v>Mira Das</v>
      </c>
      <c r="N859" s="1" t="s">
        <v>110</v>
      </c>
      <c r="O859" s="1" t="str">
        <f t="shared" si="353"/>
        <v>Home Office</v>
      </c>
      <c r="P859" s="1" t="s">
        <v>26</v>
      </c>
      <c r="Q859" s="1" t="str">
        <f t="shared" si="354"/>
        <v>North</v>
      </c>
      <c r="R859" s="1" t="str">
        <f t="shared" si="355"/>
        <v>OK</v>
      </c>
      <c r="S859" s="1" t="s">
        <v>146</v>
      </c>
      <c r="T859" s="1" t="str">
        <f t="shared" si="356"/>
        <v>Punjab</v>
      </c>
      <c r="U859" s="1" t="s">
        <v>147</v>
      </c>
      <c r="V859" s="1" t="str">
        <f t="shared" si="357"/>
        <v>Ludhiana</v>
      </c>
      <c r="W859" s="1" t="s">
        <v>29</v>
      </c>
      <c r="X859" s="1" t="str">
        <f t="shared" si="358"/>
        <v>Office Supplies</v>
      </c>
      <c r="Y859" s="1" t="s">
        <v>184</v>
      </c>
      <c r="Z859" s="1" t="str">
        <f t="shared" si="359"/>
        <v>Binders</v>
      </c>
      <c r="AA859" s="1" t="s">
        <v>3027</v>
      </c>
      <c r="AB859" s="1" t="s">
        <v>55</v>
      </c>
      <c r="AC859" s="1" t="str">
        <f t="shared" si="360"/>
        <v>First Class</v>
      </c>
      <c r="AD859" s="1" t="str">
        <f t="shared" si="361"/>
        <v>OK</v>
      </c>
      <c r="AE859" s="1">
        <v>5</v>
      </c>
      <c r="AF859" s="1">
        <v>2701.89</v>
      </c>
      <c r="AG859" s="9">
        <v>0.1</v>
      </c>
      <c r="AH859" s="9">
        <f t="shared" si="362"/>
        <v>0.1</v>
      </c>
      <c r="AI859" s="1" t="str">
        <f t="shared" si="363"/>
        <v>OK</v>
      </c>
      <c r="AJ859" s="1">
        <v>12158.5</v>
      </c>
      <c r="AK859" s="1">
        <v>10260.07</v>
      </c>
      <c r="AL859" s="1">
        <v>1898.43</v>
      </c>
      <c r="AM859" s="13">
        <f t="shared" si="364"/>
        <v>12158.504999999999</v>
      </c>
      <c r="AN859" s="9">
        <f t="shared" si="365"/>
        <v>1898.4349999999995</v>
      </c>
      <c r="AO859" s="9">
        <f t="shared" si="374"/>
        <v>0.15614049589155901</v>
      </c>
      <c r="AP859" s="1" t="s">
        <v>33</v>
      </c>
      <c r="AQ859" s="1" t="str">
        <f t="shared" si="366"/>
        <v>Paid</v>
      </c>
      <c r="AR859" s="1" t="str">
        <f t="shared" si="367"/>
        <v>OK</v>
      </c>
      <c r="AS859" s="1" t="s">
        <v>76</v>
      </c>
      <c r="AT859" s="4" t="str">
        <f t="shared" si="368"/>
        <v>Cancelled</v>
      </c>
      <c r="AU859" s="3" t="str">
        <f t="shared" si="369"/>
        <v>EXCLUDE_FROM_SALES</v>
      </c>
      <c r="AV859" s="3" t="str">
        <f t="shared" si="375"/>
        <v>INVALID</v>
      </c>
      <c r="AW859" t="str">
        <f t="shared" si="376"/>
        <v>MISMATCH</v>
      </c>
      <c r="AX859" t="str">
        <f t="shared" si="377"/>
        <v>MISMATCH</v>
      </c>
    </row>
    <row r="860" spans="1:50" ht="15.6">
      <c r="A860" s="1" t="s">
        <v>3032</v>
      </c>
      <c r="B860" s="1">
        <f t="shared" si="351"/>
        <v>1</v>
      </c>
      <c r="C860" s="16">
        <v>45748</v>
      </c>
      <c r="D860" s="16">
        <v>45748</v>
      </c>
      <c r="E860" s="16" t="str">
        <f t="shared" si="370"/>
        <v>Apr</v>
      </c>
      <c r="F860" s="1">
        <f t="shared" si="371"/>
        <v>2025</v>
      </c>
      <c r="G860" t="s">
        <v>1140</v>
      </c>
      <c r="H860" s="17">
        <v>45421</v>
      </c>
      <c r="I860" s="21">
        <f t="shared" si="372"/>
        <v>-327</v>
      </c>
      <c r="J860" s="6" t="str">
        <f t="shared" si="373"/>
        <v>INVALID_SHIPPING</v>
      </c>
      <c r="K860" s="1" t="s">
        <v>2680</v>
      </c>
      <c r="L860" s="1" t="s">
        <v>153</v>
      </c>
      <c r="M860" s="1" t="str">
        <f t="shared" si="352"/>
        <v>Aarav Sharma</v>
      </c>
      <c r="N860" s="1" t="s">
        <v>110</v>
      </c>
      <c r="O860" s="1" t="str">
        <f t="shared" si="353"/>
        <v>Home Office</v>
      </c>
      <c r="P860" s="1" t="s">
        <v>41</v>
      </c>
      <c r="Q860" s="1" t="str">
        <f t="shared" si="354"/>
        <v>East</v>
      </c>
      <c r="R860" s="1" t="str">
        <f t="shared" si="355"/>
        <v>OK</v>
      </c>
      <c r="S860" s="1" t="s">
        <v>116</v>
      </c>
      <c r="T860" s="1" t="str">
        <f t="shared" si="356"/>
        <v>West Bengal</v>
      </c>
      <c r="U860" s="1" t="s">
        <v>117</v>
      </c>
      <c r="V860" s="1" t="str">
        <f t="shared" si="357"/>
        <v>Kolkata</v>
      </c>
      <c r="W860" s="1" t="s">
        <v>29</v>
      </c>
      <c r="X860" s="1" t="str">
        <f t="shared" si="358"/>
        <v>Office Supplies</v>
      </c>
      <c r="Y860" s="1" t="s">
        <v>30</v>
      </c>
      <c r="Z860" s="1" t="str">
        <f t="shared" si="359"/>
        <v>Paper</v>
      </c>
      <c r="AA860" s="1" t="s">
        <v>3034</v>
      </c>
      <c r="AB860" s="1" t="s">
        <v>65</v>
      </c>
      <c r="AC860" s="1" t="str">
        <f t="shared" si="360"/>
        <v>Standard Class</v>
      </c>
      <c r="AD860" s="1" t="str">
        <f t="shared" si="361"/>
        <v>OK</v>
      </c>
      <c r="AE860" s="1">
        <v>4</v>
      </c>
      <c r="AF860" s="1">
        <v>2583.19</v>
      </c>
      <c r="AG860" s="9">
        <v>0.2</v>
      </c>
      <c r="AH860" s="9">
        <f t="shared" si="362"/>
        <v>0.2</v>
      </c>
      <c r="AI860" s="1" t="str">
        <f t="shared" si="363"/>
        <v>OK</v>
      </c>
      <c r="AJ860" s="1">
        <v>8266.2099999999991</v>
      </c>
      <c r="AK860" s="1">
        <v>6236.32</v>
      </c>
      <c r="AL860" s="1">
        <v>2029.89</v>
      </c>
      <c r="AM860" s="13">
        <f t="shared" si="364"/>
        <v>8266.2080000000005</v>
      </c>
      <c r="AN860" s="9">
        <f t="shared" si="365"/>
        <v>2029.8880000000008</v>
      </c>
      <c r="AO860" s="9">
        <f t="shared" si="374"/>
        <v>0.24556459261610653</v>
      </c>
      <c r="AP860" s="1" t="s">
        <v>33</v>
      </c>
      <c r="AQ860" s="1" t="str">
        <f t="shared" si="366"/>
        <v>Paid</v>
      </c>
      <c r="AR860" s="1" t="str">
        <f t="shared" si="367"/>
        <v>OK</v>
      </c>
      <c r="AS860" s="1" t="s">
        <v>34</v>
      </c>
      <c r="AT860" s="4" t="str">
        <f t="shared" si="368"/>
        <v>Completed</v>
      </c>
      <c r="AU860" s="3" t="str">
        <f t="shared" si="369"/>
        <v>OK</v>
      </c>
      <c r="AV860" s="3" t="str">
        <f t="shared" si="375"/>
        <v>INVALID</v>
      </c>
      <c r="AW860" t="str">
        <f t="shared" si="376"/>
        <v>MATCH</v>
      </c>
      <c r="AX860" t="str">
        <f t="shared" si="377"/>
        <v>MATCH</v>
      </c>
    </row>
    <row r="861" spans="1:50" ht="15.6">
      <c r="A861" s="1" t="s">
        <v>3047</v>
      </c>
      <c r="B861" s="1">
        <f t="shared" si="351"/>
        <v>1</v>
      </c>
      <c r="C861" s="16">
        <v>45694</v>
      </c>
      <c r="D861" s="16">
        <v>45694</v>
      </c>
      <c r="E861" s="16" t="str">
        <f t="shared" si="370"/>
        <v>Feb</v>
      </c>
      <c r="F861" s="1">
        <f t="shared" si="371"/>
        <v>2025</v>
      </c>
      <c r="G861" t="s">
        <v>3432</v>
      </c>
      <c r="H861" s="17">
        <v>45597</v>
      </c>
      <c r="I861" s="21">
        <f t="shared" si="372"/>
        <v>-97</v>
      </c>
      <c r="J861" s="6" t="str">
        <f t="shared" si="373"/>
        <v>INVALID_SHIPPING</v>
      </c>
      <c r="K861" s="1" t="s">
        <v>3048</v>
      </c>
      <c r="L861" s="1" t="s">
        <v>153</v>
      </c>
      <c r="M861" s="1" t="str">
        <f t="shared" si="352"/>
        <v>Aarav Sharma</v>
      </c>
      <c r="N861" s="1" t="s">
        <v>110</v>
      </c>
      <c r="O861" s="1" t="str">
        <f t="shared" si="353"/>
        <v>Home Office</v>
      </c>
      <c r="P861" s="1" t="s">
        <v>60</v>
      </c>
      <c r="Q861" s="1" t="str">
        <f t="shared" si="354"/>
        <v>South</v>
      </c>
      <c r="R861" s="1" t="str">
        <f t="shared" si="355"/>
        <v>OK</v>
      </c>
      <c r="S861" s="1" t="s">
        <v>61</v>
      </c>
      <c r="T861" s="1" t="str">
        <f t="shared" si="356"/>
        <v>Telangana</v>
      </c>
      <c r="U861" s="1" t="s">
        <v>62</v>
      </c>
      <c r="V861" s="1" t="str">
        <f t="shared" si="357"/>
        <v>Hyderabad</v>
      </c>
      <c r="W861" s="1" t="s">
        <v>83</v>
      </c>
      <c r="X861" s="1" t="str">
        <f t="shared" si="358"/>
        <v>Technology</v>
      </c>
      <c r="Y861" s="1" t="s">
        <v>84</v>
      </c>
      <c r="Z861" s="1" t="str">
        <f t="shared" si="359"/>
        <v>Accessories</v>
      </c>
      <c r="AA861" s="1" t="s">
        <v>3049</v>
      </c>
      <c r="AB861" s="1" t="s">
        <v>55</v>
      </c>
      <c r="AC861" s="1" t="str">
        <f t="shared" si="360"/>
        <v>First Class</v>
      </c>
      <c r="AD861" s="1" t="str">
        <f t="shared" si="361"/>
        <v>OK</v>
      </c>
      <c r="AE861" s="1">
        <v>8</v>
      </c>
      <c r="AF861" s="1">
        <v>3925.93</v>
      </c>
      <c r="AG861" s="9">
        <v>0.15</v>
      </c>
      <c r="AH861" s="9">
        <f t="shared" si="362"/>
        <v>0.15</v>
      </c>
      <c r="AI861" s="1" t="str">
        <f t="shared" si="363"/>
        <v>OK</v>
      </c>
      <c r="AJ861" s="1">
        <v>26696.32</v>
      </c>
      <c r="AK861" s="1">
        <v>22724.52</v>
      </c>
      <c r="AL861" s="1">
        <v>3971.8</v>
      </c>
      <c r="AM861" s="13">
        <f t="shared" si="364"/>
        <v>26696.323999999997</v>
      </c>
      <c r="AN861" s="9">
        <f t="shared" si="365"/>
        <v>3971.8039999999964</v>
      </c>
      <c r="AO861" s="9">
        <f t="shared" si="374"/>
        <v>0.14877718745097629</v>
      </c>
      <c r="AP861" s="1" t="s">
        <v>33</v>
      </c>
      <c r="AQ861" s="1" t="str">
        <f t="shared" si="366"/>
        <v>Paid</v>
      </c>
      <c r="AR861" s="1" t="str">
        <f t="shared" si="367"/>
        <v>OK</v>
      </c>
      <c r="AS861" s="1" t="s">
        <v>34</v>
      </c>
      <c r="AT861" s="4" t="str">
        <f t="shared" si="368"/>
        <v>Completed</v>
      </c>
      <c r="AU861" s="3" t="str">
        <f t="shared" si="369"/>
        <v>OK</v>
      </c>
      <c r="AV861" s="3" t="str">
        <f t="shared" si="375"/>
        <v>INVALID</v>
      </c>
      <c r="AW861" t="str">
        <f t="shared" si="376"/>
        <v>MATCH</v>
      </c>
      <c r="AX861" t="str">
        <f t="shared" si="377"/>
        <v>MATCH</v>
      </c>
    </row>
    <row r="862" spans="1:50" ht="15.6">
      <c r="A862" s="1" t="s">
        <v>3050</v>
      </c>
      <c r="B862" s="1">
        <f t="shared" si="351"/>
        <v>1</v>
      </c>
      <c r="C862" s="16">
        <v>45856</v>
      </c>
      <c r="D862" s="16">
        <v>45856</v>
      </c>
      <c r="E862" s="16" t="str">
        <f t="shared" si="370"/>
        <v>Jul</v>
      </c>
      <c r="F862" s="1">
        <f t="shared" si="371"/>
        <v>2025</v>
      </c>
      <c r="G862" t="s">
        <v>3436</v>
      </c>
      <c r="H862" s="17">
        <v>45326</v>
      </c>
      <c r="I862" s="21">
        <f t="shared" si="372"/>
        <v>-530</v>
      </c>
      <c r="J862" s="6" t="str">
        <f t="shared" si="373"/>
        <v>INVALID_SHIPPING</v>
      </c>
      <c r="K862" s="1" t="s">
        <v>3052</v>
      </c>
      <c r="L862" s="1" t="s">
        <v>136</v>
      </c>
      <c r="M862" s="1" t="str">
        <f t="shared" si="352"/>
        <v>Priya Menon</v>
      </c>
      <c r="N862" s="1" t="s">
        <v>110</v>
      </c>
      <c r="O862" s="1" t="str">
        <f t="shared" si="353"/>
        <v>Home Office</v>
      </c>
      <c r="P862" s="1"/>
      <c r="Q862" s="1" t="str">
        <f t="shared" si="354"/>
        <v>Unknown</v>
      </c>
      <c r="R862" s="1" t="str">
        <f t="shared" si="355"/>
        <v>MISSING_REGION</v>
      </c>
      <c r="S862" s="1" t="s">
        <v>163</v>
      </c>
      <c r="T862" s="1" t="str">
        <f t="shared" si="356"/>
        <v>Uttar Pradesh</v>
      </c>
      <c r="U862" s="1" t="s">
        <v>164</v>
      </c>
      <c r="V862" s="1" t="str">
        <f t="shared" si="357"/>
        <v>Noida</v>
      </c>
      <c r="W862" s="1" t="s">
        <v>83</v>
      </c>
      <c r="X862" s="1" t="str">
        <f t="shared" si="358"/>
        <v>Technology</v>
      </c>
      <c r="Y862" s="1" t="s">
        <v>347</v>
      </c>
      <c r="Z862" s="1" t="str">
        <f t="shared" si="359"/>
        <v>Machines</v>
      </c>
      <c r="AA862" s="1" t="s">
        <v>3053</v>
      </c>
      <c r="AB862" s="1"/>
      <c r="AC862" s="1" t="str">
        <f t="shared" si="360"/>
        <v>Unknown</v>
      </c>
      <c r="AD862" s="1" t="str">
        <f t="shared" si="361"/>
        <v>MISSING_SHIP_MODE</v>
      </c>
      <c r="AE862" s="1">
        <v>3</v>
      </c>
      <c r="AF862" s="1">
        <v>2963.25</v>
      </c>
      <c r="AG862" s="9">
        <v>0.05</v>
      </c>
      <c r="AH862" s="9">
        <f t="shared" si="362"/>
        <v>0.05</v>
      </c>
      <c r="AI862" s="1" t="str">
        <f t="shared" si="363"/>
        <v>OK</v>
      </c>
      <c r="AJ862" s="1">
        <v>8445.26</v>
      </c>
      <c r="AK862" s="1">
        <v>6937.6</v>
      </c>
      <c r="AL862" s="1">
        <v>1507.66</v>
      </c>
      <c r="AM862" s="13">
        <f t="shared" si="364"/>
        <v>8445.2624999999989</v>
      </c>
      <c r="AN862" s="9">
        <f t="shared" si="365"/>
        <v>1507.6624999999985</v>
      </c>
      <c r="AO862" s="9">
        <f t="shared" si="374"/>
        <v>0.17852168597482893</v>
      </c>
      <c r="AP862" s="1" t="s">
        <v>33</v>
      </c>
      <c r="AQ862" s="1" t="str">
        <f t="shared" si="366"/>
        <v>Paid</v>
      </c>
      <c r="AR862" s="1" t="str">
        <f t="shared" si="367"/>
        <v>OK</v>
      </c>
      <c r="AS862" s="1" t="s">
        <v>34</v>
      </c>
      <c r="AT862" s="4" t="str">
        <f t="shared" si="368"/>
        <v>Completed</v>
      </c>
      <c r="AU862" s="3" t="str">
        <f t="shared" si="369"/>
        <v>OK</v>
      </c>
      <c r="AV862" s="3" t="str">
        <f t="shared" si="375"/>
        <v>INVALID</v>
      </c>
      <c r="AW862" t="str">
        <f t="shared" si="376"/>
        <v>MATCH</v>
      </c>
      <c r="AX862" t="str">
        <f t="shared" si="377"/>
        <v>MATCH</v>
      </c>
    </row>
    <row r="863" spans="1:50" ht="15.6">
      <c r="A863" s="1" t="s">
        <v>3060</v>
      </c>
      <c r="B863" s="1">
        <f t="shared" si="351"/>
        <v>1</v>
      </c>
      <c r="C863" s="16">
        <v>45753</v>
      </c>
      <c r="D863" s="16">
        <v>45753</v>
      </c>
      <c r="E863" s="16" t="str">
        <f t="shared" si="370"/>
        <v>Apr</v>
      </c>
      <c r="F863" s="1">
        <f t="shared" si="371"/>
        <v>2025</v>
      </c>
      <c r="G863" t="s">
        <v>3440</v>
      </c>
      <c r="H863" s="17">
        <v>45725</v>
      </c>
      <c r="I863" s="21">
        <f t="shared" si="372"/>
        <v>-28</v>
      </c>
      <c r="J863" s="6" t="str">
        <f t="shared" si="373"/>
        <v>INVALID_SHIPPING</v>
      </c>
      <c r="K863" s="1" t="s">
        <v>3062</v>
      </c>
      <c r="L863" s="1" t="s">
        <v>90</v>
      </c>
      <c r="M863" s="1" t="str">
        <f t="shared" si="352"/>
        <v>Neha Gupta</v>
      </c>
      <c r="N863" s="1" t="s">
        <v>104</v>
      </c>
      <c r="O863" s="1" t="str">
        <f t="shared" si="353"/>
        <v>Corporate</v>
      </c>
      <c r="P863" s="1" t="s">
        <v>60</v>
      </c>
      <c r="Q863" s="1" t="str">
        <f t="shared" si="354"/>
        <v>South</v>
      </c>
      <c r="R863" s="1" t="str">
        <f t="shared" si="355"/>
        <v>OK</v>
      </c>
      <c r="S863" s="1" t="s">
        <v>224</v>
      </c>
      <c r="T863" s="1" t="str">
        <f t="shared" si="356"/>
        <v>Kerala</v>
      </c>
      <c r="U863" s="1" t="s">
        <v>225</v>
      </c>
      <c r="V863" s="1" t="str">
        <f t="shared" si="357"/>
        <v>Kochi</v>
      </c>
      <c r="W863" s="1" t="s">
        <v>29</v>
      </c>
      <c r="X863" s="1" t="str">
        <f t="shared" si="358"/>
        <v>Office Supplies</v>
      </c>
      <c r="Y863" s="1" t="s">
        <v>148</v>
      </c>
      <c r="Z863" s="1" t="str">
        <f t="shared" si="359"/>
        <v>Storage</v>
      </c>
      <c r="AA863" s="1" t="s">
        <v>3063</v>
      </c>
      <c r="AB863" s="1" t="s">
        <v>65</v>
      </c>
      <c r="AC863" s="1" t="str">
        <f t="shared" si="360"/>
        <v>Standard Class</v>
      </c>
      <c r="AD863" s="1" t="str">
        <f t="shared" si="361"/>
        <v>OK</v>
      </c>
      <c r="AE863" s="1">
        <v>4</v>
      </c>
      <c r="AF863" s="1">
        <v>891.34</v>
      </c>
      <c r="AG863" s="9">
        <v>0.25</v>
      </c>
      <c r="AH863" s="9">
        <f t="shared" si="362"/>
        <v>0.25</v>
      </c>
      <c r="AI863" s="1" t="str">
        <f t="shared" si="363"/>
        <v>OK</v>
      </c>
      <c r="AJ863" s="1">
        <v>2674.02</v>
      </c>
      <c r="AK863" s="1">
        <v>2207.5700000000002</v>
      </c>
      <c r="AL863" s="1">
        <v>466.45</v>
      </c>
      <c r="AM863" s="13">
        <f t="shared" si="364"/>
        <v>2674.02</v>
      </c>
      <c r="AN863" s="9">
        <f t="shared" si="365"/>
        <v>466.44999999999982</v>
      </c>
      <c r="AO863" s="9">
        <f t="shared" si="374"/>
        <v>0.17443773793763689</v>
      </c>
      <c r="AP863" s="1" t="s">
        <v>33</v>
      </c>
      <c r="AQ863" s="1" t="str">
        <f t="shared" si="366"/>
        <v>Paid</v>
      </c>
      <c r="AR863" s="1" t="str">
        <f t="shared" si="367"/>
        <v>OK</v>
      </c>
      <c r="AS863" s="1" t="s">
        <v>34</v>
      </c>
      <c r="AT863" s="4" t="str">
        <f t="shared" si="368"/>
        <v>Completed</v>
      </c>
      <c r="AU863" s="3" t="str">
        <f t="shared" si="369"/>
        <v>OK</v>
      </c>
      <c r="AV863" s="3" t="str">
        <f t="shared" si="375"/>
        <v>INVALID</v>
      </c>
      <c r="AW863" t="str">
        <f t="shared" si="376"/>
        <v>MATCH</v>
      </c>
      <c r="AX863" t="str">
        <f t="shared" si="377"/>
        <v>MATCH</v>
      </c>
    </row>
    <row r="864" spans="1:50" ht="15.6">
      <c r="A864" s="1" t="s">
        <v>3064</v>
      </c>
      <c r="B864" s="1">
        <f t="shared" si="351"/>
        <v>1</v>
      </c>
      <c r="C864" s="16">
        <v>45858</v>
      </c>
      <c r="D864" s="16">
        <v>45858</v>
      </c>
      <c r="E864" s="16" t="str">
        <f t="shared" si="370"/>
        <v>Jul</v>
      </c>
      <c r="F864" s="1">
        <f t="shared" si="371"/>
        <v>2025</v>
      </c>
      <c r="G864" t="s">
        <v>3444</v>
      </c>
      <c r="H864" s="17">
        <v>45747</v>
      </c>
      <c r="I864" s="21">
        <f t="shared" si="372"/>
        <v>-111</v>
      </c>
      <c r="J864" s="6" t="str">
        <f t="shared" si="373"/>
        <v>INVALID_SHIPPING</v>
      </c>
      <c r="K864" s="1" t="s">
        <v>3065</v>
      </c>
      <c r="L864" s="1" t="s">
        <v>136</v>
      </c>
      <c r="M864" s="1" t="str">
        <f t="shared" si="352"/>
        <v>Priya Menon</v>
      </c>
      <c r="N864" s="1" t="s">
        <v>110</v>
      </c>
      <c r="O864" s="1" t="str">
        <f t="shared" si="353"/>
        <v>Home Office</v>
      </c>
      <c r="P864" s="1" t="s">
        <v>71</v>
      </c>
      <c r="Q864" s="1" t="str">
        <f t="shared" si="354"/>
        <v>West</v>
      </c>
      <c r="R864" s="1" t="str">
        <f t="shared" si="355"/>
        <v>OK</v>
      </c>
      <c r="S864" s="1" t="s">
        <v>81</v>
      </c>
      <c r="T864" s="1" t="str">
        <f t="shared" si="356"/>
        <v>Madhya Pradesh</v>
      </c>
      <c r="U864" s="1" t="s">
        <v>82</v>
      </c>
      <c r="V864" s="1" t="str">
        <f t="shared" si="357"/>
        <v>Indore</v>
      </c>
      <c r="W864" s="1" t="s">
        <v>29</v>
      </c>
      <c r="X864" s="1" t="str">
        <f t="shared" si="358"/>
        <v>Office Supplies</v>
      </c>
      <c r="Y864" s="1" t="s">
        <v>148</v>
      </c>
      <c r="Z864" s="1" t="str">
        <f t="shared" si="359"/>
        <v>Storage</v>
      </c>
      <c r="AA864" s="1" t="s">
        <v>3066</v>
      </c>
      <c r="AB864" s="1" t="s">
        <v>32</v>
      </c>
      <c r="AC864" s="1" t="str">
        <f t="shared" si="360"/>
        <v>Second Class</v>
      </c>
      <c r="AD864" s="1" t="str">
        <f t="shared" si="361"/>
        <v>OK</v>
      </c>
      <c r="AE864" s="1">
        <v>5</v>
      </c>
      <c r="AF864" s="1">
        <v>2481.7399999999998</v>
      </c>
      <c r="AG864" s="9">
        <v>0.2</v>
      </c>
      <c r="AH864" s="9">
        <f t="shared" si="362"/>
        <v>0.2</v>
      </c>
      <c r="AI864" s="1" t="str">
        <f t="shared" si="363"/>
        <v>OK</v>
      </c>
      <c r="AJ864" s="1">
        <v>9926.9599999999991</v>
      </c>
      <c r="AK864" s="1">
        <v>7994.98</v>
      </c>
      <c r="AL864" s="1">
        <v>1931.98</v>
      </c>
      <c r="AM864" s="13">
        <f t="shared" si="364"/>
        <v>9926.9599999999991</v>
      </c>
      <c r="AN864" s="9">
        <f t="shared" si="365"/>
        <v>1931.9799999999996</v>
      </c>
      <c r="AO864" s="9">
        <f t="shared" si="374"/>
        <v>0.19461950083409219</v>
      </c>
      <c r="AP864" s="1" t="s">
        <v>33</v>
      </c>
      <c r="AQ864" s="1" t="str">
        <f t="shared" si="366"/>
        <v>Paid</v>
      </c>
      <c r="AR864" s="1" t="str">
        <f t="shared" si="367"/>
        <v>OK</v>
      </c>
      <c r="AS864" s="1" t="s">
        <v>34</v>
      </c>
      <c r="AT864" s="4" t="str">
        <f t="shared" si="368"/>
        <v>Completed</v>
      </c>
      <c r="AU864" s="3" t="str">
        <f t="shared" si="369"/>
        <v>OK</v>
      </c>
      <c r="AV864" s="3" t="str">
        <f t="shared" si="375"/>
        <v>INVALID</v>
      </c>
      <c r="AW864" t="str">
        <f t="shared" si="376"/>
        <v>MATCH</v>
      </c>
      <c r="AX864" t="str">
        <f t="shared" si="377"/>
        <v>MATCH</v>
      </c>
    </row>
    <row r="865" spans="1:50" ht="15.6" hidden="1">
      <c r="A865" s="1" t="s">
        <v>3071</v>
      </c>
      <c r="B865" s="1">
        <f t="shared" si="351"/>
        <v>1</v>
      </c>
      <c r="C865" s="16">
        <v>45665</v>
      </c>
      <c r="D865" s="16">
        <v>45665</v>
      </c>
      <c r="E865" s="16" t="str">
        <f t="shared" si="370"/>
        <v>Jan</v>
      </c>
      <c r="F865" s="1">
        <f t="shared" si="371"/>
        <v>2025</v>
      </c>
      <c r="G865" t="s">
        <v>2397</v>
      </c>
      <c r="H865" s="17">
        <v>45908</v>
      </c>
      <c r="I865" s="21">
        <f t="shared" si="372"/>
        <v>243</v>
      </c>
      <c r="J865" s="6" t="str">
        <f t="shared" si="373"/>
        <v>OK</v>
      </c>
      <c r="K865" s="1" t="s">
        <v>3073</v>
      </c>
      <c r="L865" s="1" t="s">
        <v>103</v>
      </c>
      <c r="M865" s="1" t="str">
        <f t="shared" si="352"/>
        <v>Aditi Sen</v>
      </c>
      <c r="N865" s="1" t="s">
        <v>40</v>
      </c>
      <c r="O865" s="1" t="str">
        <f t="shared" si="353"/>
        <v>Small Business</v>
      </c>
      <c r="P865" s="1" t="s">
        <v>60</v>
      </c>
      <c r="Q865" s="1" t="str">
        <f t="shared" si="354"/>
        <v>South</v>
      </c>
      <c r="R865" s="1" t="str">
        <f t="shared" si="355"/>
        <v>OK</v>
      </c>
      <c r="S865" s="1" t="s">
        <v>224</v>
      </c>
      <c r="T865" s="1" t="str">
        <f t="shared" si="356"/>
        <v>Kerala</v>
      </c>
      <c r="U865" s="1" t="s">
        <v>225</v>
      </c>
      <c r="V865" s="1" t="str">
        <f t="shared" si="357"/>
        <v>Kochi</v>
      </c>
      <c r="W865" s="1" t="s">
        <v>44</v>
      </c>
      <c r="X865" s="1" t="str">
        <f t="shared" si="358"/>
        <v>Furniture</v>
      </c>
      <c r="Y865" s="1" t="s">
        <v>190</v>
      </c>
      <c r="Z865" s="1" t="str">
        <f t="shared" si="359"/>
        <v>Bookcases</v>
      </c>
      <c r="AA865" s="1" t="s">
        <v>3074</v>
      </c>
      <c r="AB865" s="1" t="s">
        <v>65</v>
      </c>
      <c r="AC865" s="1" t="str">
        <f t="shared" si="360"/>
        <v>Standard Class</v>
      </c>
      <c r="AD865" s="1" t="str">
        <f t="shared" si="361"/>
        <v>OK</v>
      </c>
      <c r="AE865" s="1">
        <v>3</v>
      </c>
      <c r="AF865" s="1">
        <v>1904.78</v>
      </c>
      <c r="AG865" s="9">
        <v>0.25</v>
      </c>
      <c r="AH865" s="9">
        <f t="shared" si="362"/>
        <v>0.25</v>
      </c>
      <c r="AI865" s="1" t="str">
        <f t="shared" si="363"/>
        <v>OK</v>
      </c>
      <c r="AJ865" s="1">
        <v>4285.76</v>
      </c>
      <c r="AK865" s="1">
        <v>2386.33</v>
      </c>
      <c r="AL865" s="1">
        <v>1899.43</v>
      </c>
      <c r="AM865" s="13">
        <f t="shared" si="364"/>
        <v>4285.7550000000001</v>
      </c>
      <c r="AN865" s="9">
        <f t="shared" si="365"/>
        <v>1899.4250000000002</v>
      </c>
      <c r="AO865" s="9">
        <f t="shared" si="374"/>
        <v>0.44319495631458172</v>
      </c>
      <c r="AP865" s="1" t="s">
        <v>186</v>
      </c>
      <c r="AQ865" s="1" t="str">
        <f t="shared" si="366"/>
        <v>Failed</v>
      </c>
      <c r="AR865" s="1" t="str">
        <f t="shared" si="367"/>
        <v>EXCLUDE_FROM_SALES</v>
      </c>
      <c r="AS865" s="1" t="s">
        <v>76</v>
      </c>
      <c r="AT865" s="4" t="str">
        <f t="shared" si="368"/>
        <v>Cancelled</v>
      </c>
      <c r="AU865" s="3" t="str">
        <f t="shared" si="369"/>
        <v>EXCLUDE_FROM_SALES</v>
      </c>
      <c r="AV865" s="3" t="str">
        <f t="shared" si="375"/>
        <v>CLEAN</v>
      </c>
      <c r="AW865" t="str">
        <f t="shared" si="376"/>
        <v>MATCH</v>
      </c>
      <c r="AX865" t="str">
        <f t="shared" si="377"/>
        <v>MATCH</v>
      </c>
    </row>
    <row r="866" spans="1:50" ht="15.6">
      <c r="A866" s="1" t="s">
        <v>3085</v>
      </c>
      <c r="B866" s="1">
        <f t="shared" si="351"/>
        <v>1</v>
      </c>
      <c r="C866" s="16">
        <v>45896</v>
      </c>
      <c r="D866" s="16">
        <v>45896</v>
      </c>
      <c r="E866" s="16" t="str">
        <f t="shared" si="370"/>
        <v>Aug</v>
      </c>
      <c r="F866" s="1">
        <f t="shared" si="371"/>
        <v>2025</v>
      </c>
      <c r="G866" t="s">
        <v>514</v>
      </c>
      <c r="H866" s="17">
        <v>45786</v>
      </c>
      <c r="I866" s="21">
        <f t="shared" si="372"/>
        <v>-110</v>
      </c>
      <c r="J866" s="6" t="str">
        <f t="shared" si="373"/>
        <v>INVALID_SHIPPING</v>
      </c>
      <c r="K866" s="1" t="s">
        <v>3087</v>
      </c>
      <c r="L866" s="1" t="s">
        <v>52</v>
      </c>
      <c r="M866" s="1" t="str">
        <f t="shared" si="352"/>
        <v>Isha Nair</v>
      </c>
      <c r="N866" s="1" t="s">
        <v>25</v>
      </c>
      <c r="O866" s="1" t="str">
        <f t="shared" si="353"/>
        <v>Consumer</v>
      </c>
      <c r="P866" s="1" t="s">
        <v>60</v>
      </c>
      <c r="Q866" s="1" t="str">
        <f t="shared" si="354"/>
        <v>South</v>
      </c>
      <c r="R866" s="1" t="str">
        <f t="shared" si="355"/>
        <v>OK</v>
      </c>
      <c r="S866" s="1" t="s">
        <v>212</v>
      </c>
      <c r="T866" s="1" t="str">
        <f t="shared" si="356"/>
        <v>Karnataka</v>
      </c>
      <c r="U866" s="1" t="s">
        <v>213</v>
      </c>
      <c r="V866" s="1" t="str">
        <f t="shared" si="357"/>
        <v>Bengaluru</v>
      </c>
      <c r="W866" s="1" t="s">
        <v>83</v>
      </c>
      <c r="X866" s="1" t="str">
        <f t="shared" si="358"/>
        <v>Technology</v>
      </c>
      <c r="Y866" s="1" t="s">
        <v>347</v>
      </c>
      <c r="Z866" s="1" t="str">
        <f t="shared" si="359"/>
        <v>Machines</v>
      </c>
      <c r="AA866" s="1" t="s">
        <v>3088</v>
      </c>
      <c r="AB866" s="1" t="s">
        <v>55</v>
      </c>
      <c r="AC866" s="1" t="str">
        <f t="shared" si="360"/>
        <v>First Class</v>
      </c>
      <c r="AD866" s="1" t="str">
        <f t="shared" si="361"/>
        <v>OK</v>
      </c>
      <c r="AE866" s="1">
        <v>3</v>
      </c>
      <c r="AF866" s="1">
        <v>2489.12</v>
      </c>
      <c r="AG866" s="9">
        <v>0</v>
      </c>
      <c r="AH866" s="9">
        <f t="shared" si="362"/>
        <v>0</v>
      </c>
      <c r="AI866" s="1" t="str">
        <f t="shared" si="363"/>
        <v>OK</v>
      </c>
      <c r="AJ866" s="1">
        <v>7467.36</v>
      </c>
      <c r="AK866" s="1">
        <v>5010.6099999999997</v>
      </c>
      <c r="AL866" s="1">
        <v>2456.75</v>
      </c>
      <c r="AM866" s="13">
        <f t="shared" si="364"/>
        <v>7467.36</v>
      </c>
      <c r="AN866" s="9">
        <f t="shared" si="365"/>
        <v>2456.75</v>
      </c>
      <c r="AO866" s="9">
        <f t="shared" si="374"/>
        <v>0.32899846799940008</v>
      </c>
      <c r="AP866" s="1" t="s">
        <v>33</v>
      </c>
      <c r="AQ866" s="1" t="str">
        <f t="shared" si="366"/>
        <v>Paid</v>
      </c>
      <c r="AR866" s="1" t="str">
        <f t="shared" si="367"/>
        <v>OK</v>
      </c>
      <c r="AS866" s="1" t="s">
        <v>34</v>
      </c>
      <c r="AT866" s="4" t="str">
        <f t="shared" si="368"/>
        <v>Completed</v>
      </c>
      <c r="AU866" s="3" t="str">
        <f t="shared" si="369"/>
        <v>OK</v>
      </c>
      <c r="AV866" s="3" t="str">
        <f t="shared" si="375"/>
        <v>INVALID</v>
      </c>
      <c r="AW866" t="str">
        <f t="shared" si="376"/>
        <v>MATCH</v>
      </c>
      <c r="AX866" t="str">
        <f t="shared" si="377"/>
        <v>MATCH</v>
      </c>
    </row>
    <row r="867" spans="1:50" ht="15.6">
      <c r="A867" s="1" t="s">
        <v>3093</v>
      </c>
      <c r="B867" s="1">
        <f t="shared" si="351"/>
        <v>1</v>
      </c>
      <c r="C867" s="16">
        <v>45892</v>
      </c>
      <c r="D867" s="16">
        <v>45892</v>
      </c>
      <c r="E867" s="16" t="str">
        <f t="shared" si="370"/>
        <v>Aug</v>
      </c>
      <c r="F867" s="1">
        <f t="shared" si="371"/>
        <v>2025</v>
      </c>
      <c r="G867" t="s">
        <v>1692</v>
      </c>
      <c r="H867" s="17">
        <v>45702</v>
      </c>
      <c r="I867" s="21">
        <f t="shared" si="372"/>
        <v>-190</v>
      </c>
      <c r="J867" s="6" t="str">
        <f t="shared" si="373"/>
        <v>INVALID_SHIPPING</v>
      </c>
      <c r="K867" s="1" t="s">
        <v>3095</v>
      </c>
      <c r="L867" s="1" t="s">
        <v>196</v>
      </c>
      <c r="M867" s="1" t="str">
        <f t="shared" si="352"/>
        <v>Diya Patel</v>
      </c>
      <c r="N867" s="1" t="s">
        <v>25</v>
      </c>
      <c r="O867" s="1" t="str">
        <f t="shared" si="353"/>
        <v>Consumer</v>
      </c>
      <c r="P867" s="1" t="s">
        <v>26</v>
      </c>
      <c r="Q867" s="1" t="str">
        <f t="shared" si="354"/>
        <v>North</v>
      </c>
      <c r="R867" s="1" t="str">
        <f t="shared" si="355"/>
        <v>OK</v>
      </c>
      <c r="S867" s="1" t="s">
        <v>27</v>
      </c>
      <c r="T867" s="1" t="str">
        <f t="shared" si="356"/>
        <v>Rajasthan</v>
      </c>
      <c r="U867" s="1" t="s">
        <v>28</v>
      </c>
      <c r="V867" s="1" t="str">
        <f t="shared" si="357"/>
        <v>Jaipur</v>
      </c>
      <c r="W867" s="1" t="s">
        <v>44</v>
      </c>
      <c r="X867" s="1" t="str">
        <f t="shared" si="358"/>
        <v>Furniture</v>
      </c>
      <c r="Y867" s="1" t="s">
        <v>63</v>
      </c>
      <c r="Z867" s="1" t="str">
        <f t="shared" si="359"/>
        <v>Furnishings</v>
      </c>
      <c r="AA867" s="1" t="s">
        <v>3096</v>
      </c>
      <c r="AB867" s="1" t="s">
        <v>47</v>
      </c>
      <c r="AC867" s="1" t="str">
        <f t="shared" si="360"/>
        <v>Same Day</v>
      </c>
      <c r="AD867" s="1" t="str">
        <f t="shared" si="361"/>
        <v>OK</v>
      </c>
      <c r="AE867" s="1">
        <v>6</v>
      </c>
      <c r="AF867" s="1">
        <v>2742.48</v>
      </c>
      <c r="AG867" s="9">
        <v>0</v>
      </c>
      <c r="AH867" s="9">
        <f t="shared" si="362"/>
        <v>0</v>
      </c>
      <c r="AI867" s="1" t="str">
        <f t="shared" si="363"/>
        <v>OK</v>
      </c>
      <c r="AJ867" s="1">
        <v>16454.88</v>
      </c>
      <c r="AK867" s="1">
        <v>12081.54</v>
      </c>
      <c r="AL867" s="1">
        <v>4373.34</v>
      </c>
      <c r="AM867" s="13">
        <f t="shared" si="364"/>
        <v>16454.88</v>
      </c>
      <c r="AN867" s="9">
        <f t="shared" si="365"/>
        <v>4373.34</v>
      </c>
      <c r="AO867" s="9">
        <f t="shared" si="374"/>
        <v>0.26577769026574488</v>
      </c>
      <c r="AP867" s="1" t="s">
        <v>33</v>
      </c>
      <c r="AQ867" s="1" t="str">
        <f t="shared" si="366"/>
        <v>Paid</v>
      </c>
      <c r="AR867" s="1" t="str">
        <f t="shared" si="367"/>
        <v>OK</v>
      </c>
      <c r="AS867" s="1" t="s">
        <v>34</v>
      </c>
      <c r="AT867" s="4" t="str">
        <f t="shared" si="368"/>
        <v>Completed</v>
      </c>
      <c r="AU867" s="3" t="str">
        <f t="shared" si="369"/>
        <v>OK</v>
      </c>
      <c r="AV867" s="3" t="str">
        <f t="shared" si="375"/>
        <v>INVALID</v>
      </c>
      <c r="AW867" t="str">
        <f t="shared" si="376"/>
        <v>MATCH</v>
      </c>
      <c r="AX867" t="str">
        <f t="shared" si="377"/>
        <v>MATCH</v>
      </c>
    </row>
    <row r="868" spans="1:50" ht="15.6">
      <c r="A868" s="1" t="s">
        <v>3097</v>
      </c>
      <c r="B868" s="1">
        <f t="shared" si="351"/>
        <v>1</v>
      </c>
      <c r="C868" s="16">
        <v>45760</v>
      </c>
      <c r="D868" s="16">
        <v>45760</v>
      </c>
      <c r="E868" s="16" t="str">
        <f t="shared" si="370"/>
        <v>Apr</v>
      </c>
      <c r="F868" s="1">
        <f t="shared" si="371"/>
        <v>2025</v>
      </c>
      <c r="G868" t="s">
        <v>3457</v>
      </c>
      <c r="H868" s="17">
        <v>45722</v>
      </c>
      <c r="I868" s="21">
        <f t="shared" si="372"/>
        <v>-38</v>
      </c>
      <c r="J868" s="6" t="str">
        <f t="shared" si="373"/>
        <v>INVALID_SHIPPING</v>
      </c>
      <c r="K868" s="1" t="s">
        <v>1189</v>
      </c>
      <c r="L868" s="1" t="s">
        <v>136</v>
      </c>
      <c r="M868" s="1" t="str">
        <f t="shared" si="352"/>
        <v>Priya Menon</v>
      </c>
      <c r="N868" s="1" t="s">
        <v>104</v>
      </c>
      <c r="O868" s="1" t="str">
        <f t="shared" si="353"/>
        <v>Corporate</v>
      </c>
      <c r="P868" s="1" t="s">
        <v>60</v>
      </c>
      <c r="Q868" s="1" t="str">
        <f t="shared" si="354"/>
        <v>South</v>
      </c>
      <c r="R868" s="1" t="str">
        <f t="shared" si="355"/>
        <v>OK</v>
      </c>
      <c r="S868" s="1" t="s">
        <v>224</v>
      </c>
      <c r="T868" s="1" t="str">
        <f t="shared" si="356"/>
        <v>Kerala</v>
      </c>
      <c r="U868" s="1" t="s">
        <v>225</v>
      </c>
      <c r="V868" s="1" t="str">
        <f t="shared" si="357"/>
        <v>Kochi</v>
      </c>
      <c r="W868" s="1" t="s">
        <v>44</v>
      </c>
      <c r="X868" s="1" t="str">
        <f t="shared" si="358"/>
        <v>Furniture</v>
      </c>
      <c r="Y868" s="1" t="s">
        <v>190</v>
      </c>
      <c r="Z868" s="1" t="str">
        <f t="shared" si="359"/>
        <v>Bookcases</v>
      </c>
      <c r="AA868" s="1" t="s">
        <v>3098</v>
      </c>
      <c r="AB868" s="1" t="s">
        <v>55</v>
      </c>
      <c r="AC868" s="1" t="str">
        <f t="shared" si="360"/>
        <v>First Class</v>
      </c>
      <c r="AD868" s="1" t="str">
        <f t="shared" si="361"/>
        <v>OK</v>
      </c>
      <c r="AE868" s="1">
        <v>6</v>
      </c>
      <c r="AF868" s="1">
        <v>4414</v>
      </c>
      <c r="AG868" s="9">
        <v>0.05</v>
      </c>
      <c r="AH868" s="9">
        <f t="shared" si="362"/>
        <v>0.05</v>
      </c>
      <c r="AI868" s="1" t="str">
        <f t="shared" si="363"/>
        <v>OK</v>
      </c>
      <c r="AJ868" s="1">
        <v>25159.8</v>
      </c>
      <c r="AK868" s="1">
        <v>21606.83</v>
      </c>
      <c r="AL868" s="1">
        <v>3552.97</v>
      </c>
      <c r="AM868" s="13">
        <f t="shared" si="364"/>
        <v>25159.8</v>
      </c>
      <c r="AN868" s="9">
        <f t="shared" si="365"/>
        <v>3552.9699999999975</v>
      </c>
      <c r="AO868" s="9">
        <f t="shared" si="374"/>
        <v>0.14121614639226057</v>
      </c>
      <c r="AP868" s="1" t="s">
        <v>33</v>
      </c>
      <c r="AQ868" s="1" t="str">
        <f t="shared" si="366"/>
        <v>Paid</v>
      </c>
      <c r="AR868" s="1" t="str">
        <f t="shared" si="367"/>
        <v>OK</v>
      </c>
      <c r="AS868" s="1" t="s">
        <v>34</v>
      </c>
      <c r="AT868" s="4" t="str">
        <f t="shared" si="368"/>
        <v>Completed</v>
      </c>
      <c r="AU868" s="3" t="str">
        <f t="shared" si="369"/>
        <v>OK</v>
      </c>
      <c r="AV868" s="3" t="str">
        <f t="shared" si="375"/>
        <v>INVALID</v>
      </c>
      <c r="AW868" t="str">
        <f t="shared" si="376"/>
        <v>MATCH</v>
      </c>
      <c r="AX868" t="str">
        <f t="shared" si="377"/>
        <v>MATCH</v>
      </c>
    </row>
    <row r="869" spans="1:50" ht="15.6">
      <c r="A869" s="1" t="s">
        <v>3099</v>
      </c>
      <c r="B869" s="1">
        <f t="shared" si="351"/>
        <v>1</v>
      </c>
      <c r="C869" s="16">
        <v>45837</v>
      </c>
      <c r="D869" s="16">
        <v>45837</v>
      </c>
      <c r="E869" s="16" t="str">
        <f t="shared" si="370"/>
        <v>Jun</v>
      </c>
      <c r="F869" s="1">
        <f t="shared" si="371"/>
        <v>2025</v>
      </c>
      <c r="G869" t="s">
        <v>3461</v>
      </c>
      <c r="H869" s="17">
        <v>45618</v>
      </c>
      <c r="I869" s="21">
        <f t="shared" si="372"/>
        <v>-219</v>
      </c>
      <c r="J869" s="6" t="str">
        <f t="shared" si="373"/>
        <v>INVALID_SHIPPING</v>
      </c>
      <c r="K869" s="1" t="s">
        <v>3101</v>
      </c>
      <c r="L869" s="1" t="s">
        <v>80</v>
      </c>
      <c r="M869" s="1" t="str">
        <f t="shared" si="352"/>
        <v>Vikram Iyer</v>
      </c>
      <c r="N869" s="1" t="s">
        <v>104</v>
      </c>
      <c r="O869" s="1" t="str">
        <f t="shared" si="353"/>
        <v>Corporate</v>
      </c>
      <c r="P869" s="1" t="s">
        <v>41</v>
      </c>
      <c r="Q869" s="1" t="str">
        <f t="shared" si="354"/>
        <v>East</v>
      </c>
      <c r="R869" s="1" t="str">
        <f t="shared" si="355"/>
        <v>OK</v>
      </c>
      <c r="S869" s="1" t="s">
        <v>284</v>
      </c>
      <c r="T869" s="1" t="str">
        <f t="shared" si="356"/>
        <v>Jharkhand</v>
      </c>
      <c r="U869" s="1" t="s">
        <v>285</v>
      </c>
      <c r="V869" s="1" t="str">
        <f t="shared" si="357"/>
        <v>Ranchi</v>
      </c>
      <c r="W869" s="1" t="s">
        <v>29</v>
      </c>
      <c r="X869" s="1" t="str">
        <f t="shared" si="358"/>
        <v>Office Supplies</v>
      </c>
      <c r="Y869" s="1" t="s">
        <v>105</v>
      </c>
      <c r="Z869" s="1" t="str">
        <f t="shared" si="359"/>
        <v>Labels</v>
      </c>
      <c r="AA869" s="1" t="s">
        <v>3102</v>
      </c>
      <c r="AB869" s="1" t="s">
        <v>55</v>
      </c>
      <c r="AC869" s="1" t="str">
        <f t="shared" si="360"/>
        <v>First Class</v>
      </c>
      <c r="AD869" s="1" t="str">
        <f t="shared" si="361"/>
        <v>OK</v>
      </c>
      <c r="AE869" s="1">
        <v>3</v>
      </c>
      <c r="AF869" s="1">
        <v>608.14</v>
      </c>
      <c r="AG869" s="9">
        <v>0</v>
      </c>
      <c r="AH869" s="9">
        <f t="shared" si="362"/>
        <v>0</v>
      </c>
      <c r="AI869" s="1" t="str">
        <f t="shared" si="363"/>
        <v>OK</v>
      </c>
      <c r="AJ869" s="1">
        <v>1824.42</v>
      </c>
      <c r="AK869" s="1">
        <v>1214.8699999999999</v>
      </c>
      <c r="AL869" s="1">
        <v>609.54999999999995</v>
      </c>
      <c r="AM869" s="13">
        <f t="shared" si="364"/>
        <v>1824.42</v>
      </c>
      <c r="AN869" s="9">
        <f t="shared" si="365"/>
        <v>609.55000000000018</v>
      </c>
      <c r="AO869" s="9">
        <f t="shared" si="374"/>
        <v>0.33410618169061956</v>
      </c>
      <c r="AP869" s="1" t="s">
        <v>33</v>
      </c>
      <c r="AQ869" s="1" t="str">
        <f t="shared" si="366"/>
        <v>Paid</v>
      </c>
      <c r="AR869" s="1" t="str">
        <f t="shared" si="367"/>
        <v>OK</v>
      </c>
      <c r="AS869" s="1" t="s">
        <v>34</v>
      </c>
      <c r="AT869" s="4" t="str">
        <f t="shared" si="368"/>
        <v>Completed</v>
      </c>
      <c r="AU869" s="3" t="str">
        <f t="shared" si="369"/>
        <v>OK</v>
      </c>
      <c r="AV869" s="3" t="str">
        <f t="shared" si="375"/>
        <v>INVALID</v>
      </c>
      <c r="AW869" t="str">
        <f t="shared" si="376"/>
        <v>MATCH</v>
      </c>
      <c r="AX869" t="str">
        <f t="shared" si="377"/>
        <v>MATCH</v>
      </c>
    </row>
    <row r="870" spans="1:50" ht="15.6" hidden="1">
      <c r="A870" s="1" t="s">
        <v>3109</v>
      </c>
      <c r="B870" s="1">
        <f t="shared" si="351"/>
        <v>1</v>
      </c>
      <c r="C870" s="16">
        <v>45692</v>
      </c>
      <c r="D870" s="16">
        <v>45692</v>
      </c>
      <c r="E870" s="16" t="str">
        <f t="shared" si="370"/>
        <v>Feb</v>
      </c>
      <c r="F870" s="1">
        <f t="shared" si="371"/>
        <v>2025</v>
      </c>
      <c r="G870" t="s">
        <v>1885</v>
      </c>
      <c r="H870" s="17">
        <v>45762</v>
      </c>
      <c r="I870" s="21">
        <f t="shared" si="372"/>
        <v>70</v>
      </c>
      <c r="J870" s="6" t="str">
        <f t="shared" si="373"/>
        <v>OK</v>
      </c>
      <c r="K870" s="1" t="s">
        <v>3111</v>
      </c>
      <c r="L870" s="1" t="s">
        <v>158</v>
      </c>
      <c r="M870" s="1" t="str">
        <f t="shared" si="352"/>
        <v>Sneha Kapoor</v>
      </c>
      <c r="N870" s="1" t="s">
        <v>110</v>
      </c>
      <c r="O870" s="1" t="str">
        <f t="shared" si="353"/>
        <v>Home Office</v>
      </c>
      <c r="P870" s="1" t="s">
        <v>41</v>
      </c>
      <c r="Q870" s="1" t="str">
        <f t="shared" si="354"/>
        <v>East</v>
      </c>
      <c r="R870" s="1" t="str">
        <f t="shared" si="355"/>
        <v>OK</v>
      </c>
      <c r="S870" s="1" t="s">
        <v>284</v>
      </c>
      <c r="T870" s="1" t="str">
        <f t="shared" si="356"/>
        <v>Jharkhand</v>
      </c>
      <c r="U870" s="1" t="s">
        <v>285</v>
      </c>
      <c r="V870" s="1" t="str">
        <f t="shared" si="357"/>
        <v>Ranchi</v>
      </c>
      <c r="W870" s="1" t="s">
        <v>29</v>
      </c>
      <c r="X870" s="1" t="str">
        <f t="shared" si="358"/>
        <v>Office Supplies</v>
      </c>
      <c r="Y870" s="1" t="s">
        <v>30</v>
      </c>
      <c r="Z870" s="1" t="str">
        <f t="shared" si="359"/>
        <v>Paper</v>
      </c>
      <c r="AA870" s="1" t="s">
        <v>3112</v>
      </c>
      <c r="AB870" s="1" t="s">
        <v>47</v>
      </c>
      <c r="AC870" s="1" t="str">
        <f t="shared" si="360"/>
        <v>Same Day</v>
      </c>
      <c r="AD870" s="1" t="str">
        <f t="shared" si="361"/>
        <v>OK</v>
      </c>
      <c r="AE870" s="1">
        <v>5</v>
      </c>
      <c r="AF870" s="1">
        <v>3234.24</v>
      </c>
      <c r="AG870" s="9">
        <v>0.1</v>
      </c>
      <c r="AH870" s="9">
        <f t="shared" si="362"/>
        <v>0.1</v>
      </c>
      <c r="AI870" s="1" t="str">
        <f t="shared" si="363"/>
        <v>OK</v>
      </c>
      <c r="AJ870" s="1">
        <v>14554.08</v>
      </c>
      <c r="AK870" s="1">
        <v>11166.84</v>
      </c>
      <c r="AL870" s="1">
        <v>3387.24</v>
      </c>
      <c r="AM870" s="13">
        <f t="shared" si="364"/>
        <v>14554.08</v>
      </c>
      <c r="AN870" s="9">
        <f t="shared" si="365"/>
        <v>3387.24</v>
      </c>
      <c r="AO870" s="9">
        <f t="shared" si="374"/>
        <v>0.23273473830018798</v>
      </c>
      <c r="AP870" s="1" t="s">
        <v>33</v>
      </c>
      <c r="AQ870" s="1" t="str">
        <f t="shared" si="366"/>
        <v>Paid</v>
      </c>
      <c r="AR870" s="1" t="str">
        <f t="shared" si="367"/>
        <v>OK</v>
      </c>
      <c r="AS870" s="1" t="s">
        <v>34</v>
      </c>
      <c r="AT870" s="4" t="str">
        <f t="shared" si="368"/>
        <v>Completed</v>
      </c>
      <c r="AU870" s="3" t="str">
        <f t="shared" si="369"/>
        <v>OK</v>
      </c>
      <c r="AV870" s="3" t="str">
        <f t="shared" si="375"/>
        <v>CLEAN</v>
      </c>
      <c r="AW870" t="str">
        <f t="shared" si="376"/>
        <v>MATCH</v>
      </c>
      <c r="AX870" t="str">
        <f t="shared" si="377"/>
        <v>MATCH</v>
      </c>
    </row>
    <row r="871" spans="1:50" ht="15.6">
      <c r="A871" s="1" t="s">
        <v>3121</v>
      </c>
      <c r="B871" s="1">
        <f t="shared" si="351"/>
        <v>1</v>
      </c>
      <c r="C871" s="16">
        <v>45853</v>
      </c>
      <c r="D871" s="16">
        <v>45853</v>
      </c>
      <c r="E871" s="16" t="str">
        <f t="shared" si="370"/>
        <v>Jul</v>
      </c>
      <c r="F871" s="1">
        <f t="shared" si="371"/>
        <v>2025</v>
      </c>
      <c r="G871" t="s">
        <v>701</v>
      </c>
      <c r="H871" s="17">
        <v>45841</v>
      </c>
      <c r="I871" s="21">
        <f t="shared" si="372"/>
        <v>-12</v>
      </c>
      <c r="J871" s="6" t="str">
        <f t="shared" si="373"/>
        <v>INVALID_SHIPPING</v>
      </c>
      <c r="K871" s="1" t="s">
        <v>3122</v>
      </c>
      <c r="L871" s="1" t="s">
        <v>196</v>
      </c>
      <c r="M871" s="1" t="str">
        <f t="shared" si="352"/>
        <v>Diya Patel</v>
      </c>
      <c r="N871" s="1" t="s">
        <v>25</v>
      </c>
      <c r="O871" s="1" t="str">
        <f t="shared" si="353"/>
        <v>Consumer</v>
      </c>
      <c r="P871" s="1" t="s">
        <v>60</v>
      </c>
      <c r="Q871" s="1" t="str">
        <f t="shared" si="354"/>
        <v>South</v>
      </c>
      <c r="R871" s="1" t="str">
        <f t="shared" si="355"/>
        <v>OK</v>
      </c>
      <c r="S871" s="1" t="s">
        <v>309</v>
      </c>
      <c r="T871" s="1" t="str">
        <f t="shared" si="356"/>
        <v>Tamil Nadu</v>
      </c>
      <c r="U871" s="1" t="s">
        <v>310</v>
      </c>
      <c r="V871" s="1" t="str">
        <f t="shared" si="357"/>
        <v>Chennai</v>
      </c>
      <c r="W871" s="1" t="s">
        <v>44</v>
      </c>
      <c r="X871" s="1" t="str">
        <f t="shared" si="358"/>
        <v>Furniture</v>
      </c>
      <c r="Y871" s="1" t="s">
        <v>74</v>
      </c>
      <c r="Z871" s="1" t="str">
        <f t="shared" si="359"/>
        <v>Chairs</v>
      </c>
      <c r="AA871" s="1" t="s">
        <v>3123</v>
      </c>
      <c r="AB871" s="1" t="s">
        <v>47</v>
      </c>
      <c r="AC871" s="1" t="str">
        <f t="shared" si="360"/>
        <v>Same Day</v>
      </c>
      <c r="AD871" s="1" t="str">
        <f t="shared" si="361"/>
        <v>OK</v>
      </c>
      <c r="AE871" s="1">
        <v>1</v>
      </c>
      <c r="AF871" s="1">
        <v>3903.22</v>
      </c>
      <c r="AG871" s="9">
        <v>0.05</v>
      </c>
      <c r="AH871" s="9">
        <f t="shared" si="362"/>
        <v>0.05</v>
      </c>
      <c r="AI871" s="1" t="str">
        <f t="shared" si="363"/>
        <v>OK</v>
      </c>
      <c r="AJ871" s="1">
        <v>3708.06</v>
      </c>
      <c r="AK871" s="1">
        <v>2760.29</v>
      </c>
      <c r="AL871" s="1">
        <v>947.77</v>
      </c>
      <c r="AM871" s="13">
        <f t="shared" si="364"/>
        <v>3708.0589999999997</v>
      </c>
      <c r="AN871" s="9">
        <f t="shared" si="365"/>
        <v>947.76899999999978</v>
      </c>
      <c r="AO871" s="9">
        <f t="shared" si="374"/>
        <v>0.25559706574248142</v>
      </c>
      <c r="AP871" s="1" t="s">
        <v>131</v>
      </c>
      <c r="AQ871" s="1" t="str">
        <f t="shared" si="366"/>
        <v>Pending</v>
      </c>
      <c r="AR871" s="1" t="str">
        <f t="shared" si="367"/>
        <v>OK</v>
      </c>
      <c r="AS871" s="1" t="s">
        <v>76</v>
      </c>
      <c r="AT871" s="4" t="str">
        <f t="shared" si="368"/>
        <v>Cancelled</v>
      </c>
      <c r="AU871" s="3" t="str">
        <f t="shared" si="369"/>
        <v>EXCLUDE_FROM_SALES</v>
      </c>
      <c r="AV871" s="3" t="str">
        <f t="shared" si="375"/>
        <v>INVALID</v>
      </c>
      <c r="AW871" t="str">
        <f t="shared" si="376"/>
        <v>MATCH</v>
      </c>
      <c r="AX871" t="str">
        <f t="shared" si="377"/>
        <v>MATCH</v>
      </c>
    </row>
    <row r="872" spans="1:50" ht="15.6" hidden="1">
      <c r="A872" s="1" t="s">
        <v>3124</v>
      </c>
      <c r="B872" s="1">
        <f t="shared" si="351"/>
        <v>1</v>
      </c>
      <c r="C872" s="16">
        <v>45709</v>
      </c>
      <c r="D872" s="16">
        <v>45709</v>
      </c>
      <c r="E872" s="16" t="str">
        <f t="shared" si="370"/>
        <v>Feb</v>
      </c>
      <c r="F872" s="1">
        <f t="shared" si="371"/>
        <v>2025</v>
      </c>
      <c r="G872" t="s">
        <v>3470</v>
      </c>
      <c r="H872" s="17">
        <v>45815</v>
      </c>
      <c r="I872" s="21">
        <f t="shared" si="372"/>
        <v>106</v>
      </c>
      <c r="J872" s="6" t="str">
        <f t="shared" si="373"/>
        <v>OK</v>
      </c>
      <c r="K872" s="1" t="s">
        <v>3126</v>
      </c>
      <c r="L872" s="1" t="s">
        <v>24</v>
      </c>
      <c r="M872" s="1" t="str">
        <f t="shared" si="352"/>
        <v>Karan Malhotra</v>
      </c>
      <c r="N872" s="1" t="s">
        <v>110</v>
      </c>
      <c r="O872" s="1" t="str">
        <f t="shared" si="353"/>
        <v>Home Office</v>
      </c>
      <c r="P872" s="1" t="s">
        <v>71</v>
      </c>
      <c r="Q872" s="1" t="str">
        <f t="shared" si="354"/>
        <v>West</v>
      </c>
      <c r="R872" s="1" t="str">
        <f t="shared" si="355"/>
        <v>OK</v>
      </c>
      <c r="S872" s="1" t="s">
        <v>218</v>
      </c>
      <c r="T872" s="1" t="str">
        <f t="shared" si="356"/>
        <v>Gujarat</v>
      </c>
      <c r="U872" s="1" t="s">
        <v>219</v>
      </c>
      <c r="V872" s="1" t="str">
        <f t="shared" si="357"/>
        <v>Ahmedabad</v>
      </c>
      <c r="W872" s="1" t="s">
        <v>83</v>
      </c>
      <c r="X872" s="1" t="str">
        <f t="shared" si="358"/>
        <v>Technology</v>
      </c>
      <c r="Y872" s="1" t="s">
        <v>207</v>
      </c>
      <c r="Z872" s="1" t="str">
        <f t="shared" si="359"/>
        <v>Phones</v>
      </c>
      <c r="AA872" s="1" t="s">
        <v>3127</v>
      </c>
      <c r="AB872" s="1"/>
      <c r="AC872" s="1" t="str">
        <f t="shared" si="360"/>
        <v>Unknown</v>
      </c>
      <c r="AD872" s="1" t="str">
        <f t="shared" si="361"/>
        <v>MISSING_SHIP_MODE</v>
      </c>
      <c r="AE872" s="1">
        <v>4</v>
      </c>
      <c r="AF872" s="1">
        <v>2945.07</v>
      </c>
      <c r="AG872" s="9">
        <v>0.2</v>
      </c>
      <c r="AH872" s="9">
        <f t="shared" si="362"/>
        <v>0.2</v>
      </c>
      <c r="AI872" s="1" t="str">
        <f t="shared" si="363"/>
        <v>OK</v>
      </c>
      <c r="AJ872" s="1">
        <v>9424.2199999999993</v>
      </c>
      <c r="AK872" s="1">
        <v>6178.92</v>
      </c>
      <c r="AL872" s="1">
        <v>3245.3</v>
      </c>
      <c r="AM872" s="13">
        <f t="shared" si="364"/>
        <v>9424.2240000000002</v>
      </c>
      <c r="AN872" s="9">
        <f t="shared" si="365"/>
        <v>3245.3040000000001</v>
      </c>
      <c r="AO872" s="9">
        <f t="shared" si="374"/>
        <v>0.3443576892909167</v>
      </c>
      <c r="AP872" s="1" t="s">
        <v>33</v>
      </c>
      <c r="AQ872" s="1" t="str">
        <f t="shared" si="366"/>
        <v>Paid</v>
      </c>
      <c r="AR872" s="1" t="str">
        <f t="shared" si="367"/>
        <v>OK</v>
      </c>
      <c r="AS872" s="1" t="s">
        <v>34</v>
      </c>
      <c r="AT872" s="4" t="str">
        <f t="shared" si="368"/>
        <v>Completed</v>
      </c>
      <c r="AU872" s="3" t="str">
        <f t="shared" si="369"/>
        <v>OK</v>
      </c>
      <c r="AV872" s="3" t="str">
        <f t="shared" si="375"/>
        <v>WARNING</v>
      </c>
      <c r="AW872" t="str">
        <f t="shared" si="376"/>
        <v>MATCH</v>
      </c>
      <c r="AX872" t="str">
        <f t="shared" si="377"/>
        <v>MATCH</v>
      </c>
    </row>
    <row r="873" spans="1:50" ht="15.6">
      <c r="A873" s="1" t="s">
        <v>3128</v>
      </c>
      <c r="B873" s="1">
        <f t="shared" si="351"/>
        <v>1</v>
      </c>
      <c r="C873" s="16">
        <v>45876</v>
      </c>
      <c r="D873" s="16">
        <v>45876</v>
      </c>
      <c r="E873" s="16" t="str">
        <f t="shared" si="370"/>
        <v>Aug</v>
      </c>
      <c r="F873" s="1">
        <f t="shared" si="371"/>
        <v>2025</v>
      </c>
      <c r="G873" t="s">
        <v>2483</v>
      </c>
      <c r="H873" s="17">
        <v>45344</v>
      </c>
      <c r="I873" s="21">
        <f t="shared" si="372"/>
        <v>-532</v>
      </c>
      <c r="J873" s="6" t="str">
        <f t="shared" si="373"/>
        <v>INVALID_SHIPPING</v>
      </c>
      <c r="K873" s="1" t="s">
        <v>3130</v>
      </c>
      <c r="L873" s="1" t="s">
        <v>334</v>
      </c>
      <c r="M873" s="1" t="str">
        <f t="shared" si="352"/>
        <v>Kabir Singh</v>
      </c>
      <c r="N873" s="1" t="s">
        <v>25</v>
      </c>
      <c r="O873" s="1" t="str">
        <f t="shared" si="353"/>
        <v>Consumer</v>
      </c>
      <c r="P873" s="1" t="s">
        <v>71</v>
      </c>
      <c r="Q873" s="1" t="str">
        <f t="shared" si="354"/>
        <v>West</v>
      </c>
      <c r="R873" s="1" t="str">
        <f t="shared" si="355"/>
        <v>OK</v>
      </c>
      <c r="S873" s="1" t="s">
        <v>27</v>
      </c>
      <c r="T873" s="1" t="str">
        <f t="shared" si="356"/>
        <v>Rajasthan</v>
      </c>
      <c r="U873" s="1" t="s">
        <v>129</v>
      </c>
      <c r="V873" s="1" t="str">
        <f t="shared" si="357"/>
        <v>Udaipur</v>
      </c>
      <c r="W873" s="1" t="s">
        <v>83</v>
      </c>
      <c r="X873" s="1" t="str">
        <f t="shared" si="358"/>
        <v>Technology</v>
      </c>
      <c r="Y873" s="1" t="s">
        <v>347</v>
      </c>
      <c r="Z873" s="1" t="str">
        <f t="shared" si="359"/>
        <v>Machines</v>
      </c>
      <c r="AA873" s="1" t="s">
        <v>3131</v>
      </c>
      <c r="AB873" s="1"/>
      <c r="AC873" s="1" t="str">
        <f t="shared" si="360"/>
        <v>Unknown</v>
      </c>
      <c r="AD873" s="1" t="str">
        <f t="shared" si="361"/>
        <v>MISSING_SHIP_MODE</v>
      </c>
      <c r="AE873" s="1">
        <v>9</v>
      </c>
      <c r="AF873" s="1">
        <v>1076.75</v>
      </c>
      <c r="AG873" s="9">
        <v>0.2</v>
      </c>
      <c r="AH873" s="9">
        <f t="shared" si="362"/>
        <v>0.2</v>
      </c>
      <c r="AI873" s="1" t="str">
        <f t="shared" si="363"/>
        <v>OK</v>
      </c>
      <c r="AJ873" s="1">
        <v>7752.6</v>
      </c>
      <c r="AK873" s="1">
        <v>4689.3</v>
      </c>
      <c r="AL873" s="1">
        <v>3063.3</v>
      </c>
      <c r="AM873" s="13">
        <f t="shared" si="364"/>
        <v>7752.6</v>
      </c>
      <c r="AN873" s="9">
        <f t="shared" si="365"/>
        <v>3063.3</v>
      </c>
      <c r="AO873" s="9">
        <f t="shared" si="374"/>
        <v>0.39513195573098059</v>
      </c>
      <c r="AP873" s="1" t="s">
        <v>33</v>
      </c>
      <c r="AQ873" s="1" t="str">
        <f t="shared" si="366"/>
        <v>Paid</v>
      </c>
      <c r="AR873" s="1" t="str">
        <f t="shared" si="367"/>
        <v>OK</v>
      </c>
      <c r="AS873" s="1" t="s">
        <v>34</v>
      </c>
      <c r="AT873" s="4" t="str">
        <f t="shared" si="368"/>
        <v>Completed</v>
      </c>
      <c r="AU873" s="3" t="str">
        <f t="shared" si="369"/>
        <v>OK</v>
      </c>
      <c r="AV873" s="3" t="str">
        <f t="shared" si="375"/>
        <v>INVALID</v>
      </c>
      <c r="AW873" t="str">
        <f t="shared" si="376"/>
        <v>MATCH</v>
      </c>
      <c r="AX873" t="str">
        <f t="shared" si="377"/>
        <v>MATCH</v>
      </c>
    </row>
    <row r="874" spans="1:50" ht="15.6">
      <c r="A874" s="1" t="s">
        <v>3136</v>
      </c>
      <c r="B874" s="1">
        <f t="shared" si="351"/>
        <v>1</v>
      </c>
      <c r="C874" s="16">
        <v>45816</v>
      </c>
      <c r="D874" s="16">
        <v>45816</v>
      </c>
      <c r="E874" s="16" t="str">
        <f t="shared" si="370"/>
        <v>Jun</v>
      </c>
      <c r="F874" s="1">
        <f t="shared" si="371"/>
        <v>2025</v>
      </c>
      <c r="G874" t="s">
        <v>3476</v>
      </c>
      <c r="H874" s="17">
        <v>45598</v>
      </c>
      <c r="I874" s="21">
        <f t="shared" si="372"/>
        <v>-218</v>
      </c>
      <c r="J874" s="6" t="str">
        <f t="shared" si="373"/>
        <v>INVALID_SHIPPING</v>
      </c>
      <c r="K874" s="1" t="s">
        <v>3137</v>
      </c>
      <c r="L874" s="1" t="s">
        <v>103</v>
      </c>
      <c r="M874" s="1" t="str">
        <f t="shared" si="352"/>
        <v>Aditi Sen</v>
      </c>
      <c r="N874" s="1" t="s">
        <v>40</v>
      </c>
      <c r="O874" s="1" t="str">
        <f t="shared" si="353"/>
        <v>Small Business</v>
      </c>
      <c r="P874" s="1" t="s">
        <v>26</v>
      </c>
      <c r="Q874" s="1" t="str">
        <f t="shared" si="354"/>
        <v>North</v>
      </c>
      <c r="R874" s="1" t="str">
        <f t="shared" si="355"/>
        <v>OK</v>
      </c>
      <c r="S874" s="1" t="s">
        <v>27</v>
      </c>
      <c r="T874" s="1" t="str">
        <f t="shared" si="356"/>
        <v>Rajasthan</v>
      </c>
      <c r="U874" s="1" t="s">
        <v>28</v>
      </c>
      <c r="V874" s="1" t="str">
        <f t="shared" si="357"/>
        <v>Jaipur</v>
      </c>
      <c r="W874" s="1" t="s">
        <v>83</v>
      </c>
      <c r="X874" s="1" t="str">
        <f t="shared" si="358"/>
        <v>Technology</v>
      </c>
      <c r="Y874" s="1" t="s">
        <v>91</v>
      </c>
      <c r="Z874" s="1" t="str">
        <f t="shared" si="359"/>
        <v>Copiers</v>
      </c>
      <c r="AA874" s="1" t="s">
        <v>3138</v>
      </c>
      <c r="AB874" s="1" t="s">
        <v>32</v>
      </c>
      <c r="AC874" s="1" t="str">
        <f t="shared" si="360"/>
        <v>Second Class</v>
      </c>
      <c r="AD874" s="1" t="str">
        <f t="shared" si="361"/>
        <v>OK</v>
      </c>
      <c r="AE874" s="1">
        <v>7</v>
      </c>
      <c r="AF874" s="1">
        <v>3857.13</v>
      </c>
      <c r="AG874" s="9">
        <v>0</v>
      </c>
      <c r="AH874" s="9">
        <f t="shared" si="362"/>
        <v>0</v>
      </c>
      <c r="AI874" s="1" t="str">
        <f t="shared" si="363"/>
        <v>OK</v>
      </c>
      <c r="AJ874" s="1">
        <v>26999.91</v>
      </c>
      <c r="AK874" s="1">
        <v>17815.98</v>
      </c>
      <c r="AL874" s="1">
        <v>9183.93</v>
      </c>
      <c r="AM874" s="13">
        <f t="shared" si="364"/>
        <v>26999.91</v>
      </c>
      <c r="AN874" s="9">
        <f t="shared" si="365"/>
        <v>9183.93</v>
      </c>
      <c r="AO874" s="9">
        <f t="shared" si="374"/>
        <v>0.34014668937785347</v>
      </c>
      <c r="AP874" s="1" t="s">
        <v>33</v>
      </c>
      <c r="AQ874" s="1" t="str">
        <f t="shared" si="366"/>
        <v>Paid</v>
      </c>
      <c r="AR874" s="1" t="str">
        <f t="shared" si="367"/>
        <v>OK</v>
      </c>
      <c r="AS874" s="1" t="s">
        <v>34</v>
      </c>
      <c r="AT874" s="4" t="str">
        <f t="shared" si="368"/>
        <v>Completed</v>
      </c>
      <c r="AU874" s="3" t="str">
        <f t="shared" si="369"/>
        <v>OK</v>
      </c>
      <c r="AV874" s="3" t="str">
        <f t="shared" si="375"/>
        <v>INVALID</v>
      </c>
      <c r="AW874" t="str">
        <f t="shared" si="376"/>
        <v>MATCH</v>
      </c>
      <c r="AX874" t="str">
        <f t="shared" si="377"/>
        <v>MATCH</v>
      </c>
    </row>
    <row r="875" spans="1:50" ht="15.6" hidden="1">
      <c r="A875" s="1" t="s">
        <v>3156</v>
      </c>
      <c r="B875" s="1">
        <f t="shared" si="351"/>
        <v>1</v>
      </c>
      <c r="C875" s="16">
        <v>45730</v>
      </c>
      <c r="D875" s="16">
        <v>45730</v>
      </c>
      <c r="E875" s="16" t="str">
        <f t="shared" si="370"/>
        <v>Mar</v>
      </c>
      <c r="F875" s="1">
        <f t="shared" si="371"/>
        <v>2025</v>
      </c>
      <c r="G875" t="s">
        <v>3479</v>
      </c>
      <c r="H875" s="17">
        <v>45871</v>
      </c>
      <c r="I875" s="21">
        <f t="shared" si="372"/>
        <v>141</v>
      </c>
      <c r="J875" s="6" t="str">
        <f t="shared" si="373"/>
        <v>OK</v>
      </c>
      <c r="K875" s="1" t="s">
        <v>3158</v>
      </c>
      <c r="L875" s="1" t="s">
        <v>39</v>
      </c>
      <c r="M875" s="1" t="str">
        <f t="shared" si="352"/>
        <v>Mira Das</v>
      </c>
      <c r="N875" s="1" t="s">
        <v>104</v>
      </c>
      <c r="O875" s="1" t="str">
        <f t="shared" si="353"/>
        <v>Corporate</v>
      </c>
      <c r="P875" s="1" t="s">
        <v>41</v>
      </c>
      <c r="Q875" s="1" t="str">
        <f t="shared" si="354"/>
        <v>East</v>
      </c>
      <c r="R875" s="1" t="str">
        <f t="shared" si="355"/>
        <v>OK</v>
      </c>
      <c r="S875" s="1" t="s">
        <v>116</v>
      </c>
      <c r="T875" s="1" t="str">
        <f t="shared" si="356"/>
        <v>West Bengal</v>
      </c>
      <c r="U875" s="1" t="s">
        <v>117</v>
      </c>
      <c r="V875" s="1" t="str">
        <f t="shared" si="357"/>
        <v>Kolkata</v>
      </c>
      <c r="W875" s="1" t="s">
        <v>83</v>
      </c>
      <c r="X875" s="1" t="str">
        <f t="shared" si="358"/>
        <v>Technology</v>
      </c>
      <c r="Y875" s="1" t="s">
        <v>91</v>
      </c>
      <c r="Z875" s="1" t="str">
        <f t="shared" si="359"/>
        <v>Copiers</v>
      </c>
      <c r="AA875" s="1" t="s">
        <v>3159</v>
      </c>
      <c r="AB875" s="1" t="s">
        <v>65</v>
      </c>
      <c r="AC875" s="1" t="str">
        <f t="shared" si="360"/>
        <v>Standard Class</v>
      </c>
      <c r="AD875" s="1" t="str">
        <f t="shared" si="361"/>
        <v>OK</v>
      </c>
      <c r="AE875" s="1">
        <v>2</v>
      </c>
      <c r="AF875" s="1">
        <v>669.63</v>
      </c>
      <c r="AG875" s="9">
        <v>0.15</v>
      </c>
      <c r="AH875" s="9">
        <f t="shared" si="362"/>
        <v>0.15</v>
      </c>
      <c r="AI875" s="1" t="str">
        <f t="shared" si="363"/>
        <v>OK</v>
      </c>
      <c r="AJ875" s="1">
        <v>1138.3699999999999</v>
      </c>
      <c r="AK875" s="1">
        <v>797.34</v>
      </c>
      <c r="AL875" s="1">
        <v>341.03</v>
      </c>
      <c r="AM875" s="13">
        <f t="shared" si="364"/>
        <v>1138.3709999999999</v>
      </c>
      <c r="AN875" s="9">
        <f t="shared" si="365"/>
        <v>341.03099999999984</v>
      </c>
      <c r="AO875" s="9">
        <f t="shared" si="374"/>
        <v>0.29957808131092578</v>
      </c>
      <c r="AP875" s="1" t="s">
        <v>33</v>
      </c>
      <c r="AQ875" s="1" t="str">
        <f t="shared" si="366"/>
        <v>Paid</v>
      </c>
      <c r="AR875" s="1" t="str">
        <f t="shared" si="367"/>
        <v>OK</v>
      </c>
      <c r="AS875" s="1" t="s">
        <v>34</v>
      </c>
      <c r="AT875" s="4" t="str">
        <f t="shared" si="368"/>
        <v>Completed</v>
      </c>
      <c r="AU875" s="3" t="str">
        <f t="shared" si="369"/>
        <v>OK</v>
      </c>
      <c r="AV875" s="3" t="str">
        <f t="shared" si="375"/>
        <v>CLEAN</v>
      </c>
      <c r="AW875" t="str">
        <f t="shared" si="376"/>
        <v>MATCH</v>
      </c>
      <c r="AX875" t="str">
        <f t="shared" si="377"/>
        <v>MATCH</v>
      </c>
    </row>
    <row r="876" spans="1:50" ht="15.6" hidden="1">
      <c r="A876" s="1" t="s">
        <v>3164</v>
      </c>
      <c r="B876" s="1">
        <f t="shared" si="351"/>
        <v>1</v>
      </c>
      <c r="C876" s="16">
        <v>45757</v>
      </c>
      <c r="D876" s="16">
        <v>45757</v>
      </c>
      <c r="E876" s="16" t="str">
        <f t="shared" si="370"/>
        <v>Apr</v>
      </c>
      <c r="F876" s="1">
        <f t="shared" si="371"/>
        <v>2025</v>
      </c>
      <c r="G876" t="s">
        <v>1331</v>
      </c>
      <c r="H876" s="17">
        <v>45854</v>
      </c>
      <c r="I876" s="21">
        <f t="shared" si="372"/>
        <v>97</v>
      </c>
      <c r="J876" s="6" t="str">
        <f t="shared" si="373"/>
        <v>OK</v>
      </c>
      <c r="K876" s="1" t="s">
        <v>3165</v>
      </c>
      <c r="L876" s="1" t="s">
        <v>136</v>
      </c>
      <c r="M876" s="1" t="str">
        <f t="shared" si="352"/>
        <v>Priya Menon</v>
      </c>
      <c r="N876" s="1" t="s">
        <v>104</v>
      </c>
      <c r="O876" s="1" t="str">
        <f t="shared" si="353"/>
        <v>Corporate</v>
      </c>
      <c r="P876" s="1" t="s">
        <v>3166</v>
      </c>
      <c r="Q876" s="1" t="str">
        <f t="shared" si="354"/>
        <v>North</v>
      </c>
      <c r="R876" s="1" t="str">
        <f t="shared" si="355"/>
        <v>OK</v>
      </c>
      <c r="S876" s="1" t="s">
        <v>146</v>
      </c>
      <c r="T876" s="1" t="str">
        <f t="shared" si="356"/>
        <v>Punjab</v>
      </c>
      <c r="U876" s="1" t="s">
        <v>147</v>
      </c>
      <c r="V876" s="1" t="str">
        <f t="shared" si="357"/>
        <v>Ludhiana</v>
      </c>
      <c r="W876" s="1" t="s">
        <v>83</v>
      </c>
      <c r="X876" s="1" t="str">
        <f t="shared" si="358"/>
        <v>Technology</v>
      </c>
      <c r="Y876" s="1" t="s">
        <v>91</v>
      </c>
      <c r="Z876" s="1" t="str">
        <f t="shared" si="359"/>
        <v>Copiers</v>
      </c>
      <c r="AA876" s="1" t="s">
        <v>3167</v>
      </c>
      <c r="AB876" s="1" t="s">
        <v>55</v>
      </c>
      <c r="AC876" s="1" t="str">
        <f t="shared" si="360"/>
        <v>First Class</v>
      </c>
      <c r="AD876" s="1" t="str">
        <f t="shared" si="361"/>
        <v>OK</v>
      </c>
      <c r="AE876" s="1">
        <v>4</v>
      </c>
      <c r="AF876" s="1">
        <v>418.18</v>
      </c>
      <c r="AG876" s="9">
        <v>0.05</v>
      </c>
      <c r="AH876" s="9">
        <f t="shared" si="362"/>
        <v>0.05</v>
      </c>
      <c r="AI876" s="1" t="str">
        <f t="shared" si="363"/>
        <v>OK</v>
      </c>
      <c r="AJ876" s="1">
        <v>1589.08</v>
      </c>
      <c r="AK876" s="1">
        <v>1084.6600000000001</v>
      </c>
      <c r="AL876" s="1">
        <v>504.42</v>
      </c>
      <c r="AM876" s="13">
        <f t="shared" si="364"/>
        <v>1589.0840000000001</v>
      </c>
      <c r="AN876" s="9">
        <f t="shared" si="365"/>
        <v>504.42399999999998</v>
      </c>
      <c r="AO876" s="9">
        <f t="shared" si="374"/>
        <v>0.31743067075120002</v>
      </c>
      <c r="AP876" s="1" t="s">
        <v>33</v>
      </c>
      <c r="AQ876" s="1" t="str">
        <f t="shared" si="366"/>
        <v>Paid</v>
      </c>
      <c r="AR876" s="1" t="str">
        <f t="shared" si="367"/>
        <v>OK</v>
      </c>
      <c r="AS876" s="1" t="s">
        <v>34</v>
      </c>
      <c r="AT876" s="4" t="str">
        <f t="shared" si="368"/>
        <v>Completed</v>
      </c>
      <c r="AU876" s="3" t="str">
        <f t="shared" si="369"/>
        <v>OK</v>
      </c>
      <c r="AV876" s="3" t="str">
        <f t="shared" si="375"/>
        <v>CLEAN</v>
      </c>
      <c r="AW876" t="str">
        <f t="shared" si="376"/>
        <v>MATCH</v>
      </c>
      <c r="AX876" t="str">
        <f t="shared" si="377"/>
        <v>MATCH</v>
      </c>
    </row>
    <row r="877" spans="1:50" ht="15.6">
      <c r="A877" s="1" t="s">
        <v>3171</v>
      </c>
      <c r="B877" s="1">
        <f t="shared" si="351"/>
        <v>1</v>
      </c>
      <c r="C877" s="16">
        <v>45815</v>
      </c>
      <c r="D877" s="16">
        <v>45815</v>
      </c>
      <c r="E877" s="16" t="str">
        <f t="shared" si="370"/>
        <v>Jun</v>
      </c>
      <c r="F877" s="1">
        <f t="shared" si="371"/>
        <v>2025</v>
      </c>
      <c r="G877" t="s">
        <v>3486</v>
      </c>
      <c r="H877" s="17">
        <v>45515</v>
      </c>
      <c r="I877" s="21">
        <f t="shared" si="372"/>
        <v>-300</v>
      </c>
      <c r="J877" s="6" t="str">
        <f t="shared" si="373"/>
        <v>INVALID_SHIPPING</v>
      </c>
      <c r="K877" s="1" t="s">
        <v>3172</v>
      </c>
      <c r="L877" s="1" t="s">
        <v>70</v>
      </c>
      <c r="M877" s="1" t="str">
        <f t="shared" si="352"/>
        <v>Ananya Rao</v>
      </c>
      <c r="N877" s="1" t="s">
        <v>104</v>
      </c>
      <c r="O877" s="1" t="str">
        <f t="shared" si="353"/>
        <v>Corporate</v>
      </c>
      <c r="P877" s="1" t="s">
        <v>26</v>
      </c>
      <c r="Q877" s="1" t="str">
        <f t="shared" si="354"/>
        <v>North</v>
      </c>
      <c r="R877" s="1" t="str">
        <f t="shared" si="355"/>
        <v>OK</v>
      </c>
      <c r="S877" s="1" t="s">
        <v>27</v>
      </c>
      <c r="T877" s="1" t="str">
        <f t="shared" si="356"/>
        <v>Rajasthan</v>
      </c>
      <c r="U877" s="1" t="s">
        <v>28</v>
      </c>
      <c r="V877" s="1" t="str">
        <f t="shared" si="357"/>
        <v>Jaipur</v>
      </c>
      <c r="W877" s="1" t="s">
        <v>44</v>
      </c>
      <c r="X877" s="1" t="str">
        <f t="shared" si="358"/>
        <v>Furniture</v>
      </c>
      <c r="Y877" s="1" t="s">
        <v>63</v>
      </c>
      <c r="Z877" s="1" t="str">
        <f t="shared" si="359"/>
        <v>Furnishings</v>
      </c>
      <c r="AA877" s="1" t="s">
        <v>3173</v>
      </c>
      <c r="AB877" s="1"/>
      <c r="AC877" s="1" t="str">
        <f t="shared" si="360"/>
        <v>Unknown</v>
      </c>
      <c r="AD877" s="1" t="str">
        <f t="shared" si="361"/>
        <v>MISSING_SHIP_MODE</v>
      </c>
      <c r="AE877" s="1">
        <v>4</v>
      </c>
      <c r="AF877" s="1">
        <v>715.45</v>
      </c>
      <c r="AG877" s="9">
        <v>0.05</v>
      </c>
      <c r="AH877" s="9">
        <f t="shared" si="362"/>
        <v>0.05</v>
      </c>
      <c r="AI877" s="1" t="str">
        <f t="shared" si="363"/>
        <v>OK</v>
      </c>
      <c r="AJ877" s="1">
        <v>2718.71</v>
      </c>
      <c r="AK877" s="1">
        <v>2065.0500000000002</v>
      </c>
      <c r="AL877" s="1">
        <v>653.66</v>
      </c>
      <c r="AM877" s="13">
        <f t="shared" si="364"/>
        <v>2718.71</v>
      </c>
      <c r="AN877" s="9">
        <f t="shared" si="365"/>
        <v>653.65999999999985</v>
      </c>
      <c r="AO877" s="9">
        <f t="shared" si="374"/>
        <v>0.24043020403058799</v>
      </c>
      <c r="AP877" s="1" t="s">
        <v>119</v>
      </c>
      <c r="AQ877" s="1" t="str">
        <f t="shared" si="366"/>
        <v>Refunded</v>
      </c>
      <c r="AR877" s="1" t="str">
        <f t="shared" si="367"/>
        <v>REFUNDED_PAYMENT</v>
      </c>
      <c r="AS877" s="1" t="s">
        <v>120</v>
      </c>
      <c r="AT877" s="4" t="str">
        <f t="shared" si="368"/>
        <v>Returned</v>
      </c>
      <c r="AU877" s="3" t="str">
        <f t="shared" si="369"/>
        <v>RETURNED_ORDER</v>
      </c>
      <c r="AV877" s="3" t="str">
        <f t="shared" si="375"/>
        <v>INVALID</v>
      </c>
      <c r="AW877" t="str">
        <f t="shared" si="376"/>
        <v>MATCH</v>
      </c>
      <c r="AX877" t="str">
        <f t="shared" si="377"/>
        <v>MATCH</v>
      </c>
    </row>
    <row r="878" spans="1:50" ht="15.6">
      <c r="A878" s="1" t="s">
        <v>3181</v>
      </c>
      <c r="B878" s="1">
        <f t="shared" si="351"/>
        <v>1</v>
      </c>
      <c r="C878" s="16">
        <v>45841</v>
      </c>
      <c r="D878" s="16">
        <v>45841</v>
      </c>
      <c r="E878" s="16" t="str">
        <f t="shared" si="370"/>
        <v>Jul</v>
      </c>
      <c r="F878" s="1">
        <f t="shared" si="371"/>
        <v>2025</v>
      </c>
      <c r="G878" t="s">
        <v>3490</v>
      </c>
      <c r="H878" s="17">
        <v>45616</v>
      </c>
      <c r="I878" s="21">
        <f t="shared" si="372"/>
        <v>-225</v>
      </c>
      <c r="J878" s="6" t="str">
        <f t="shared" si="373"/>
        <v>INVALID_SHIPPING</v>
      </c>
      <c r="K878" s="1" t="s">
        <v>3182</v>
      </c>
      <c r="L878" s="1" t="s">
        <v>136</v>
      </c>
      <c r="M878" s="1" t="str">
        <f t="shared" si="352"/>
        <v>Priya Menon</v>
      </c>
      <c r="N878" s="1" t="s">
        <v>110</v>
      </c>
      <c r="O878" s="1" t="str">
        <f t="shared" si="353"/>
        <v>Home Office</v>
      </c>
      <c r="P878" s="1"/>
      <c r="Q878" s="1" t="str">
        <f t="shared" si="354"/>
        <v>Unknown</v>
      </c>
      <c r="R878" s="1" t="str">
        <f t="shared" si="355"/>
        <v>MISSING_REGION</v>
      </c>
      <c r="S878" s="1" t="s">
        <v>27</v>
      </c>
      <c r="T878" s="1" t="str">
        <f t="shared" si="356"/>
        <v>Rajasthan</v>
      </c>
      <c r="U878" s="1" t="s">
        <v>129</v>
      </c>
      <c r="V878" s="1" t="str">
        <f t="shared" si="357"/>
        <v>Udaipur</v>
      </c>
      <c r="W878" s="1" t="s">
        <v>83</v>
      </c>
      <c r="X878" s="1" t="str">
        <f t="shared" si="358"/>
        <v>Technology</v>
      </c>
      <c r="Y878" s="1" t="s">
        <v>91</v>
      </c>
      <c r="Z878" s="1" t="str">
        <f t="shared" si="359"/>
        <v>Copiers</v>
      </c>
      <c r="AA878" s="1" t="s">
        <v>3183</v>
      </c>
      <c r="AB878" s="1" t="s">
        <v>47</v>
      </c>
      <c r="AC878" s="1" t="str">
        <f t="shared" si="360"/>
        <v>Same Day</v>
      </c>
      <c r="AD878" s="1" t="str">
        <f t="shared" si="361"/>
        <v>OK</v>
      </c>
      <c r="AE878" s="1">
        <v>4</v>
      </c>
      <c r="AF878" s="1">
        <v>3537.48</v>
      </c>
      <c r="AG878" s="9">
        <v>0</v>
      </c>
      <c r="AH878" s="9">
        <f t="shared" si="362"/>
        <v>0</v>
      </c>
      <c r="AI878" s="1" t="str">
        <f t="shared" si="363"/>
        <v>OK</v>
      </c>
      <c r="AJ878" s="1">
        <v>14149.92</v>
      </c>
      <c r="AK878" s="1">
        <v>9466.51</v>
      </c>
      <c r="AL878" s="1">
        <v>4683.41</v>
      </c>
      <c r="AM878" s="13">
        <f t="shared" si="364"/>
        <v>14149.92</v>
      </c>
      <c r="AN878" s="9">
        <f t="shared" si="365"/>
        <v>4683.41</v>
      </c>
      <c r="AO878" s="9">
        <f t="shared" si="374"/>
        <v>0.33098491016203624</v>
      </c>
      <c r="AP878" s="1" t="s">
        <v>33</v>
      </c>
      <c r="AQ878" s="1" t="str">
        <f t="shared" si="366"/>
        <v>Paid</v>
      </c>
      <c r="AR878" s="1" t="str">
        <f t="shared" si="367"/>
        <v>OK</v>
      </c>
      <c r="AS878" s="1" t="s">
        <v>34</v>
      </c>
      <c r="AT878" s="4" t="str">
        <f t="shared" si="368"/>
        <v>Completed</v>
      </c>
      <c r="AU878" s="3" t="str">
        <f t="shared" si="369"/>
        <v>OK</v>
      </c>
      <c r="AV878" s="3" t="str">
        <f t="shared" si="375"/>
        <v>INVALID</v>
      </c>
      <c r="AW878" t="str">
        <f t="shared" si="376"/>
        <v>MATCH</v>
      </c>
      <c r="AX878" t="str">
        <f t="shared" si="377"/>
        <v>MATCH</v>
      </c>
    </row>
    <row r="879" spans="1:50" ht="15.6" hidden="1">
      <c r="A879" s="1" t="s">
        <v>3192</v>
      </c>
      <c r="B879" s="1">
        <f t="shared" si="351"/>
        <v>1</v>
      </c>
      <c r="C879" s="16">
        <v>45753</v>
      </c>
      <c r="D879" s="16">
        <v>45753</v>
      </c>
      <c r="E879" s="16" t="str">
        <f t="shared" si="370"/>
        <v>Apr</v>
      </c>
      <c r="F879" s="1">
        <f t="shared" si="371"/>
        <v>2025</v>
      </c>
      <c r="G879" t="s">
        <v>2428</v>
      </c>
      <c r="H879" s="17">
        <v>45903</v>
      </c>
      <c r="I879" s="21">
        <f t="shared" si="372"/>
        <v>150</v>
      </c>
      <c r="J879" s="6" t="str">
        <f t="shared" si="373"/>
        <v>OK</v>
      </c>
      <c r="K879" s="1" t="s">
        <v>3194</v>
      </c>
      <c r="L879" s="1" t="s">
        <v>59</v>
      </c>
      <c r="M879" s="1" t="str">
        <f t="shared" si="352"/>
        <v>Arjun Bose</v>
      </c>
      <c r="N879" s="1" t="s">
        <v>40</v>
      </c>
      <c r="O879" s="1" t="str">
        <f t="shared" si="353"/>
        <v>Small Business</v>
      </c>
      <c r="P879" s="1" t="s">
        <v>41</v>
      </c>
      <c r="Q879" s="1" t="str">
        <f t="shared" si="354"/>
        <v>East</v>
      </c>
      <c r="R879" s="1" t="str">
        <f t="shared" si="355"/>
        <v>OK</v>
      </c>
      <c r="S879" s="1" t="s">
        <v>201</v>
      </c>
      <c r="T879" s="1" t="str">
        <f t="shared" si="356"/>
        <v>Assam</v>
      </c>
      <c r="U879" s="1" t="s">
        <v>202</v>
      </c>
      <c r="V879" s="1" t="str">
        <f t="shared" si="357"/>
        <v>Guwahati</v>
      </c>
      <c r="W879" s="1" t="s">
        <v>44</v>
      </c>
      <c r="X879" s="1" t="str">
        <f t="shared" si="358"/>
        <v>Furniture</v>
      </c>
      <c r="Y879" s="1" t="s">
        <v>63</v>
      </c>
      <c r="Z879" s="1" t="str">
        <f t="shared" si="359"/>
        <v>Furnishings</v>
      </c>
      <c r="AA879" s="1" t="s">
        <v>3195</v>
      </c>
      <c r="AB879" s="1" t="s">
        <v>32</v>
      </c>
      <c r="AC879" s="1" t="str">
        <f t="shared" si="360"/>
        <v>Second Class</v>
      </c>
      <c r="AD879" s="1" t="str">
        <f t="shared" si="361"/>
        <v>OK</v>
      </c>
      <c r="AE879" s="1">
        <v>1</v>
      </c>
      <c r="AF879" s="1">
        <v>3501.12</v>
      </c>
      <c r="AG879" s="9">
        <v>0.2</v>
      </c>
      <c r="AH879" s="9">
        <f t="shared" si="362"/>
        <v>0.2</v>
      </c>
      <c r="AI879" s="1" t="str">
        <f t="shared" si="363"/>
        <v>OK</v>
      </c>
      <c r="AJ879" s="1">
        <v>2800.9</v>
      </c>
      <c r="AK879" s="1">
        <v>1735.98</v>
      </c>
      <c r="AL879" s="1">
        <v>1064.92</v>
      </c>
      <c r="AM879" s="13">
        <f t="shared" si="364"/>
        <v>2800.8960000000002</v>
      </c>
      <c r="AN879" s="9">
        <f t="shared" si="365"/>
        <v>1064.9160000000002</v>
      </c>
      <c r="AO879" s="9">
        <f t="shared" si="374"/>
        <v>0.38020547710446945</v>
      </c>
      <c r="AP879" s="1" t="s">
        <v>33</v>
      </c>
      <c r="AQ879" s="1" t="str">
        <f t="shared" si="366"/>
        <v>Paid</v>
      </c>
      <c r="AR879" s="1" t="str">
        <f t="shared" si="367"/>
        <v>OK</v>
      </c>
      <c r="AS879" s="1" t="s">
        <v>120</v>
      </c>
      <c r="AT879" s="4" t="str">
        <f t="shared" si="368"/>
        <v>Returned</v>
      </c>
      <c r="AU879" s="3" t="str">
        <f t="shared" si="369"/>
        <v>RETURNED_ORDER</v>
      </c>
      <c r="AV879" s="3" t="str">
        <f t="shared" si="375"/>
        <v>CLEAN</v>
      </c>
      <c r="AW879" t="str">
        <f t="shared" si="376"/>
        <v>MATCH</v>
      </c>
      <c r="AX879" t="str">
        <f t="shared" si="377"/>
        <v>MATCH</v>
      </c>
    </row>
    <row r="880" spans="1:50" ht="15.6">
      <c r="A880" s="1" t="s">
        <v>3200</v>
      </c>
      <c r="B880" s="1">
        <f t="shared" si="351"/>
        <v>1</v>
      </c>
      <c r="C880" s="16">
        <v>45830</v>
      </c>
      <c r="D880" s="16">
        <v>45830</v>
      </c>
      <c r="E880" s="16" t="str">
        <f t="shared" si="370"/>
        <v>Jun</v>
      </c>
      <c r="F880" s="1">
        <f t="shared" si="371"/>
        <v>2025</v>
      </c>
      <c r="G880" t="s">
        <v>1793</v>
      </c>
      <c r="H880" s="17">
        <v>45313</v>
      </c>
      <c r="I880" s="21">
        <f t="shared" si="372"/>
        <v>-517</v>
      </c>
      <c r="J880" s="6" t="str">
        <f t="shared" si="373"/>
        <v>INVALID_SHIPPING</v>
      </c>
      <c r="K880" s="1" t="s">
        <v>3201</v>
      </c>
      <c r="L880" s="1" t="s">
        <v>158</v>
      </c>
      <c r="M880" s="1" t="str">
        <f t="shared" si="352"/>
        <v>Sneha Kapoor</v>
      </c>
      <c r="N880" s="1" t="s">
        <v>104</v>
      </c>
      <c r="O880" s="1" t="str">
        <f t="shared" si="353"/>
        <v>Corporate</v>
      </c>
      <c r="P880" s="1" t="s">
        <v>41</v>
      </c>
      <c r="Q880" s="1" t="str">
        <f t="shared" si="354"/>
        <v>East</v>
      </c>
      <c r="R880" s="1" t="str">
        <f t="shared" si="355"/>
        <v>OK</v>
      </c>
      <c r="S880" s="1" t="s">
        <v>201</v>
      </c>
      <c r="T880" s="1" t="str">
        <f t="shared" si="356"/>
        <v>Assam</v>
      </c>
      <c r="U880" s="1" t="s">
        <v>202</v>
      </c>
      <c r="V880" s="1" t="str">
        <f t="shared" si="357"/>
        <v>Guwahati</v>
      </c>
      <c r="W880" s="1" t="s">
        <v>29</v>
      </c>
      <c r="X880" s="1" t="str">
        <f t="shared" si="358"/>
        <v>Office Supplies</v>
      </c>
      <c r="Y880" s="1" t="s">
        <v>30</v>
      </c>
      <c r="Z880" s="1" t="str">
        <f t="shared" si="359"/>
        <v>Paper</v>
      </c>
      <c r="AA880" s="1" t="s">
        <v>3202</v>
      </c>
      <c r="AB880" s="1" t="s">
        <v>65</v>
      </c>
      <c r="AC880" s="1" t="str">
        <f t="shared" si="360"/>
        <v>Standard Class</v>
      </c>
      <c r="AD880" s="1" t="str">
        <f t="shared" si="361"/>
        <v>OK</v>
      </c>
      <c r="AE880" s="1">
        <v>9</v>
      </c>
      <c r="AF880" s="1">
        <v>951.55</v>
      </c>
      <c r="AG880" s="9">
        <v>0.15</v>
      </c>
      <c r="AH880" s="9">
        <f t="shared" si="362"/>
        <v>0.15</v>
      </c>
      <c r="AI880" s="1" t="str">
        <f t="shared" si="363"/>
        <v>OK</v>
      </c>
      <c r="AJ880" s="1">
        <v>7279.36</v>
      </c>
      <c r="AK880" s="1">
        <v>4870.3900000000003</v>
      </c>
      <c r="AL880" s="1">
        <v>2408.9699999999998</v>
      </c>
      <c r="AM880" s="13">
        <f t="shared" si="364"/>
        <v>7279.3574999999992</v>
      </c>
      <c r="AN880" s="9">
        <f t="shared" si="365"/>
        <v>2408.9674999999988</v>
      </c>
      <c r="AO880" s="9">
        <f t="shared" si="374"/>
        <v>0.33093133562955235</v>
      </c>
      <c r="AP880" s="1" t="s">
        <v>33</v>
      </c>
      <c r="AQ880" s="1" t="str">
        <f t="shared" si="366"/>
        <v>Paid</v>
      </c>
      <c r="AR880" s="1" t="str">
        <f t="shared" si="367"/>
        <v>OK</v>
      </c>
      <c r="AS880" s="1" t="s">
        <v>34</v>
      </c>
      <c r="AT880" s="4" t="str">
        <f t="shared" si="368"/>
        <v>Completed</v>
      </c>
      <c r="AU880" s="3" t="str">
        <f t="shared" si="369"/>
        <v>OK</v>
      </c>
      <c r="AV880" s="3" t="str">
        <f t="shared" si="375"/>
        <v>INVALID</v>
      </c>
      <c r="AW880" t="str">
        <f t="shared" si="376"/>
        <v>MATCH</v>
      </c>
      <c r="AX880" t="str">
        <f t="shared" si="377"/>
        <v>MATCH</v>
      </c>
    </row>
    <row r="881" spans="1:50" ht="15.6">
      <c r="A881" s="1" t="s">
        <v>3213</v>
      </c>
      <c r="B881" s="1">
        <f t="shared" si="351"/>
        <v>1</v>
      </c>
      <c r="C881" s="16">
        <v>45968</v>
      </c>
      <c r="D881" s="16">
        <v>45968</v>
      </c>
      <c r="E881" s="16" t="str">
        <f t="shared" si="370"/>
        <v>Nov</v>
      </c>
      <c r="F881" s="1">
        <f t="shared" si="371"/>
        <v>2025</v>
      </c>
      <c r="G881" t="s">
        <v>392</v>
      </c>
      <c r="H881" s="17">
        <v>45897</v>
      </c>
      <c r="I881" s="21">
        <f t="shared" si="372"/>
        <v>-71</v>
      </c>
      <c r="J881" s="6" t="str">
        <f t="shared" si="373"/>
        <v>INVALID_SHIPPING</v>
      </c>
      <c r="K881" s="1" t="s">
        <v>3215</v>
      </c>
      <c r="L881" s="1" t="s">
        <v>103</v>
      </c>
      <c r="M881" s="1" t="str">
        <f t="shared" si="352"/>
        <v>Aditi Sen</v>
      </c>
      <c r="N881" s="1" t="s">
        <v>104</v>
      </c>
      <c r="O881" s="1" t="str">
        <f t="shared" si="353"/>
        <v>Corporate</v>
      </c>
      <c r="P881" s="1" t="s">
        <v>26</v>
      </c>
      <c r="Q881" s="1" t="str">
        <f t="shared" si="354"/>
        <v>North</v>
      </c>
      <c r="R881" s="1" t="str">
        <f t="shared" si="355"/>
        <v>OK</v>
      </c>
      <c r="S881" s="1" t="s">
        <v>454</v>
      </c>
      <c r="T881" s="1" t="str">
        <f t="shared" si="356"/>
        <v>Delhi</v>
      </c>
      <c r="U881" s="1" t="s">
        <v>455</v>
      </c>
      <c r="V881" s="1" t="str">
        <f t="shared" si="357"/>
        <v>New Delhi</v>
      </c>
      <c r="W881" s="1" t="s">
        <v>44</v>
      </c>
      <c r="X881" s="1" t="str">
        <f t="shared" si="358"/>
        <v>Furniture</v>
      </c>
      <c r="Y881" s="1" t="s">
        <v>63</v>
      </c>
      <c r="Z881" s="1" t="str">
        <f t="shared" si="359"/>
        <v>Furnishings</v>
      </c>
      <c r="AA881" s="1" t="s">
        <v>3216</v>
      </c>
      <c r="AB881" s="1" t="s">
        <v>65</v>
      </c>
      <c r="AC881" s="1" t="str">
        <f t="shared" si="360"/>
        <v>Standard Class</v>
      </c>
      <c r="AD881" s="1" t="str">
        <f t="shared" si="361"/>
        <v>OK</v>
      </c>
      <c r="AE881" s="1">
        <v>9</v>
      </c>
      <c r="AF881" s="1">
        <v>1706.05</v>
      </c>
      <c r="AG881" s="9">
        <v>0</v>
      </c>
      <c r="AH881" s="9">
        <f t="shared" si="362"/>
        <v>0</v>
      </c>
      <c r="AI881" s="1" t="str">
        <f t="shared" si="363"/>
        <v>OK</v>
      </c>
      <c r="AJ881" s="1">
        <v>15354.45</v>
      </c>
      <c r="AK881" s="1">
        <v>9656.5</v>
      </c>
      <c r="AL881" s="1">
        <v>5697.95</v>
      </c>
      <c r="AM881" s="13">
        <f t="shared" si="364"/>
        <v>15354.449999999999</v>
      </c>
      <c r="AN881" s="9">
        <f t="shared" si="365"/>
        <v>5697.9499999999989</v>
      </c>
      <c r="AO881" s="9">
        <f t="shared" si="374"/>
        <v>0.37109437329243311</v>
      </c>
      <c r="AP881" s="1" t="s">
        <v>33</v>
      </c>
      <c r="AQ881" s="1" t="str">
        <f t="shared" si="366"/>
        <v>Paid</v>
      </c>
      <c r="AR881" s="1" t="str">
        <f t="shared" si="367"/>
        <v>OK</v>
      </c>
      <c r="AS881" s="1" t="s">
        <v>34</v>
      </c>
      <c r="AT881" s="4" t="str">
        <f t="shared" si="368"/>
        <v>Completed</v>
      </c>
      <c r="AU881" s="3" t="str">
        <f t="shared" si="369"/>
        <v>OK</v>
      </c>
      <c r="AV881" s="3" t="str">
        <f t="shared" si="375"/>
        <v>INVALID</v>
      </c>
      <c r="AW881" t="str">
        <f t="shared" si="376"/>
        <v>MATCH</v>
      </c>
      <c r="AX881" t="str">
        <f t="shared" si="377"/>
        <v>MATCH</v>
      </c>
    </row>
    <row r="882" spans="1:50" ht="15.6">
      <c r="A882" s="1" t="s">
        <v>3224</v>
      </c>
      <c r="B882" s="1">
        <f t="shared" si="351"/>
        <v>1</v>
      </c>
      <c r="C882" s="16">
        <v>45879</v>
      </c>
      <c r="D882" s="16">
        <v>45879</v>
      </c>
      <c r="E882" s="16" t="str">
        <f t="shared" si="370"/>
        <v>Aug</v>
      </c>
      <c r="F882" s="1">
        <f t="shared" si="371"/>
        <v>2025</v>
      </c>
      <c r="G882" t="s">
        <v>991</v>
      </c>
      <c r="H882" s="17">
        <v>45366</v>
      </c>
      <c r="I882" s="21">
        <f t="shared" si="372"/>
        <v>-513</v>
      </c>
      <c r="J882" s="6" t="str">
        <f t="shared" si="373"/>
        <v>INVALID_SHIPPING</v>
      </c>
      <c r="K882" s="1" t="s">
        <v>3225</v>
      </c>
      <c r="L882" s="1" t="s">
        <v>153</v>
      </c>
      <c r="M882" s="1" t="str">
        <f t="shared" si="352"/>
        <v>Aarav Sharma</v>
      </c>
      <c r="N882" s="1" t="s">
        <v>110</v>
      </c>
      <c r="O882" s="1" t="str">
        <f t="shared" si="353"/>
        <v>Home Office</v>
      </c>
      <c r="P882" s="1" t="s">
        <v>41</v>
      </c>
      <c r="Q882" s="1" t="str">
        <f t="shared" si="354"/>
        <v>East</v>
      </c>
      <c r="R882" s="1" t="str">
        <f t="shared" si="355"/>
        <v>OK</v>
      </c>
      <c r="S882" s="1" t="s">
        <v>42</v>
      </c>
      <c r="T882" s="1" t="str">
        <f t="shared" si="356"/>
        <v>Odisha</v>
      </c>
      <c r="U882" s="1" t="s">
        <v>43</v>
      </c>
      <c r="V882" s="1" t="str">
        <f t="shared" si="357"/>
        <v>Bhubaneswar</v>
      </c>
      <c r="W882" s="1" t="s">
        <v>83</v>
      </c>
      <c r="X882" s="1" t="str">
        <f t="shared" si="358"/>
        <v>Technology</v>
      </c>
      <c r="Y882" s="1" t="s">
        <v>84</v>
      </c>
      <c r="Z882" s="1" t="str">
        <f t="shared" si="359"/>
        <v>Accessories</v>
      </c>
      <c r="AA882" s="1" t="s">
        <v>3226</v>
      </c>
      <c r="AB882" s="1" t="s">
        <v>32</v>
      </c>
      <c r="AC882" s="1" t="str">
        <f t="shared" si="360"/>
        <v>Second Class</v>
      </c>
      <c r="AD882" s="1" t="str">
        <f t="shared" si="361"/>
        <v>OK</v>
      </c>
      <c r="AE882" s="1">
        <v>3</v>
      </c>
      <c r="AF882" s="1">
        <v>3372.21</v>
      </c>
      <c r="AG882" s="9">
        <v>0.2</v>
      </c>
      <c r="AH882" s="9">
        <f t="shared" si="362"/>
        <v>0.2</v>
      </c>
      <c r="AI882" s="1" t="str">
        <f t="shared" si="363"/>
        <v>OK</v>
      </c>
      <c r="AJ882" s="1">
        <v>8093.3</v>
      </c>
      <c r="AK882" s="1">
        <v>6052.43</v>
      </c>
      <c r="AL882" s="1">
        <v>2040.87</v>
      </c>
      <c r="AM882" s="13">
        <f t="shared" si="364"/>
        <v>8093.304000000001</v>
      </c>
      <c r="AN882" s="9">
        <f t="shared" si="365"/>
        <v>2040.8740000000007</v>
      </c>
      <c r="AO882" s="9">
        <f t="shared" si="374"/>
        <v>0.25216821214179036</v>
      </c>
      <c r="AP882" s="1" t="s">
        <v>131</v>
      </c>
      <c r="AQ882" s="1" t="str">
        <f t="shared" si="366"/>
        <v>Pending</v>
      </c>
      <c r="AR882" s="1" t="str">
        <f t="shared" si="367"/>
        <v>OK</v>
      </c>
      <c r="AS882" s="1" t="s">
        <v>76</v>
      </c>
      <c r="AT882" s="4" t="str">
        <f t="shared" si="368"/>
        <v>Cancelled</v>
      </c>
      <c r="AU882" s="3" t="str">
        <f t="shared" si="369"/>
        <v>EXCLUDE_FROM_SALES</v>
      </c>
      <c r="AV882" s="3" t="str">
        <f t="shared" si="375"/>
        <v>INVALID</v>
      </c>
      <c r="AW882" t="str">
        <f t="shared" si="376"/>
        <v>MATCH</v>
      </c>
      <c r="AX882" t="str">
        <f t="shared" si="377"/>
        <v>MATCH</v>
      </c>
    </row>
    <row r="883" spans="1:50" ht="15.6">
      <c r="A883" s="1" t="s">
        <v>3227</v>
      </c>
      <c r="B883" s="1">
        <f t="shared" si="351"/>
        <v>1</v>
      </c>
      <c r="C883" s="16">
        <v>45704</v>
      </c>
      <c r="D883" s="16">
        <v>45704</v>
      </c>
      <c r="E883" s="16" t="str">
        <f t="shared" si="370"/>
        <v>Feb</v>
      </c>
      <c r="F883" s="1">
        <f t="shared" si="371"/>
        <v>2025</v>
      </c>
      <c r="G883" t="s">
        <v>3505</v>
      </c>
      <c r="H883" s="17">
        <v>45424</v>
      </c>
      <c r="I883" s="21">
        <f t="shared" si="372"/>
        <v>-280</v>
      </c>
      <c r="J883" s="6" t="str">
        <f t="shared" si="373"/>
        <v>INVALID_SHIPPING</v>
      </c>
      <c r="K883" s="1" t="s">
        <v>3229</v>
      </c>
      <c r="L883" s="1" t="s">
        <v>169</v>
      </c>
      <c r="M883" s="1" t="str">
        <f t="shared" si="352"/>
        <v>Rohan Mehta</v>
      </c>
      <c r="N883" s="1" t="s">
        <v>40</v>
      </c>
      <c r="O883" s="1" t="str">
        <f t="shared" si="353"/>
        <v>Small Business</v>
      </c>
      <c r="P883" s="1" t="s">
        <v>41</v>
      </c>
      <c r="Q883" s="1" t="str">
        <f t="shared" si="354"/>
        <v>East</v>
      </c>
      <c r="R883" s="1" t="str">
        <f t="shared" si="355"/>
        <v>OK</v>
      </c>
      <c r="S883" s="1" t="s">
        <v>201</v>
      </c>
      <c r="T883" s="1" t="str">
        <f t="shared" si="356"/>
        <v>Assam</v>
      </c>
      <c r="U883" s="1" t="s">
        <v>202</v>
      </c>
      <c r="V883" s="1" t="str">
        <f t="shared" si="357"/>
        <v>Guwahati</v>
      </c>
      <c r="W883" s="1" t="s">
        <v>44</v>
      </c>
      <c r="X883" s="1" t="str">
        <f t="shared" si="358"/>
        <v>Furniture</v>
      </c>
      <c r="Y883" s="1" t="s">
        <v>63</v>
      </c>
      <c r="Z883" s="1" t="str">
        <f t="shared" si="359"/>
        <v>Furnishings</v>
      </c>
      <c r="AA883" s="1" t="s">
        <v>3230</v>
      </c>
      <c r="AB883" s="1" t="s">
        <v>32</v>
      </c>
      <c r="AC883" s="1" t="str">
        <f t="shared" si="360"/>
        <v>Second Class</v>
      </c>
      <c r="AD883" s="1" t="str">
        <f t="shared" si="361"/>
        <v>OK</v>
      </c>
      <c r="AE883" s="1">
        <v>6</v>
      </c>
      <c r="AF883" s="1">
        <v>1441.91</v>
      </c>
      <c r="AG883" s="9">
        <v>0</v>
      </c>
      <c r="AH883" s="9">
        <f t="shared" si="362"/>
        <v>0</v>
      </c>
      <c r="AI883" s="1" t="str">
        <f t="shared" si="363"/>
        <v>OK</v>
      </c>
      <c r="AJ883" s="1">
        <v>8651.4599999999991</v>
      </c>
      <c r="AK883" s="1">
        <v>5254.62</v>
      </c>
      <c r="AL883" s="1">
        <v>3396.84</v>
      </c>
      <c r="AM883" s="13">
        <f t="shared" si="364"/>
        <v>8651.4600000000009</v>
      </c>
      <c r="AN883" s="9">
        <f t="shared" si="365"/>
        <v>3396.8400000000011</v>
      </c>
      <c r="AO883" s="9">
        <f t="shared" si="374"/>
        <v>0.39263199506210522</v>
      </c>
      <c r="AP883" s="1" t="s">
        <v>3231</v>
      </c>
      <c r="AQ883" s="1" t="str">
        <f t="shared" si="366"/>
        <v>Failed</v>
      </c>
      <c r="AR883" s="1" t="str">
        <f t="shared" si="367"/>
        <v>EXCLUDE_FROM_SALES</v>
      </c>
      <c r="AS883" s="1" t="s">
        <v>120</v>
      </c>
      <c r="AT883" s="4" t="str">
        <f t="shared" si="368"/>
        <v>Returned</v>
      </c>
      <c r="AU883" s="3" t="str">
        <f t="shared" si="369"/>
        <v>RETURNED_ORDER</v>
      </c>
      <c r="AV883" s="3" t="str">
        <f t="shared" si="375"/>
        <v>INVALID</v>
      </c>
      <c r="AW883" t="str">
        <f t="shared" si="376"/>
        <v>MATCH</v>
      </c>
      <c r="AX883" t="str">
        <f t="shared" si="377"/>
        <v>MATCH</v>
      </c>
    </row>
    <row r="884" spans="1:50" ht="15.6">
      <c r="A884" s="1" t="s">
        <v>3235</v>
      </c>
      <c r="B884" s="1">
        <f t="shared" si="351"/>
        <v>1</v>
      </c>
      <c r="C884" s="16">
        <v>45910</v>
      </c>
      <c r="D884" s="16">
        <v>45910</v>
      </c>
      <c r="E884" s="16" t="str">
        <f t="shared" si="370"/>
        <v>Sep</v>
      </c>
      <c r="F884" s="1">
        <f t="shared" si="371"/>
        <v>2025</v>
      </c>
      <c r="G884" t="s">
        <v>1173</v>
      </c>
      <c r="H884" s="17">
        <v>45698</v>
      </c>
      <c r="I884" s="21">
        <f t="shared" si="372"/>
        <v>-212</v>
      </c>
      <c r="J884" s="6" t="str">
        <f t="shared" si="373"/>
        <v>INVALID_SHIPPING</v>
      </c>
      <c r="K884" s="1" t="s">
        <v>3236</v>
      </c>
      <c r="L884" s="1" t="s">
        <v>141</v>
      </c>
      <c r="M884" s="1" t="str">
        <f t="shared" si="352"/>
        <v>Rahul Verma</v>
      </c>
      <c r="N884" s="1" t="s">
        <v>110</v>
      </c>
      <c r="O884" s="1" t="str">
        <f t="shared" si="353"/>
        <v>Home Office</v>
      </c>
      <c r="P884" s="1" t="s">
        <v>60</v>
      </c>
      <c r="Q884" s="1" t="str">
        <f t="shared" si="354"/>
        <v>South</v>
      </c>
      <c r="R884" s="1" t="str">
        <f t="shared" si="355"/>
        <v>OK</v>
      </c>
      <c r="S884" s="1" t="s">
        <v>61</v>
      </c>
      <c r="T884" s="1" t="str">
        <f t="shared" si="356"/>
        <v>Telangana</v>
      </c>
      <c r="U884" s="1" t="s">
        <v>62</v>
      </c>
      <c r="V884" s="1" t="str">
        <f t="shared" si="357"/>
        <v>Hyderabad</v>
      </c>
      <c r="W884" s="1" t="s">
        <v>44</v>
      </c>
      <c r="X884" s="1" t="str">
        <f t="shared" si="358"/>
        <v>Furniture</v>
      </c>
      <c r="Y884" s="1" t="s">
        <v>63</v>
      </c>
      <c r="Z884" s="1" t="str">
        <f t="shared" si="359"/>
        <v>Furnishings</v>
      </c>
      <c r="AA884" s="1" t="s">
        <v>3237</v>
      </c>
      <c r="AB884" s="1" t="s">
        <v>65</v>
      </c>
      <c r="AC884" s="1" t="str">
        <f t="shared" si="360"/>
        <v>Standard Class</v>
      </c>
      <c r="AD884" s="1" t="str">
        <f t="shared" si="361"/>
        <v>OK</v>
      </c>
      <c r="AE884" s="1">
        <v>1</v>
      </c>
      <c r="AF884" s="1">
        <v>2050.62</v>
      </c>
      <c r="AG884" s="9">
        <v>0.05</v>
      </c>
      <c r="AH884" s="9">
        <f t="shared" si="362"/>
        <v>0.05</v>
      </c>
      <c r="AI884" s="1" t="str">
        <f t="shared" si="363"/>
        <v>OK</v>
      </c>
      <c r="AJ884" s="1">
        <v>1948.09</v>
      </c>
      <c r="AK884" s="1">
        <v>1507.08</v>
      </c>
      <c r="AL884" s="1">
        <v>441.01</v>
      </c>
      <c r="AM884" s="13">
        <f t="shared" si="364"/>
        <v>1948.0889999999997</v>
      </c>
      <c r="AN884" s="9">
        <f t="shared" si="365"/>
        <v>441.00899999999979</v>
      </c>
      <c r="AO884" s="9">
        <f t="shared" si="374"/>
        <v>0.22638031424642296</v>
      </c>
      <c r="AP884" s="1" t="s">
        <v>33</v>
      </c>
      <c r="AQ884" s="1" t="str">
        <f t="shared" si="366"/>
        <v>Paid</v>
      </c>
      <c r="AR884" s="1" t="str">
        <f t="shared" si="367"/>
        <v>OK</v>
      </c>
      <c r="AS884" s="1" t="s">
        <v>34</v>
      </c>
      <c r="AT884" s="4" t="str">
        <f t="shared" si="368"/>
        <v>Completed</v>
      </c>
      <c r="AU884" s="3" t="str">
        <f t="shared" si="369"/>
        <v>OK</v>
      </c>
      <c r="AV884" s="3" t="str">
        <f t="shared" si="375"/>
        <v>INVALID</v>
      </c>
      <c r="AW884" t="str">
        <f t="shared" si="376"/>
        <v>MATCH</v>
      </c>
      <c r="AX884" t="str">
        <f t="shared" si="377"/>
        <v>MATCH</v>
      </c>
    </row>
    <row r="885" spans="1:50" ht="15.6">
      <c r="A885" s="1" t="s">
        <v>3238</v>
      </c>
      <c r="B885" s="1">
        <f t="shared" si="351"/>
        <v>1</v>
      </c>
      <c r="C885" s="16">
        <v>45812</v>
      </c>
      <c r="D885" s="16">
        <v>45812</v>
      </c>
      <c r="E885" s="16" t="str">
        <f t="shared" si="370"/>
        <v>Jun</v>
      </c>
      <c r="F885" s="1">
        <f t="shared" si="371"/>
        <v>2025</v>
      </c>
      <c r="G885" t="s">
        <v>3512</v>
      </c>
      <c r="H885" s="17">
        <v>45778</v>
      </c>
      <c r="I885" s="21">
        <f t="shared" si="372"/>
        <v>-34</v>
      </c>
      <c r="J885" s="6" t="str">
        <f t="shared" si="373"/>
        <v>INVALID_SHIPPING</v>
      </c>
      <c r="K885" s="1" t="s">
        <v>3080</v>
      </c>
      <c r="L885" s="1" t="s">
        <v>136</v>
      </c>
      <c r="M885" s="1" t="str">
        <f t="shared" si="352"/>
        <v>Priya Menon</v>
      </c>
      <c r="N885" s="1" t="s">
        <v>110</v>
      </c>
      <c r="O885" s="1" t="str">
        <f t="shared" si="353"/>
        <v>Home Office</v>
      </c>
      <c r="P885" s="1" t="s">
        <v>41</v>
      </c>
      <c r="Q885" s="1" t="str">
        <f t="shared" si="354"/>
        <v>East</v>
      </c>
      <c r="R885" s="1" t="str">
        <f t="shared" si="355"/>
        <v>OK</v>
      </c>
      <c r="S885" s="1" t="s">
        <v>201</v>
      </c>
      <c r="T885" s="1" t="str">
        <f t="shared" si="356"/>
        <v>Assam</v>
      </c>
      <c r="U885" s="1" t="s">
        <v>202</v>
      </c>
      <c r="V885" s="1" t="str">
        <f t="shared" si="357"/>
        <v>Guwahati</v>
      </c>
      <c r="W885" s="1" t="s">
        <v>29</v>
      </c>
      <c r="X885" s="1" t="str">
        <f t="shared" si="358"/>
        <v>Office Supplies</v>
      </c>
      <c r="Y885" s="1" t="s">
        <v>184</v>
      </c>
      <c r="Z885" s="1" t="str">
        <f t="shared" si="359"/>
        <v>Binders</v>
      </c>
      <c r="AA885" s="1" t="s">
        <v>3239</v>
      </c>
      <c r="AB885" s="1" t="s">
        <v>32</v>
      </c>
      <c r="AC885" s="1" t="str">
        <f t="shared" si="360"/>
        <v>Second Class</v>
      </c>
      <c r="AD885" s="1" t="str">
        <f t="shared" si="361"/>
        <v>OK</v>
      </c>
      <c r="AE885" s="1">
        <v>2</v>
      </c>
      <c r="AF885" s="1">
        <v>2030.06</v>
      </c>
      <c r="AG885" s="9">
        <v>0.25</v>
      </c>
      <c r="AH885" s="9">
        <f t="shared" si="362"/>
        <v>0.25</v>
      </c>
      <c r="AI885" s="1" t="str">
        <f t="shared" si="363"/>
        <v>OK</v>
      </c>
      <c r="AJ885" s="1">
        <v>3045.09</v>
      </c>
      <c r="AK885" s="1">
        <v>2601.09</v>
      </c>
      <c r="AL885" s="1">
        <v>444</v>
      </c>
      <c r="AM885" s="13">
        <f t="shared" si="364"/>
        <v>3045.09</v>
      </c>
      <c r="AN885" s="9">
        <f t="shared" si="365"/>
        <v>444</v>
      </c>
      <c r="AO885" s="9">
        <f t="shared" si="374"/>
        <v>0.14580849827098705</v>
      </c>
      <c r="AP885" s="1" t="s">
        <v>33</v>
      </c>
      <c r="AQ885" s="1" t="str">
        <f t="shared" si="366"/>
        <v>Paid</v>
      </c>
      <c r="AR885" s="1" t="str">
        <f t="shared" si="367"/>
        <v>OK</v>
      </c>
      <c r="AS885" s="1" t="s">
        <v>34</v>
      </c>
      <c r="AT885" s="4" t="str">
        <f t="shared" si="368"/>
        <v>Completed</v>
      </c>
      <c r="AU885" s="3" t="str">
        <f t="shared" si="369"/>
        <v>OK</v>
      </c>
      <c r="AV885" s="3" t="str">
        <f t="shared" si="375"/>
        <v>INVALID</v>
      </c>
      <c r="AW885" t="str">
        <f t="shared" si="376"/>
        <v>MATCH</v>
      </c>
      <c r="AX885" t="str">
        <f t="shared" si="377"/>
        <v>MATCH</v>
      </c>
    </row>
    <row r="886" spans="1:50" ht="15.6">
      <c r="A886" s="1" t="s">
        <v>3244</v>
      </c>
      <c r="B886" s="1">
        <f t="shared" si="351"/>
        <v>1</v>
      </c>
      <c r="C886" s="16">
        <v>45840</v>
      </c>
      <c r="D886" s="16">
        <v>45840</v>
      </c>
      <c r="E886" s="16" t="str">
        <f t="shared" si="370"/>
        <v>Jul</v>
      </c>
      <c r="F886" s="1">
        <f t="shared" si="371"/>
        <v>2025</v>
      </c>
      <c r="G886" t="s">
        <v>3516</v>
      </c>
      <c r="H886" s="17">
        <v>45682</v>
      </c>
      <c r="I886" s="21">
        <f t="shared" si="372"/>
        <v>-158</v>
      </c>
      <c r="J886" s="6" t="str">
        <f t="shared" si="373"/>
        <v>INVALID_SHIPPING</v>
      </c>
      <c r="K886" s="1" t="s">
        <v>3245</v>
      </c>
      <c r="L886" s="1" t="s">
        <v>24</v>
      </c>
      <c r="M886" s="1" t="str">
        <f t="shared" si="352"/>
        <v>Karan Malhotra</v>
      </c>
      <c r="N886" s="1" t="s">
        <v>40</v>
      </c>
      <c r="O886" s="1" t="str">
        <f t="shared" si="353"/>
        <v>Small Business</v>
      </c>
      <c r="P886" s="1" t="s">
        <v>60</v>
      </c>
      <c r="Q886" s="1" t="str">
        <f t="shared" si="354"/>
        <v>South</v>
      </c>
      <c r="R886" s="1" t="str">
        <f t="shared" si="355"/>
        <v>OK</v>
      </c>
      <c r="S886" s="1" t="s">
        <v>61</v>
      </c>
      <c r="T886" s="1" t="str">
        <f t="shared" si="356"/>
        <v>Telangana</v>
      </c>
      <c r="U886" s="1" t="s">
        <v>62</v>
      </c>
      <c r="V886" s="1" t="str">
        <f t="shared" si="357"/>
        <v>Hyderabad</v>
      </c>
      <c r="W886" s="1" t="s">
        <v>29</v>
      </c>
      <c r="X886" s="1" t="str">
        <f t="shared" si="358"/>
        <v>Office Supplies</v>
      </c>
      <c r="Y886" s="1" t="s">
        <v>105</v>
      </c>
      <c r="Z886" s="1" t="str">
        <f t="shared" si="359"/>
        <v>Labels</v>
      </c>
      <c r="AA886" s="1" t="s">
        <v>3246</v>
      </c>
      <c r="AB886" s="1" t="s">
        <v>3247</v>
      </c>
      <c r="AC886" s="1" t="str">
        <f t="shared" si="360"/>
        <v>Standard Class</v>
      </c>
      <c r="AD886" s="1" t="str">
        <f t="shared" si="361"/>
        <v>OK</v>
      </c>
      <c r="AE886" s="1">
        <v>2</v>
      </c>
      <c r="AF886" s="1">
        <v>2432.98</v>
      </c>
      <c r="AG886" s="9">
        <v>0.1</v>
      </c>
      <c r="AH886" s="9">
        <f t="shared" si="362"/>
        <v>0.1</v>
      </c>
      <c r="AI886" s="1" t="str">
        <f t="shared" si="363"/>
        <v>OK</v>
      </c>
      <c r="AJ886" s="1">
        <v>4379.3599999999997</v>
      </c>
      <c r="AK886" s="1">
        <v>3723.93</v>
      </c>
      <c r="AL886" s="1">
        <v>655.43</v>
      </c>
      <c r="AM886" s="13">
        <f t="shared" si="364"/>
        <v>4379.3640000000005</v>
      </c>
      <c r="AN886" s="9">
        <f t="shared" si="365"/>
        <v>655.43400000000065</v>
      </c>
      <c r="AO886" s="9">
        <f t="shared" si="374"/>
        <v>0.14966419781502532</v>
      </c>
      <c r="AP886" s="1" t="s">
        <v>33</v>
      </c>
      <c r="AQ886" s="1" t="str">
        <f t="shared" si="366"/>
        <v>Paid</v>
      </c>
      <c r="AR886" s="1" t="str">
        <f t="shared" si="367"/>
        <v>OK</v>
      </c>
      <c r="AS886" s="1" t="s">
        <v>34</v>
      </c>
      <c r="AT886" s="4" t="str">
        <f t="shared" si="368"/>
        <v>Completed</v>
      </c>
      <c r="AU886" s="3" t="str">
        <f t="shared" si="369"/>
        <v>OK</v>
      </c>
      <c r="AV886" s="3" t="str">
        <f t="shared" si="375"/>
        <v>INVALID</v>
      </c>
      <c r="AW886" t="str">
        <f t="shared" si="376"/>
        <v>MATCH</v>
      </c>
      <c r="AX886" t="str">
        <f t="shared" si="377"/>
        <v>MATCH</v>
      </c>
    </row>
    <row r="887" spans="1:50" ht="15.6">
      <c r="A887" s="1" t="s">
        <v>3248</v>
      </c>
      <c r="B887" s="1">
        <f t="shared" si="351"/>
        <v>1</v>
      </c>
      <c r="C887" s="16">
        <v>45900</v>
      </c>
      <c r="D887" s="16">
        <v>45900</v>
      </c>
      <c r="E887" s="16" t="str">
        <f t="shared" si="370"/>
        <v>Aug</v>
      </c>
      <c r="F887" s="1">
        <f t="shared" si="371"/>
        <v>2025</v>
      </c>
      <c r="G887" t="s">
        <v>3520</v>
      </c>
      <c r="H887" s="17">
        <v>45296</v>
      </c>
      <c r="I887" s="21">
        <f t="shared" si="372"/>
        <v>-604</v>
      </c>
      <c r="J887" s="6" t="str">
        <f t="shared" si="373"/>
        <v>INVALID_SHIPPING</v>
      </c>
      <c r="K887" s="1" t="s">
        <v>3249</v>
      </c>
      <c r="L887" s="1" t="s">
        <v>153</v>
      </c>
      <c r="M887" s="1" t="str">
        <f t="shared" si="352"/>
        <v>Aarav Sharma</v>
      </c>
      <c r="N887" s="1" t="s">
        <v>40</v>
      </c>
      <c r="O887" s="1" t="str">
        <f t="shared" si="353"/>
        <v>Small Business</v>
      </c>
      <c r="P887" s="1" t="s">
        <v>60</v>
      </c>
      <c r="Q887" s="1" t="str">
        <f t="shared" si="354"/>
        <v>South</v>
      </c>
      <c r="R887" s="1" t="str">
        <f t="shared" si="355"/>
        <v>OK</v>
      </c>
      <c r="S887" s="1" t="s">
        <v>309</v>
      </c>
      <c r="T887" s="1" t="str">
        <f t="shared" si="356"/>
        <v>Tamil Nadu</v>
      </c>
      <c r="U887" s="1" t="s">
        <v>310</v>
      </c>
      <c r="V887" s="1" t="str">
        <f t="shared" si="357"/>
        <v>Chennai</v>
      </c>
      <c r="W887" s="1" t="s">
        <v>44</v>
      </c>
      <c r="X887" s="1" t="str">
        <f t="shared" si="358"/>
        <v>Furniture</v>
      </c>
      <c r="Y887" s="1" t="s">
        <v>63</v>
      </c>
      <c r="Z887" s="1" t="str">
        <f t="shared" si="359"/>
        <v>Furnishings</v>
      </c>
      <c r="AA887" s="1" t="s">
        <v>3250</v>
      </c>
      <c r="AB887" s="1" t="s">
        <v>55</v>
      </c>
      <c r="AC887" s="1" t="str">
        <f t="shared" si="360"/>
        <v>First Class</v>
      </c>
      <c r="AD887" s="1" t="str">
        <f t="shared" si="361"/>
        <v>OK</v>
      </c>
      <c r="AE887" s="1">
        <v>7</v>
      </c>
      <c r="AF887" s="1">
        <v>977.28</v>
      </c>
      <c r="AG887" s="9">
        <v>0.2</v>
      </c>
      <c r="AH887" s="9">
        <f t="shared" si="362"/>
        <v>0.2</v>
      </c>
      <c r="AI887" s="1" t="str">
        <f t="shared" si="363"/>
        <v>OK</v>
      </c>
      <c r="AJ887" s="1">
        <v>5472.77</v>
      </c>
      <c r="AK887" s="1">
        <v>4477.33</v>
      </c>
      <c r="AL887" s="1">
        <v>995.44</v>
      </c>
      <c r="AM887" s="13">
        <f t="shared" si="364"/>
        <v>5472.768</v>
      </c>
      <c r="AN887" s="9">
        <f t="shared" si="365"/>
        <v>995.4380000000001</v>
      </c>
      <c r="AO887" s="9">
        <f t="shared" si="374"/>
        <v>0.18188931085695575</v>
      </c>
      <c r="AP887" s="1" t="s">
        <v>33</v>
      </c>
      <c r="AQ887" s="1" t="str">
        <f t="shared" si="366"/>
        <v>Paid</v>
      </c>
      <c r="AR887" s="1" t="str">
        <f t="shared" si="367"/>
        <v>OK</v>
      </c>
      <c r="AS887" s="1" t="s">
        <v>34</v>
      </c>
      <c r="AT887" s="4" t="str">
        <f t="shared" si="368"/>
        <v>Completed</v>
      </c>
      <c r="AU887" s="3" t="str">
        <f t="shared" si="369"/>
        <v>OK</v>
      </c>
      <c r="AV887" s="3" t="str">
        <f t="shared" si="375"/>
        <v>INVALID</v>
      </c>
      <c r="AW887" t="str">
        <f t="shared" si="376"/>
        <v>MATCH</v>
      </c>
      <c r="AX887" t="str">
        <f t="shared" si="377"/>
        <v>MATCH</v>
      </c>
    </row>
    <row r="888" spans="1:50" ht="15.6">
      <c r="A888" s="1" t="s">
        <v>3251</v>
      </c>
      <c r="B888" s="1">
        <f t="shared" si="351"/>
        <v>1</v>
      </c>
      <c r="C888" s="16">
        <v>45833</v>
      </c>
      <c r="D888" s="16">
        <v>45833</v>
      </c>
      <c r="E888" s="16" t="str">
        <f t="shared" si="370"/>
        <v>Jun</v>
      </c>
      <c r="F888" s="1">
        <f t="shared" si="371"/>
        <v>2025</v>
      </c>
      <c r="G888" t="s">
        <v>3524</v>
      </c>
      <c r="H888" s="17">
        <v>45721</v>
      </c>
      <c r="I888" s="21">
        <f t="shared" si="372"/>
        <v>-112</v>
      </c>
      <c r="J888" s="6" t="str">
        <f t="shared" si="373"/>
        <v>INVALID_SHIPPING</v>
      </c>
      <c r="K888" s="1" t="s">
        <v>3252</v>
      </c>
      <c r="L888" s="1" t="s">
        <v>59</v>
      </c>
      <c r="M888" s="1" t="str">
        <f t="shared" si="352"/>
        <v>Arjun Bose</v>
      </c>
      <c r="N888" s="1" t="s">
        <v>40</v>
      </c>
      <c r="O888" s="1" t="str">
        <f t="shared" si="353"/>
        <v>Small Business</v>
      </c>
      <c r="P888" s="1"/>
      <c r="Q888" s="1" t="str">
        <f t="shared" si="354"/>
        <v>Unknown</v>
      </c>
      <c r="R888" s="1" t="str">
        <f t="shared" si="355"/>
        <v>MISSING_REGION</v>
      </c>
      <c r="S888" s="1" t="s">
        <v>146</v>
      </c>
      <c r="T888" s="1" t="str">
        <f t="shared" si="356"/>
        <v>Punjab</v>
      </c>
      <c r="U888" s="1" t="s">
        <v>147</v>
      </c>
      <c r="V888" s="1" t="str">
        <f t="shared" si="357"/>
        <v>Ludhiana</v>
      </c>
      <c r="W888" s="1" t="s">
        <v>29</v>
      </c>
      <c r="X888" s="1" t="str">
        <f t="shared" si="358"/>
        <v>Office Supplies</v>
      </c>
      <c r="Y888" s="1" t="s">
        <v>184</v>
      </c>
      <c r="Z888" s="1" t="str">
        <f t="shared" si="359"/>
        <v>Binders</v>
      </c>
      <c r="AA888" s="1" t="s">
        <v>3253</v>
      </c>
      <c r="AB888" s="1" t="s">
        <v>32</v>
      </c>
      <c r="AC888" s="1" t="str">
        <f t="shared" si="360"/>
        <v>Second Class</v>
      </c>
      <c r="AD888" s="1" t="str">
        <f t="shared" si="361"/>
        <v>OK</v>
      </c>
      <c r="AE888" s="1">
        <v>6</v>
      </c>
      <c r="AF888" s="1">
        <v>1366.13</v>
      </c>
      <c r="AG888" s="9">
        <v>0.1</v>
      </c>
      <c r="AH888" s="9">
        <f t="shared" si="362"/>
        <v>0.1</v>
      </c>
      <c r="AI888" s="1" t="str">
        <f t="shared" si="363"/>
        <v>OK</v>
      </c>
      <c r="AJ888" s="1">
        <v>7377.1</v>
      </c>
      <c r="AK888" s="1">
        <v>5085.21</v>
      </c>
      <c r="AL888" s="1">
        <v>2291.89</v>
      </c>
      <c r="AM888" s="13">
        <f t="shared" si="364"/>
        <v>7377.1020000000008</v>
      </c>
      <c r="AN888" s="9">
        <f t="shared" si="365"/>
        <v>2291.8920000000007</v>
      </c>
      <c r="AO888" s="9">
        <f t="shared" si="374"/>
        <v>0.31067646888981615</v>
      </c>
      <c r="AP888" s="1" t="s">
        <v>33</v>
      </c>
      <c r="AQ888" s="1" t="str">
        <f t="shared" si="366"/>
        <v>Paid</v>
      </c>
      <c r="AR888" s="1" t="str">
        <f t="shared" si="367"/>
        <v>OK</v>
      </c>
      <c r="AS888" s="1" t="s">
        <v>34</v>
      </c>
      <c r="AT888" s="4" t="str">
        <f t="shared" si="368"/>
        <v>Completed</v>
      </c>
      <c r="AU888" s="3" t="str">
        <f t="shared" si="369"/>
        <v>OK</v>
      </c>
      <c r="AV888" s="3" t="str">
        <f t="shared" si="375"/>
        <v>INVALID</v>
      </c>
      <c r="AW888" t="str">
        <f t="shared" si="376"/>
        <v>MATCH</v>
      </c>
      <c r="AX888" t="str">
        <f t="shared" si="377"/>
        <v>MATCH</v>
      </c>
    </row>
    <row r="889" spans="1:50" ht="15.6">
      <c r="A889" s="1" t="s">
        <v>3265</v>
      </c>
      <c r="B889" s="1">
        <f t="shared" si="351"/>
        <v>1</v>
      </c>
      <c r="C889" s="16">
        <v>45812</v>
      </c>
      <c r="D889" s="16">
        <v>45812</v>
      </c>
      <c r="E889" s="16" t="str">
        <f t="shared" si="370"/>
        <v>Jun</v>
      </c>
      <c r="F889" s="1">
        <f t="shared" si="371"/>
        <v>2025</v>
      </c>
      <c r="G889" t="s">
        <v>609</v>
      </c>
      <c r="H889" s="17">
        <v>45461</v>
      </c>
      <c r="I889" s="21">
        <f t="shared" si="372"/>
        <v>-351</v>
      </c>
      <c r="J889" s="6" t="str">
        <f t="shared" si="373"/>
        <v>INVALID_SHIPPING</v>
      </c>
      <c r="K889" s="1" t="s">
        <v>3267</v>
      </c>
      <c r="L889" s="1" t="s">
        <v>169</v>
      </c>
      <c r="M889" s="1" t="str">
        <f t="shared" si="352"/>
        <v>Rohan Mehta</v>
      </c>
      <c r="N889" s="1" t="s">
        <v>25</v>
      </c>
      <c r="O889" s="1" t="str">
        <f t="shared" si="353"/>
        <v>Consumer</v>
      </c>
      <c r="P889" s="1" t="s">
        <v>41</v>
      </c>
      <c r="Q889" s="1" t="str">
        <f t="shared" si="354"/>
        <v>East</v>
      </c>
      <c r="R889" s="1" t="str">
        <f t="shared" si="355"/>
        <v>OK</v>
      </c>
      <c r="S889" s="1" t="s">
        <v>42</v>
      </c>
      <c r="T889" s="1" t="str">
        <f t="shared" si="356"/>
        <v>Odisha</v>
      </c>
      <c r="U889" s="1" t="s">
        <v>43</v>
      </c>
      <c r="V889" s="1" t="str">
        <f t="shared" si="357"/>
        <v>Bhubaneswar</v>
      </c>
      <c r="W889" s="1" t="s">
        <v>44</v>
      </c>
      <c r="X889" s="1" t="str">
        <f t="shared" si="358"/>
        <v>Furniture</v>
      </c>
      <c r="Y889" s="1" t="s">
        <v>190</v>
      </c>
      <c r="Z889" s="1" t="str">
        <f t="shared" si="359"/>
        <v>Bookcases</v>
      </c>
      <c r="AA889" s="1" t="s">
        <v>1509</v>
      </c>
      <c r="AB889" s="1" t="s">
        <v>65</v>
      </c>
      <c r="AC889" s="1" t="str">
        <f t="shared" si="360"/>
        <v>Standard Class</v>
      </c>
      <c r="AD889" s="1" t="str">
        <f t="shared" si="361"/>
        <v>OK</v>
      </c>
      <c r="AE889" s="1">
        <v>2</v>
      </c>
      <c r="AF889" s="1">
        <v>1337.67</v>
      </c>
      <c r="AG889" s="9">
        <v>0</v>
      </c>
      <c r="AH889" s="9">
        <f t="shared" si="362"/>
        <v>0</v>
      </c>
      <c r="AI889" s="1" t="str">
        <f t="shared" si="363"/>
        <v>OK</v>
      </c>
      <c r="AJ889" s="1">
        <v>2675.34</v>
      </c>
      <c r="AK889" s="1">
        <v>1595.87</v>
      </c>
      <c r="AL889" s="1">
        <v>1079.47</v>
      </c>
      <c r="AM889" s="13">
        <f t="shared" si="364"/>
        <v>2675.34</v>
      </c>
      <c r="AN889" s="9">
        <f t="shared" si="365"/>
        <v>1079.4700000000003</v>
      </c>
      <c r="AO889" s="9">
        <f t="shared" si="374"/>
        <v>0.40348890234512258</v>
      </c>
      <c r="AP889" s="1" t="s">
        <v>33</v>
      </c>
      <c r="AQ889" s="1" t="str">
        <f t="shared" si="366"/>
        <v>Paid</v>
      </c>
      <c r="AR889" s="1" t="str">
        <f t="shared" si="367"/>
        <v>OK</v>
      </c>
      <c r="AS889" s="1" t="s">
        <v>34</v>
      </c>
      <c r="AT889" s="4" t="str">
        <f t="shared" si="368"/>
        <v>Completed</v>
      </c>
      <c r="AU889" s="3" t="str">
        <f t="shared" si="369"/>
        <v>OK</v>
      </c>
      <c r="AV889" s="3" t="str">
        <f t="shared" si="375"/>
        <v>INVALID</v>
      </c>
      <c r="AW889" t="str">
        <f t="shared" si="376"/>
        <v>MATCH</v>
      </c>
      <c r="AX889" t="str">
        <f t="shared" si="377"/>
        <v>MATCH</v>
      </c>
    </row>
    <row r="890" spans="1:50" ht="15.6" hidden="1">
      <c r="A890" s="1" t="s">
        <v>3268</v>
      </c>
      <c r="B890" s="1">
        <f t="shared" si="351"/>
        <v>1</v>
      </c>
      <c r="C890" s="16">
        <v>45816</v>
      </c>
      <c r="D890" s="16">
        <v>45816</v>
      </c>
      <c r="E890" s="16" t="str">
        <f t="shared" si="370"/>
        <v>Jun</v>
      </c>
      <c r="F890" s="1">
        <f t="shared" si="371"/>
        <v>2025</v>
      </c>
      <c r="G890" t="s">
        <v>3129</v>
      </c>
      <c r="H890" s="17">
        <v>45846</v>
      </c>
      <c r="I890" s="21">
        <f t="shared" si="372"/>
        <v>30</v>
      </c>
      <c r="J890" s="6" t="str">
        <f t="shared" si="373"/>
        <v>OK</v>
      </c>
      <c r="K890" s="1" t="s">
        <v>3269</v>
      </c>
      <c r="L890" s="1" t="s">
        <v>59</v>
      </c>
      <c r="M890" s="1" t="str">
        <f t="shared" si="352"/>
        <v>Arjun Bose</v>
      </c>
      <c r="N890" s="1" t="s">
        <v>25</v>
      </c>
      <c r="O890" s="1" t="str">
        <f t="shared" si="353"/>
        <v>Consumer</v>
      </c>
      <c r="P890" s="1" t="s">
        <v>71</v>
      </c>
      <c r="Q890" s="1" t="str">
        <f t="shared" si="354"/>
        <v>West</v>
      </c>
      <c r="R890" s="1" t="str">
        <f t="shared" si="355"/>
        <v>OK</v>
      </c>
      <c r="S890" s="1" t="s">
        <v>81</v>
      </c>
      <c r="T890" s="1" t="str">
        <f t="shared" si="356"/>
        <v>Madhya Pradesh</v>
      </c>
      <c r="U890" s="1" t="s">
        <v>82</v>
      </c>
      <c r="V890" s="1" t="str">
        <f t="shared" si="357"/>
        <v>Indore</v>
      </c>
      <c r="W890" s="1" t="s">
        <v>29</v>
      </c>
      <c r="X890" s="1" t="str">
        <f t="shared" si="358"/>
        <v>Office Supplies</v>
      </c>
      <c r="Y890" s="1" t="s">
        <v>105</v>
      </c>
      <c r="Z890" s="1" t="str">
        <f t="shared" si="359"/>
        <v>Labels</v>
      </c>
      <c r="AA890" s="1" t="s">
        <v>3270</v>
      </c>
      <c r="AB890" s="1" t="s">
        <v>55</v>
      </c>
      <c r="AC890" s="1" t="str">
        <f t="shared" si="360"/>
        <v>First Class</v>
      </c>
      <c r="AD890" s="1" t="str">
        <f t="shared" si="361"/>
        <v>OK</v>
      </c>
      <c r="AE890" s="1">
        <v>2</v>
      </c>
      <c r="AF890" s="1">
        <v>2375.94</v>
      </c>
      <c r="AG890" s="9">
        <v>0.25</v>
      </c>
      <c r="AH890" s="9">
        <f t="shared" si="362"/>
        <v>0.25</v>
      </c>
      <c r="AI890" s="1" t="str">
        <f t="shared" si="363"/>
        <v>OK</v>
      </c>
      <c r="AJ890" s="1">
        <v>3563.91</v>
      </c>
      <c r="AK890" s="1">
        <v>2639.7</v>
      </c>
      <c r="AL890" s="1">
        <v>924.21</v>
      </c>
      <c r="AM890" s="13">
        <f t="shared" si="364"/>
        <v>3563.91</v>
      </c>
      <c r="AN890" s="9">
        <f t="shared" si="365"/>
        <v>924.21</v>
      </c>
      <c r="AO890" s="9">
        <f t="shared" si="374"/>
        <v>0.25932473042248544</v>
      </c>
      <c r="AP890" s="1" t="s">
        <v>33</v>
      </c>
      <c r="AQ890" s="1" t="str">
        <f t="shared" si="366"/>
        <v>Paid</v>
      </c>
      <c r="AR890" s="1" t="str">
        <f t="shared" si="367"/>
        <v>OK</v>
      </c>
      <c r="AS890" s="1" t="s">
        <v>34</v>
      </c>
      <c r="AT890" s="4" t="str">
        <f t="shared" si="368"/>
        <v>Completed</v>
      </c>
      <c r="AU890" s="3" t="str">
        <f t="shared" si="369"/>
        <v>OK</v>
      </c>
      <c r="AV890" s="3" t="str">
        <f t="shared" si="375"/>
        <v>CLEAN</v>
      </c>
      <c r="AW890" t="str">
        <f t="shared" si="376"/>
        <v>MATCH</v>
      </c>
      <c r="AX890" t="str">
        <f t="shared" si="377"/>
        <v>MATCH</v>
      </c>
    </row>
    <row r="891" spans="1:50" ht="15.6">
      <c r="A891" s="1" t="s">
        <v>3279</v>
      </c>
      <c r="B891" s="1">
        <f t="shared" si="351"/>
        <v>1</v>
      </c>
      <c r="C891" s="16">
        <v>45781</v>
      </c>
      <c r="D891" s="16">
        <v>45781</v>
      </c>
      <c r="E891" s="16" t="str">
        <f t="shared" si="370"/>
        <v>May</v>
      </c>
      <c r="F891" s="1">
        <f t="shared" si="371"/>
        <v>2025</v>
      </c>
      <c r="G891" t="s">
        <v>3534</v>
      </c>
      <c r="H891" s="17">
        <v>45727</v>
      </c>
      <c r="I891" s="21">
        <f t="shared" si="372"/>
        <v>-54</v>
      </c>
      <c r="J891" s="6" t="str">
        <f t="shared" si="373"/>
        <v>INVALID_SHIPPING</v>
      </c>
      <c r="K891" s="1" t="s">
        <v>3281</v>
      </c>
      <c r="L891" s="1" t="s">
        <v>158</v>
      </c>
      <c r="M891" s="1" t="str">
        <f t="shared" si="352"/>
        <v>Sneha Kapoor</v>
      </c>
      <c r="N891" s="1" t="s">
        <v>25</v>
      </c>
      <c r="O891" s="1" t="str">
        <f t="shared" si="353"/>
        <v>Consumer</v>
      </c>
      <c r="P891" s="1" t="s">
        <v>41</v>
      </c>
      <c r="Q891" s="1" t="str">
        <f t="shared" si="354"/>
        <v>East</v>
      </c>
      <c r="R891" s="1" t="str">
        <f t="shared" si="355"/>
        <v>OK</v>
      </c>
      <c r="S891" s="1" t="s">
        <v>174</v>
      </c>
      <c r="T891" s="1" t="str">
        <f t="shared" si="356"/>
        <v>Bihar</v>
      </c>
      <c r="U891" s="1" t="s">
        <v>175</v>
      </c>
      <c r="V891" s="1" t="str">
        <f t="shared" si="357"/>
        <v>Patna</v>
      </c>
      <c r="W891" s="1" t="s">
        <v>29</v>
      </c>
      <c r="X891" s="1" t="str">
        <f t="shared" si="358"/>
        <v>Office Supplies</v>
      </c>
      <c r="Y891" s="1" t="s">
        <v>184</v>
      </c>
      <c r="Z891" s="1" t="str">
        <f t="shared" si="359"/>
        <v>Binders</v>
      </c>
      <c r="AA891" s="1" t="s">
        <v>3282</v>
      </c>
      <c r="AB891" s="1" t="s">
        <v>65</v>
      </c>
      <c r="AC891" s="1" t="str">
        <f t="shared" si="360"/>
        <v>Standard Class</v>
      </c>
      <c r="AD891" s="1" t="str">
        <f t="shared" si="361"/>
        <v>OK</v>
      </c>
      <c r="AE891" s="1">
        <v>6</v>
      </c>
      <c r="AF891" s="1">
        <v>1829.69</v>
      </c>
      <c r="AG891" s="9">
        <v>0.25</v>
      </c>
      <c r="AH891" s="9">
        <f t="shared" si="362"/>
        <v>0.25</v>
      </c>
      <c r="AI891" s="1" t="str">
        <f t="shared" si="363"/>
        <v>OK</v>
      </c>
      <c r="AJ891" s="1">
        <v>8233.6</v>
      </c>
      <c r="AK891" s="1">
        <v>4713.79</v>
      </c>
      <c r="AL891" s="1">
        <v>3519.81</v>
      </c>
      <c r="AM891" s="13">
        <f t="shared" si="364"/>
        <v>8233.6049999999996</v>
      </c>
      <c r="AN891" s="9">
        <f t="shared" si="365"/>
        <v>3519.8149999999996</v>
      </c>
      <c r="AO891" s="9">
        <f t="shared" si="374"/>
        <v>0.42749378917254349</v>
      </c>
      <c r="AP891" s="1" t="s">
        <v>33</v>
      </c>
      <c r="AQ891" s="1" t="str">
        <f t="shared" si="366"/>
        <v>Paid</v>
      </c>
      <c r="AR891" s="1" t="str">
        <f t="shared" si="367"/>
        <v>OK</v>
      </c>
      <c r="AS891" s="1" t="s">
        <v>34</v>
      </c>
      <c r="AT891" s="4" t="str">
        <f t="shared" si="368"/>
        <v>Completed</v>
      </c>
      <c r="AU891" s="3" t="str">
        <f t="shared" si="369"/>
        <v>OK</v>
      </c>
      <c r="AV891" s="3" t="str">
        <f t="shared" si="375"/>
        <v>INVALID</v>
      </c>
      <c r="AW891" t="str">
        <f t="shared" si="376"/>
        <v>MISMATCH</v>
      </c>
      <c r="AX891" t="str">
        <f t="shared" si="377"/>
        <v>MISMATCH</v>
      </c>
    </row>
    <row r="892" spans="1:50" ht="15.6">
      <c r="A892" s="1" t="s">
        <v>3291</v>
      </c>
      <c r="B892" s="1">
        <f t="shared" si="351"/>
        <v>1</v>
      </c>
      <c r="C892" s="16">
        <v>45694</v>
      </c>
      <c r="D892" s="16">
        <v>45694</v>
      </c>
      <c r="E892" s="16" t="str">
        <f t="shared" si="370"/>
        <v>Feb</v>
      </c>
      <c r="F892" s="1">
        <f t="shared" si="371"/>
        <v>2025</v>
      </c>
      <c r="G892" t="s">
        <v>1006</v>
      </c>
      <c r="H892" s="17">
        <v>45433</v>
      </c>
      <c r="I892" s="21">
        <f t="shared" si="372"/>
        <v>-261</v>
      </c>
      <c r="J892" s="6" t="str">
        <f t="shared" si="373"/>
        <v>INVALID_SHIPPING</v>
      </c>
      <c r="K892" s="1" t="s">
        <v>3293</v>
      </c>
      <c r="L892" s="1" t="s">
        <v>70</v>
      </c>
      <c r="M892" s="1" t="str">
        <f t="shared" si="352"/>
        <v>Ananya Rao</v>
      </c>
      <c r="N892" s="1" t="s">
        <v>110</v>
      </c>
      <c r="O892" s="1" t="str">
        <f t="shared" si="353"/>
        <v>Home Office</v>
      </c>
      <c r="P892" s="1" t="s">
        <v>26</v>
      </c>
      <c r="Q892" s="1" t="str">
        <f t="shared" si="354"/>
        <v>North</v>
      </c>
      <c r="R892" s="1" t="str">
        <f t="shared" si="355"/>
        <v>OK</v>
      </c>
      <c r="S892" s="1" t="s">
        <v>163</v>
      </c>
      <c r="T892" s="1" t="str">
        <f t="shared" si="356"/>
        <v>Uttar Pradesh</v>
      </c>
      <c r="U892" s="1" t="s">
        <v>164</v>
      </c>
      <c r="V892" s="1" t="str">
        <f t="shared" si="357"/>
        <v>Noida</v>
      </c>
      <c r="W892" s="1" t="s">
        <v>44</v>
      </c>
      <c r="X892" s="1" t="str">
        <f t="shared" si="358"/>
        <v>Furniture</v>
      </c>
      <c r="Y892" s="1" t="s">
        <v>190</v>
      </c>
      <c r="Z892" s="1" t="str">
        <f t="shared" si="359"/>
        <v>Bookcases</v>
      </c>
      <c r="AA892" s="1" t="s">
        <v>3294</v>
      </c>
      <c r="AB892" s="1" t="s">
        <v>65</v>
      </c>
      <c r="AC892" s="1" t="str">
        <f t="shared" si="360"/>
        <v>Standard Class</v>
      </c>
      <c r="AD892" s="1" t="str">
        <f t="shared" si="361"/>
        <v>OK</v>
      </c>
      <c r="AE892" s="1">
        <v>2</v>
      </c>
      <c r="AF892" s="1">
        <v>319.57</v>
      </c>
      <c r="AG892" s="9">
        <v>0.2</v>
      </c>
      <c r="AH892" s="9">
        <f t="shared" si="362"/>
        <v>0.2</v>
      </c>
      <c r="AI892" s="1" t="str">
        <f t="shared" si="363"/>
        <v>OK</v>
      </c>
      <c r="AJ892" s="1">
        <v>511.31</v>
      </c>
      <c r="AK892" s="1">
        <v>436.43</v>
      </c>
      <c r="AL892" s="1">
        <v>74.88</v>
      </c>
      <c r="AM892" s="13">
        <f t="shared" si="364"/>
        <v>511.31200000000001</v>
      </c>
      <c r="AN892" s="9">
        <f t="shared" si="365"/>
        <v>74.882000000000005</v>
      </c>
      <c r="AO892" s="9">
        <f t="shared" si="374"/>
        <v>0.14645069937728825</v>
      </c>
      <c r="AP892" s="1" t="s">
        <v>33</v>
      </c>
      <c r="AQ892" s="1" t="str">
        <f t="shared" si="366"/>
        <v>Paid</v>
      </c>
      <c r="AR892" s="1" t="str">
        <f t="shared" si="367"/>
        <v>OK</v>
      </c>
      <c r="AS892" s="1" t="s">
        <v>34</v>
      </c>
      <c r="AT892" s="4" t="str">
        <f t="shared" si="368"/>
        <v>Completed</v>
      </c>
      <c r="AU892" s="3" t="str">
        <f t="shared" si="369"/>
        <v>OK</v>
      </c>
      <c r="AV892" s="3" t="str">
        <f t="shared" si="375"/>
        <v>INVALID</v>
      </c>
      <c r="AW892" t="str">
        <f t="shared" si="376"/>
        <v>MATCH</v>
      </c>
      <c r="AX892" t="str">
        <f t="shared" si="377"/>
        <v>MATCH</v>
      </c>
    </row>
    <row r="893" spans="1:50" ht="15.6">
      <c r="A893" s="1" t="s">
        <v>3304</v>
      </c>
      <c r="B893" s="1">
        <f t="shared" si="351"/>
        <v>1</v>
      </c>
      <c r="C893" s="16">
        <v>45809</v>
      </c>
      <c r="D893" s="16">
        <v>45809</v>
      </c>
      <c r="E893" s="16" t="str">
        <f t="shared" si="370"/>
        <v>Jun</v>
      </c>
      <c r="F893" s="1">
        <f t="shared" si="371"/>
        <v>2025</v>
      </c>
      <c r="G893" t="s">
        <v>2241</v>
      </c>
      <c r="H893" s="17">
        <v>45545</v>
      </c>
      <c r="I893" s="21">
        <f t="shared" si="372"/>
        <v>-264</v>
      </c>
      <c r="J893" s="6" t="str">
        <f t="shared" si="373"/>
        <v>INVALID_SHIPPING</v>
      </c>
      <c r="K893" s="1" t="s">
        <v>3305</v>
      </c>
      <c r="L893" s="1" t="s">
        <v>39</v>
      </c>
      <c r="M893" s="1" t="str">
        <f t="shared" si="352"/>
        <v>Mira Das</v>
      </c>
      <c r="N893" s="1" t="s">
        <v>110</v>
      </c>
      <c r="O893" s="1" t="str">
        <f t="shared" si="353"/>
        <v>Home Office</v>
      </c>
      <c r="P893" s="1" t="s">
        <v>71</v>
      </c>
      <c r="Q893" s="1" t="str">
        <f t="shared" si="354"/>
        <v>West</v>
      </c>
      <c r="R893" s="1" t="str">
        <f t="shared" si="355"/>
        <v>OK</v>
      </c>
      <c r="S893" s="1" t="s">
        <v>230</v>
      </c>
      <c r="T893" s="1" t="str">
        <f t="shared" si="356"/>
        <v>Goa</v>
      </c>
      <c r="U893" s="1" t="s">
        <v>231</v>
      </c>
      <c r="V893" s="1" t="str">
        <f t="shared" si="357"/>
        <v>Panaji</v>
      </c>
      <c r="W893" s="1" t="s">
        <v>29</v>
      </c>
      <c r="X893" s="1" t="str">
        <f t="shared" si="358"/>
        <v>Office Supplies</v>
      </c>
      <c r="Y893" s="1" t="s">
        <v>30</v>
      </c>
      <c r="Z893" s="1" t="str">
        <f t="shared" si="359"/>
        <v>Paper</v>
      </c>
      <c r="AA893" s="1" t="s">
        <v>3306</v>
      </c>
      <c r="AB893" s="1" t="s">
        <v>47</v>
      </c>
      <c r="AC893" s="1" t="str">
        <f t="shared" si="360"/>
        <v>Same Day</v>
      </c>
      <c r="AD893" s="1" t="str">
        <f t="shared" si="361"/>
        <v>OK</v>
      </c>
      <c r="AE893" s="1">
        <v>3</v>
      </c>
      <c r="AF893" s="1">
        <v>668.33</v>
      </c>
      <c r="AG893" s="9">
        <v>0.15</v>
      </c>
      <c r="AH893" s="9">
        <f t="shared" si="362"/>
        <v>0.15</v>
      </c>
      <c r="AI893" s="1" t="str">
        <f t="shared" si="363"/>
        <v>OK</v>
      </c>
      <c r="AJ893" s="1">
        <v>1704.24</v>
      </c>
      <c r="AK893" s="1">
        <v>957.55</v>
      </c>
      <c r="AL893" s="1">
        <v>746.69</v>
      </c>
      <c r="AM893" s="13">
        <f t="shared" si="364"/>
        <v>1704.2415000000001</v>
      </c>
      <c r="AN893" s="9">
        <f t="shared" si="365"/>
        <v>746.69150000000013</v>
      </c>
      <c r="AO893" s="9">
        <f t="shared" si="374"/>
        <v>0.43813714194848563</v>
      </c>
      <c r="AP893" s="1" t="s">
        <v>33</v>
      </c>
      <c r="AQ893" s="1" t="str">
        <f t="shared" si="366"/>
        <v>Paid</v>
      </c>
      <c r="AR893" s="1" t="str">
        <f t="shared" si="367"/>
        <v>OK</v>
      </c>
      <c r="AS893" s="1" t="s">
        <v>34</v>
      </c>
      <c r="AT893" s="4" t="str">
        <f t="shared" si="368"/>
        <v>Completed</v>
      </c>
      <c r="AU893" s="3" t="str">
        <f t="shared" si="369"/>
        <v>OK</v>
      </c>
      <c r="AV893" s="3" t="str">
        <f t="shared" si="375"/>
        <v>INVALID</v>
      </c>
      <c r="AW893" t="str">
        <f t="shared" si="376"/>
        <v>MATCH</v>
      </c>
      <c r="AX893" t="str">
        <f t="shared" si="377"/>
        <v>MATCH</v>
      </c>
    </row>
    <row r="894" spans="1:50" ht="15.6" hidden="1">
      <c r="A894" s="1" t="s">
        <v>3307</v>
      </c>
      <c r="B894" s="1">
        <f t="shared" si="351"/>
        <v>1</v>
      </c>
      <c r="C894" s="16">
        <v>45737</v>
      </c>
      <c r="D894" s="16">
        <v>45737</v>
      </c>
      <c r="E894" s="16" t="str">
        <f t="shared" si="370"/>
        <v>Mar</v>
      </c>
      <c r="F894" s="1">
        <f t="shared" si="371"/>
        <v>2025</v>
      </c>
      <c r="G894" t="s">
        <v>2635</v>
      </c>
      <c r="H894" s="17">
        <v>45765</v>
      </c>
      <c r="I894" s="21">
        <f t="shared" si="372"/>
        <v>28</v>
      </c>
      <c r="J894" s="6" t="str">
        <f t="shared" si="373"/>
        <v>OK</v>
      </c>
      <c r="K894" s="1" t="s">
        <v>3308</v>
      </c>
      <c r="L894" s="1" t="s">
        <v>136</v>
      </c>
      <c r="M894" s="1" t="str">
        <f t="shared" si="352"/>
        <v>Priya Menon</v>
      </c>
      <c r="N894" s="1" t="s">
        <v>25</v>
      </c>
      <c r="O894" s="1" t="str">
        <f t="shared" si="353"/>
        <v>Consumer</v>
      </c>
      <c r="P894" s="1" t="s">
        <v>71</v>
      </c>
      <c r="Q894" s="1" t="str">
        <f t="shared" si="354"/>
        <v>West</v>
      </c>
      <c r="R894" s="1" t="str">
        <f t="shared" si="355"/>
        <v>OK</v>
      </c>
      <c r="S894" s="1" t="s">
        <v>230</v>
      </c>
      <c r="T894" s="1" t="str">
        <f t="shared" si="356"/>
        <v>Goa</v>
      </c>
      <c r="U894" s="1" t="s">
        <v>231</v>
      </c>
      <c r="V894" s="1" t="str">
        <f t="shared" si="357"/>
        <v>Panaji</v>
      </c>
      <c r="W894" s="1" t="s">
        <v>29</v>
      </c>
      <c r="X894" s="1" t="str">
        <f t="shared" si="358"/>
        <v>Office Supplies</v>
      </c>
      <c r="Y894" s="1" t="s">
        <v>30</v>
      </c>
      <c r="Z894" s="1" t="str">
        <f t="shared" si="359"/>
        <v>Paper</v>
      </c>
      <c r="AA894" s="1" t="s">
        <v>3309</v>
      </c>
      <c r="AB894" s="1" t="s">
        <v>55</v>
      </c>
      <c r="AC894" s="1" t="str">
        <f t="shared" si="360"/>
        <v>First Class</v>
      </c>
      <c r="AD894" s="1" t="str">
        <f t="shared" si="361"/>
        <v>OK</v>
      </c>
      <c r="AE894" s="1">
        <v>8</v>
      </c>
      <c r="AF894" s="1">
        <v>4436.74</v>
      </c>
      <c r="AG894" s="9">
        <v>0.05</v>
      </c>
      <c r="AH894" s="9">
        <f t="shared" si="362"/>
        <v>0.05</v>
      </c>
      <c r="AI894" s="1" t="str">
        <f t="shared" si="363"/>
        <v>OK</v>
      </c>
      <c r="AJ894" s="1">
        <v>33719.22</v>
      </c>
      <c r="AK894" s="1">
        <v>28924.43</v>
      </c>
      <c r="AL894" s="1">
        <v>4794.79</v>
      </c>
      <c r="AM894" s="13">
        <f t="shared" si="364"/>
        <v>33719.223999999995</v>
      </c>
      <c r="AN894" s="9">
        <f t="shared" si="365"/>
        <v>4794.7939999999944</v>
      </c>
      <c r="AO894" s="9">
        <f t="shared" si="374"/>
        <v>0.14219763776295669</v>
      </c>
      <c r="AP894" s="1" t="s">
        <v>33</v>
      </c>
      <c r="AQ894" s="1" t="str">
        <f t="shared" si="366"/>
        <v>Paid</v>
      </c>
      <c r="AR894" s="1" t="str">
        <f t="shared" si="367"/>
        <v>OK</v>
      </c>
      <c r="AS894" s="1" t="s">
        <v>34</v>
      </c>
      <c r="AT894" s="4" t="str">
        <f t="shared" si="368"/>
        <v>Completed</v>
      </c>
      <c r="AU894" s="3" t="str">
        <f t="shared" si="369"/>
        <v>OK</v>
      </c>
      <c r="AV894" s="3" t="str">
        <f t="shared" si="375"/>
        <v>CLEAN</v>
      </c>
      <c r="AW894" t="str">
        <f t="shared" si="376"/>
        <v>MATCH</v>
      </c>
      <c r="AX894" t="str">
        <f t="shared" si="377"/>
        <v>MATCH</v>
      </c>
    </row>
    <row r="895" spans="1:50" ht="15.6">
      <c r="A895" s="1" t="s">
        <v>3310</v>
      </c>
      <c r="B895" s="1">
        <f t="shared" si="351"/>
        <v>1</v>
      </c>
      <c r="C895" s="16">
        <v>45763</v>
      </c>
      <c r="D895" s="16">
        <v>45763</v>
      </c>
      <c r="E895" s="16" t="str">
        <f t="shared" si="370"/>
        <v>Apr</v>
      </c>
      <c r="F895" s="1">
        <f t="shared" si="371"/>
        <v>2025</v>
      </c>
      <c r="G895" t="s">
        <v>3546</v>
      </c>
      <c r="H895" s="17">
        <v>45451</v>
      </c>
      <c r="I895" s="21">
        <f t="shared" si="372"/>
        <v>-312</v>
      </c>
      <c r="J895" s="6" t="str">
        <f t="shared" si="373"/>
        <v>INVALID_SHIPPING</v>
      </c>
      <c r="K895" s="1" t="s">
        <v>3312</v>
      </c>
      <c r="L895" s="1" t="s">
        <v>80</v>
      </c>
      <c r="M895" s="1" t="str">
        <f t="shared" si="352"/>
        <v>Vikram Iyer</v>
      </c>
      <c r="N895" s="1" t="s">
        <v>40</v>
      </c>
      <c r="O895" s="1" t="str">
        <f t="shared" si="353"/>
        <v>Small Business</v>
      </c>
      <c r="P895" s="1" t="s">
        <v>26</v>
      </c>
      <c r="Q895" s="1" t="str">
        <f t="shared" si="354"/>
        <v>North</v>
      </c>
      <c r="R895" s="1" t="str">
        <f t="shared" si="355"/>
        <v>OK</v>
      </c>
      <c r="S895" s="1" t="s">
        <v>163</v>
      </c>
      <c r="T895" s="1" t="str">
        <f t="shared" si="356"/>
        <v>Uttar Pradesh</v>
      </c>
      <c r="U895" s="1" t="s">
        <v>164</v>
      </c>
      <c r="V895" s="1" t="str">
        <f t="shared" si="357"/>
        <v>Noida</v>
      </c>
      <c r="W895" s="1" t="s">
        <v>83</v>
      </c>
      <c r="X895" s="1" t="str">
        <f t="shared" si="358"/>
        <v>Technology</v>
      </c>
      <c r="Y895" s="1" t="s">
        <v>347</v>
      </c>
      <c r="Z895" s="1" t="str">
        <f t="shared" si="359"/>
        <v>Machines</v>
      </c>
      <c r="AA895" s="1" t="s">
        <v>3313</v>
      </c>
      <c r="AB895" s="1" t="s">
        <v>55</v>
      </c>
      <c r="AC895" s="1" t="str">
        <f t="shared" si="360"/>
        <v>First Class</v>
      </c>
      <c r="AD895" s="1" t="str">
        <f t="shared" si="361"/>
        <v>OK</v>
      </c>
      <c r="AE895" s="1">
        <v>1</v>
      </c>
      <c r="AF895" s="1">
        <v>2720.17</v>
      </c>
      <c r="AG895" s="9">
        <v>0</v>
      </c>
      <c r="AH895" s="9">
        <f t="shared" si="362"/>
        <v>0</v>
      </c>
      <c r="AI895" s="1" t="str">
        <f t="shared" si="363"/>
        <v>OK</v>
      </c>
      <c r="AJ895" s="1">
        <v>2720.17</v>
      </c>
      <c r="AK895" s="1">
        <v>1834.23</v>
      </c>
      <c r="AL895" s="1">
        <v>885.94</v>
      </c>
      <c r="AM895" s="13">
        <f t="shared" si="364"/>
        <v>2720.17</v>
      </c>
      <c r="AN895" s="9">
        <f t="shared" si="365"/>
        <v>885.94</v>
      </c>
      <c r="AO895" s="9">
        <f t="shared" si="374"/>
        <v>0.3256928794891496</v>
      </c>
      <c r="AP895" s="1" t="s">
        <v>33</v>
      </c>
      <c r="AQ895" s="1" t="str">
        <f t="shared" si="366"/>
        <v>Paid</v>
      </c>
      <c r="AR895" s="1" t="str">
        <f t="shared" si="367"/>
        <v>OK</v>
      </c>
      <c r="AS895" s="1" t="s">
        <v>34</v>
      </c>
      <c r="AT895" s="4" t="str">
        <f t="shared" si="368"/>
        <v>Completed</v>
      </c>
      <c r="AU895" s="3" t="str">
        <f t="shared" si="369"/>
        <v>OK</v>
      </c>
      <c r="AV895" s="3" t="str">
        <f t="shared" si="375"/>
        <v>INVALID</v>
      </c>
      <c r="AW895" t="str">
        <f t="shared" si="376"/>
        <v>MATCH</v>
      </c>
      <c r="AX895" t="str">
        <f t="shared" si="377"/>
        <v>MATCH</v>
      </c>
    </row>
    <row r="896" spans="1:50" ht="15.6">
      <c r="A896" s="1" t="s">
        <v>3314</v>
      </c>
      <c r="B896" s="1">
        <f t="shared" si="351"/>
        <v>1</v>
      </c>
      <c r="C896" s="16">
        <v>45938</v>
      </c>
      <c r="D896" s="16">
        <v>45938</v>
      </c>
      <c r="E896" s="16" t="str">
        <f t="shared" si="370"/>
        <v>Oct</v>
      </c>
      <c r="F896" s="1">
        <f t="shared" si="371"/>
        <v>2025</v>
      </c>
      <c r="G896" t="s">
        <v>3550</v>
      </c>
      <c r="H896" s="17">
        <v>45351</v>
      </c>
      <c r="I896" s="21">
        <f t="shared" si="372"/>
        <v>-587</v>
      </c>
      <c r="J896" s="6" t="str">
        <f t="shared" si="373"/>
        <v>INVALID_SHIPPING</v>
      </c>
      <c r="K896" s="1" t="s">
        <v>3316</v>
      </c>
      <c r="L896" s="1" t="s">
        <v>103</v>
      </c>
      <c r="M896" s="1" t="str">
        <f t="shared" si="352"/>
        <v>Aditi Sen</v>
      </c>
      <c r="N896" s="1" t="s">
        <v>25</v>
      </c>
      <c r="O896" s="1" t="str">
        <f t="shared" si="353"/>
        <v>Consumer</v>
      </c>
      <c r="P896" s="1" t="s">
        <v>71</v>
      </c>
      <c r="Q896" s="1" t="str">
        <f t="shared" si="354"/>
        <v>West</v>
      </c>
      <c r="R896" s="1" t="str">
        <f t="shared" si="355"/>
        <v>OK</v>
      </c>
      <c r="S896" s="1" t="s">
        <v>27</v>
      </c>
      <c r="T896" s="1" t="str">
        <f t="shared" si="356"/>
        <v>Rajasthan</v>
      </c>
      <c r="U896" s="1" t="s">
        <v>129</v>
      </c>
      <c r="V896" s="1" t="str">
        <f t="shared" si="357"/>
        <v>Udaipur</v>
      </c>
      <c r="W896" s="1" t="s">
        <v>83</v>
      </c>
      <c r="X896" s="1" t="str">
        <f t="shared" si="358"/>
        <v>Technology</v>
      </c>
      <c r="Y896" s="1" t="s">
        <v>84</v>
      </c>
      <c r="Z896" s="1" t="str">
        <f t="shared" si="359"/>
        <v>Accessories</v>
      </c>
      <c r="AA896" s="1" t="s">
        <v>3317</v>
      </c>
      <c r="AB896" s="1" t="s">
        <v>65</v>
      </c>
      <c r="AC896" s="1" t="str">
        <f t="shared" si="360"/>
        <v>Standard Class</v>
      </c>
      <c r="AD896" s="1" t="str">
        <f t="shared" si="361"/>
        <v>OK</v>
      </c>
      <c r="AE896" s="1">
        <v>5</v>
      </c>
      <c r="AF896" s="1">
        <v>2190.14</v>
      </c>
      <c r="AG896" s="9">
        <v>0.25</v>
      </c>
      <c r="AH896" s="9">
        <f t="shared" si="362"/>
        <v>0.25</v>
      </c>
      <c r="AI896" s="1" t="str">
        <f t="shared" si="363"/>
        <v>OK</v>
      </c>
      <c r="AJ896" s="1">
        <v>8213.02</v>
      </c>
      <c r="AK896" s="1">
        <v>5569.3</v>
      </c>
      <c r="AL896" s="1">
        <v>2643.72</v>
      </c>
      <c r="AM896" s="13">
        <f t="shared" si="364"/>
        <v>8213.0249999999996</v>
      </c>
      <c r="AN896" s="9">
        <f t="shared" si="365"/>
        <v>2643.7249999999995</v>
      </c>
      <c r="AO896" s="9">
        <f t="shared" si="374"/>
        <v>0.32189418636860345</v>
      </c>
      <c r="AP896" s="1" t="s">
        <v>33</v>
      </c>
      <c r="AQ896" s="1" t="str">
        <f t="shared" si="366"/>
        <v>Paid</v>
      </c>
      <c r="AR896" s="1" t="str">
        <f t="shared" si="367"/>
        <v>OK</v>
      </c>
      <c r="AS896" s="1" t="s">
        <v>34</v>
      </c>
      <c r="AT896" s="4" t="str">
        <f t="shared" si="368"/>
        <v>Completed</v>
      </c>
      <c r="AU896" s="3" t="str">
        <f t="shared" si="369"/>
        <v>OK</v>
      </c>
      <c r="AV896" s="3" t="str">
        <f t="shared" si="375"/>
        <v>INVALID</v>
      </c>
      <c r="AW896" t="str">
        <f t="shared" si="376"/>
        <v>MISMATCH</v>
      </c>
      <c r="AX896" t="str">
        <f t="shared" si="377"/>
        <v>MISMATCH</v>
      </c>
    </row>
    <row r="897" spans="1:50" ht="15.6">
      <c r="A897" s="1" t="s">
        <v>3321</v>
      </c>
      <c r="B897" s="1">
        <f t="shared" si="351"/>
        <v>1</v>
      </c>
      <c r="C897" s="16">
        <v>45940</v>
      </c>
      <c r="D897" s="16">
        <v>45940</v>
      </c>
      <c r="E897" s="16" t="str">
        <f t="shared" si="370"/>
        <v>Oct</v>
      </c>
      <c r="F897" s="1">
        <f t="shared" si="371"/>
        <v>2025</v>
      </c>
      <c r="G897" t="s">
        <v>101</v>
      </c>
      <c r="H897" s="17">
        <v>45606</v>
      </c>
      <c r="I897" s="21">
        <f t="shared" si="372"/>
        <v>-334</v>
      </c>
      <c r="J897" s="6" t="str">
        <f t="shared" si="373"/>
        <v>INVALID_SHIPPING</v>
      </c>
      <c r="K897" s="1" t="s">
        <v>3323</v>
      </c>
      <c r="L897" s="1" t="s">
        <v>24</v>
      </c>
      <c r="M897" s="1" t="str">
        <f t="shared" si="352"/>
        <v>Karan Malhotra</v>
      </c>
      <c r="N897" s="1" t="s">
        <v>104</v>
      </c>
      <c r="O897" s="1" t="str">
        <f t="shared" si="353"/>
        <v>Corporate</v>
      </c>
      <c r="P897" s="1" t="s">
        <v>41</v>
      </c>
      <c r="Q897" s="1" t="str">
        <f t="shared" si="354"/>
        <v>East</v>
      </c>
      <c r="R897" s="1" t="str">
        <f t="shared" si="355"/>
        <v>OK</v>
      </c>
      <c r="S897" s="1" t="s">
        <v>42</v>
      </c>
      <c r="T897" s="1" t="str">
        <f t="shared" si="356"/>
        <v>Odisha</v>
      </c>
      <c r="U897" s="1" t="s">
        <v>43</v>
      </c>
      <c r="V897" s="1" t="str">
        <f t="shared" si="357"/>
        <v>Bhubaneswar</v>
      </c>
      <c r="W897" s="1" t="s">
        <v>44</v>
      </c>
      <c r="X897" s="1" t="str">
        <f t="shared" si="358"/>
        <v>Furniture</v>
      </c>
      <c r="Y897" s="1" t="s">
        <v>74</v>
      </c>
      <c r="Z897" s="1" t="str">
        <f t="shared" si="359"/>
        <v>Chairs</v>
      </c>
      <c r="AA897" s="1" t="s">
        <v>3324</v>
      </c>
      <c r="AB897" s="1" t="s">
        <v>32</v>
      </c>
      <c r="AC897" s="1" t="str">
        <f t="shared" si="360"/>
        <v>Second Class</v>
      </c>
      <c r="AD897" s="1" t="str">
        <f t="shared" si="361"/>
        <v>OK</v>
      </c>
      <c r="AE897" s="1">
        <v>7</v>
      </c>
      <c r="AF897" s="1">
        <v>3791.96</v>
      </c>
      <c r="AG897" s="9">
        <v>0.05</v>
      </c>
      <c r="AH897" s="9">
        <f t="shared" si="362"/>
        <v>0.05</v>
      </c>
      <c r="AI897" s="1" t="str">
        <f t="shared" si="363"/>
        <v>OK</v>
      </c>
      <c r="AJ897" s="1">
        <v>25216.53</v>
      </c>
      <c r="AK897" s="1">
        <v>14216.94</v>
      </c>
      <c r="AL897" s="1">
        <v>10999.59</v>
      </c>
      <c r="AM897" s="13">
        <f t="shared" si="364"/>
        <v>25216.534</v>
      </c>
      <c r="AN897" s="9">
        <f t="shared" si="365"/>
        <v>10999.593999999999</v>
      </c>
      <c r="AO897" s="9">
        <f t="shared" si="374"/>
        <v>0.4362056260388521</v>
      </c>
      <c r="AP897" s="1" t="s">
        <v>186</v>
      </c>
      <c r="AQ897" s="1" t="str">
        <f t="shared" si="366"/>
        <v>Failed</v>
      </c>
      <c r="AR897" s="1" t="str">
        <f t="shared" si="367"/>
        <v>EXCLUDE_FROM_SALES</v>
      </c>
      <c r="AS897" s="1" t="s">
        <v>76</v>
      </c>
      <c r="AT897" s="4" t="str">
        <f t="shared" si="368"/>
        <v>Cancelled</v>
      </c>
      <c r="AU897" s="3" t="str">
        <f t="shared" si="369"/>
        <v>EXCLUDE_FROM_SALES</v>
      </c>
      <c r="AV897" s="3" t="str">
        <f t="shared" si="375"/>
        <v>INVALID</v>
      </c>
      <c r="AW897" t="str">
        <f t="shared" si="376"/>
        <v>MATCH</v>
      </c>
      <c r="AX897" t="str">
        <f t="shared" si="377"/>
        <v>MATCH</v>
      </c>
    </row>
    <row r="898" spans="1:50" ht="15.6">
      <c r="A898" s="1" t="s">
        <v>3328</v>
      </c>
      <c r="B898" s="1">
        <f t="shared" ref="B898:B961" si="378">COUNTIF($A:$A,A898)</f>
        <v>1</v>
      </c>
      <c r="C898" s="16">
        <v>45853</v>
      </c>
      <c r="D898" s="16">
        <v>45853</v>
      </c>
      <c r="E898" s="16" t="str">
        <f t="shared" si="370"/>
        <v>Jul</v>
      </c>
      <c r="F898" s="1">
        <f t="shared" si="371"/>
        <v>2025</v>
      </c>
      <c r="G898" t="s">
        <v>2068</v>
      </c>
      <c r="H898" s="17">
        <v>45651</v>
      </c>
      <c r="I898" s="21">
        <f t="shared" si="372"/>
        <v>-202</v>
      </c>
      <c r="J898" s="6" t="str">
        <f t="shared" si="373"/>
        <v>INVALID_SHIPPING</v>
      </c>
      <c r="K898" s="1" t="s">
        <v>3329</v>
      </c>
      <c r="L898" s="1" t="s">
        <v>103</v>
      </c>
      <c r="M898" s="1" t="str">
        <f t="shared" ref="M898:M961" si="379">PROPER(TRIM(SUBSTITUTE(L898,CHAR(160)," ")))</f>
        <v>Aditi Sen</v>
      </c>
      <c r="N898" s="1" t="s">
        <v>40</v>
      </c>
      <c r="O898" s="1" t="str">
        <f t="shared" ref="O898:O961" si="380">PROPER(TRIM(SUBSTITUTE(N898,CHAR(160)," ")))</f>
        <v>Small Business</v>
      </c>
      <c r="P898" s="1"/>
      <c r="Q898" s="1" t="str">
        <f t="shared" ref="Q898:Q961" si="381">IF(TRIM(P898)="","Unknown",PROPER(TRIM(P898)))</f>
        <v>Unknown</v>
      </c>
      <c r="R898" s="1" t="str">
        <f t="shared" ref="R898:R961" si="382">IF(Q898="Unknown","MISSING_REGION","OK")</f>
        <v>MISSING_REGION</v>
      </c>
      <c r="S898" s="1" t="s">
        <v>309</v>
      </c>
      <c r="T898" s="1" t="str">
        <f t="shared" ref="T898:T961" si="383">PROPER(TRIM(SUBSTITUTE(S898,CHAR(160)," ")))</f>
        <v>Tamil Nadu</v>
      </c>
      <c r="U898" s="1" t="s">
        <v>310</v>
      </c>
      <c r="V898" s="1" t="str">
        <f t="shared" ref="V898:V961" si="384">PROPER(TRIM(SUBSTITUTE(U898,CHAR(160)," ")))</f>
        <v>Chennai</v>
      </c>
      <c r="W898" s="1" t="s">
        <v>83</v>
      </c>
      <c r="X898" s="1" t="str">
        <f t="shared" ref="X898:X961" si="385">PROPER(TRIM(SUBSTITUTE(W898,CHAR(160)," ")))</f>
        <v>Technology</v>
      </c>
      <c r="Y898" s="1" t="s">
        <v>347</v>
      </c>
      <c r="Z898" s="1" t="str">
        <f t="shared" ref="Z898:Z961" si="386">PROPER(TRIM(SUBSTITUTE(Y898,CHAR(160)," ")))</f>
        <v>Machines</v>
      </c>
      <c r="AA898" s="1" t="s">
        <v>3330</v>
      </c>
      <c r="AB898" s="1" t="s">
        <v>55</v>
      </c>
      <c r="AC898" s="1" t="str">
        <f t="shared" ref="AC898:AC961" si="387">IF(TRIM(AB898)="","Unknown",PROPER(TRIM(AB898)))</f>
        <v>First Class</v>
      </c>
      <c r="AD898" s="1" t="str">
        <f t="shared" ref="AD898:AD961" si="388">IF(AC898="Unknown","MISSING_SHIP_MODE","OK")</f>
        <v>OK</v>
      </c>
      <c r="AE898" s="1">
        <v>6</v>
      </c>
      <c r="AF898" s="1">
        <v>2382.88</v>
      </c>
      <c r="AG898" s="9">
        <v>0.1</v>
      </c>
      <c r="AH898" s="9">
        <f t="shared" ref="AH898:AH961" si="389">IF(RIGHT(AG898,1)="%",VALUE(SUBSTITUTE(AG898,"%",""))/100,AG898)</f>
        <v>0.1</v>
      </c>
      <c r="AI898" s="1" t="str">
        <f t="shared" ref="AI898:AI933" si="390">IF(AG898="","Missing Discount",
IF(AG898&lt;0,"Invalid Negative Discount",
"OK"))</f>
        <v>OK</v>
      </c>
      <c r="AJ898" s="1">
        <v>12867.55</v>
      </c>
      <c r="AK898" s="1">
        <v>10068.94</v>
      </c>
      <c r="AL898" s="1">
        <v>2798.61</v>
      </c>
      <c r="AM898" s="13">
        <f t="shared" ref="AM898:AM933" si="391">IF(AH898&lt;0,"INVALID",AE898*AF898*(1-AH898))</f>
        <v>12867.552000000001</v>
      </c>
      <c r="AN898" s="9">
        <f t="shared" ref="AN898:AN961" si="392">IF(AM898="INVALID","INVALID",
AM898-AK898)</f>
        <v>2798.612000000001</v>
      </c>
      <c r="AO898" s="9">
        <f t="shared" si="374"/>
        <v>0.21749373929089236</v>
      </c>
      <c r="AP898" s="1" t="s">
        <v>33</v>
      </c>
      <c r="AQ898" s="1" t="str">
        <f t="shared" ref="AQ898:AQ961" si="393">PROPER(TRIM(SUBSTITUTE(AP898,CHAR(160)," ")))</f>
        <v>Paid</v>
      </c>
      <c r="AR898" s="1" t="str">
        <f t="shared" ref="AR898:AR961" si="394">IF(AQ898="Failed","EXCLUDE_FROM_SALES",
IF(AQ898="Refunded","REFUNDED_PAYMENT",
"OK"))</f>
        <v>OK</v>
      </c>
      <c r="AS898" s="1" t="s">
        <v>34</v>
      </c>
      <c r="AT898" s="4" t="str">
        <f t="shared" ref="AT898:AT961" si="395">PROPER(TRIM(SUBSTITUTE(AS898,CHAR(160)," ")))</f>
        <v>Completed</v>
      </c>
      <c r="AU898" s="3" t="str">
        <f t="shared" ref="AU898:AU961" si="396">IF(AT898="Cancelled","EXCLUDE_FROM_SALES",
IF(AT898="Returned","RETURNED_ORDER",
"OK"))</f>
        <v>OK</v>
      </c>
      <c r="AV898" s="3" t="str">
        <f t="shared" si="375"/>
        <v>INVALID</v>
      </c>
      <c r="AW898" t="str">
        <f t="shared" si="376"/>
        <v>MATCH</v>
      </c>
      <c r="AX898" t="str">
        <f t="shared" si="377"/>
        <v>MATCH</v>
      </c>
    </row>
    <row r="899" spans="1:50" ht="15.6" hidden="1">
      <c r="A899" s="1" t="s">
        <v>3331</v>
      </c>
      <c r="B899" s="1">
        <f t="shared" si="378"/>
        <v>1</v>
      </c>
      <c r="C899" s="16">
        <v>45720</v>
      </c>
      <c r="D899" s="16">
        <v>45720</v>
      </c>
      <c r="E899" s="16" t="str">
        <f t="shared" ref="E899:E933" si="397">TEXT(D899,"mmm")</f>
        <v>Mar</v>
      </c>
      <c r="F899" s="1">
        <f t="shared" ref="F899:F933" si="398">YEAR(D899)</f>
        <v>2025</v>
      </c>
      <c r="G899" t="s">
        <v>3560</v>
      </c>
      <c r="H899" s="17">
        <v>45780</v>
      </c>
      <c r="I899" s="21">
        <f t="shared" ref="I899:I933" si="399">H899-D899</f>
        <v>60</v>
      </c>
      <c r="J899" s="6" t="str">
        <f t="shared" ref="J899:J933" si="400">IF(I899&lt;0,"INVALID_SHIPPING","OK")</f>
        <v>OK</v>
      </c>
      <c r="K899" s="1" t="s">
        <v>3332</v>
      </c>
      <c r="L899" s="1" t="s">
        <v>196</v>
      </c>
      <c r="M899" s="1" t="str">
        <f t="shared" si="379"/>
        <v>Diya Patel</v>
      </c>
      <c r="N899" s="1" t="s">
        <v>110</v>
      </c>
      <c r="O899" s="1" t="str">
        <f t="shared" si="380"/>
        <v>Home Office</v>
      </c>
      <c r="P899" s="1"/>
      <c r="Q899" s="1" t="str">
        <f t="shared" si="381"/>
        <v>Unknown</v>
      </c>
      <c r="R899" s="1" t="str">
        <f t="shared" si="382"/>
        <v>MISSING_REGION</v>
      </c>
      <c r="S899" s="1" t="s">
        <v>294</v>
      </c>
      <c r="T899" s="1" t="str">
        <f t="shared" si="383"/>
        <v>Haryana</v>
      </c>
      <c r="U899" s="1" t="s">
        <v>295</v>
      </c>
      <c r="V899" s="1" t="str">
        <f t="shared" si="384"/>
        <v>Gurugram</v>
      </c>
      <c r="W899" s="1" t="s">
        <v>44</v>
      </c>
      <c r="X899" s="1" t="str">
        <f t="shared" si="385"/>
        <v>Furniture</v>
      </c>
      <c r="Y899" s="1" t="s">
        <v>74</v>
      </c>
      <c r="Z899" s="1" t="str">
        <f t="shared" si="386"/>
        <v>Chairs</v>
      </c>
      <c r="AA899" s="1" t="s">
        <v>3333</v>
      </c>
      <c r="AB899" s="1" t="s">
        <v>55</v>
      </c>
      <c r="AC899" s="1" t="str">
        <f t="shared" si="387"/>
        <v>First Class</v>
      </c>
      <c r="AD899" s="1" t="str">
        <f t="shared" si="388"/>
        <v>OK</v>
      </c>
      <c r="AE899" s="1">
        <v>9</v>
      </c>
      <c r="AF899" s="1">
        <v>3462.7</v>
      </c>
      <c r="AG899" s="9">
        <v>0.15</v>
      </c>
      <c r="AH899" s="9">
        <f t="shared" si="389"/>
        <v>0.15</v>
      </c>
      <c r="AI899" s="1" t="str">
        <f t="shared" si="390"/>
        <v>OK</v>
      </c>
      <c r="AJ899" s="1">
        <v>26489.65</v>
      </c>
      <c r="AK899" s="1">
        <v>15818.46</v>
      </c>
      <c r="AL899" s="1">
        <v>10671.19</v>
      </c>
      <c r="AM899" s="13">
        <f t="shared" si="391"/>
        <v>26489.654999999999</v>
      </c>
      <c r="AN899" s="9">
        <f t="shared" si="392"/>
        <v>10671.195</v>
      </c>
      <c r="AO899" s="9">
        <f t="shared" ref="AO899:AO933" si="401">IF(OR(AM899="INVALID",AN899="INVALID"),"",AN899/AM899)</f>
        <v>0.40284386489744772</v>
      </c>
      <c r="AP899" s="1" t="s">
        <v>186</v>
      </c>
      <c r="AQ899" s="1" t="str">
        <f t="shared" si="393"/>
        <v>Failed</v>
      </c>
      <c r="AR899" s="1" t="str">
        <f t="shared" si="394"/>
        <v>EXCLUDE_FROM_SALES</v>
      </c>
      <c r="AS899" s="1" t="s">
        <v>120</v>
      </c>
      <c r="AT899" s="4" t="str">
        <f t="shared" si="395"/>
        <v>Returned</v>
      </c>
      <c r="AU899" s="3" t="str">
        <f t="shared" si="396"/>
        <v>RETURNED_ORDER</v>
      </c>
      <c r="AV899" s="3" t="str">
        <f t="shared" ref="AV899:AV933" si="402">IF(OR(AI899&lt;&gt;"OK",J899="INVALID_SHIPPING"),
"INVALID",
IF(OR(R899&lt;&gt;"OK",AD899&lt;&gt;"OK"),
"WARNING",
"CLEAN"))</f>
        <v>WARNING</v>
      </c>
      <c r="AW899" t="str">
        <f t="shared" ref="AW899:AW933" si="403">IF(AM899="INVALID","INVALID",
IF(ROUND(AJ899,2)=ROUND(AM899,2),"MATCH","MISMATCH"))</f>
        <v>MISMATCH</v>
      </c>
      <c r="AX899" t="str">
        <f t="shared" ref="AX899:AX933" si="404">IF(AN899="INVALID","INVALID",IF(ROUND(AL899,2)=ROUND(AN899,2),"MATCH","MISMATCH"))</f>
        <v>MISMATCH</v>
      </c>
    </row>
    <row r="900" spans="1:50" ht="15.6">
      <c r="A900" s="1" t="s">
        <v>3334</v>
      </c>
      <c r="B900" s="1">
        <f t="shared" si="378"/>
        <v>1</v>
      </c>
      <c r="C900" s="16">
        <v>45803</v>
      </c>
      <c r="D900" s="16">
        <v>45803</v>
      </c>
      <c r="E900" s="16" t="str">
        <f t="shared" si="397"/>
        <v>May</v>
      </c>
      <c r="F900" s="1">
        <f t="shared" si="398"/>
        <v>2025</v>
      </c>
      <c r="G900" t="s">
        <v>49</v>
      </c>
      <c r="H900" s="17">
        <v>45451</v>
      </c>
      <c r="I900" s="21">
        <f t="shared" si="399"/>
        <v>-352</v>
      </c>
      <c r="J900" s="6" t="str">
        <f t="shared" si="400"/>
        <v>INVALID_SHIPPING</v>
      </c>
      <c r="K900" s="1" t="s">
        <v>3336</v>
      </c>
      <c r="L900" s="1" t="s">
        <v>334</v>
      </c>
      <c r="M900" s="1" t="str">
        <f t="shared" si="379"/>
        <v>Kabir Singh</v>
      </c>
      <c r="N900" s="1" t="s">
        <v>40</v>
      </c>
      <c r="O900" s="1" t="str">
        <f t="shared" si="380"/>
        <v>Small Business</v>
      </c>
      <c r="P900" s="1" t="s">
        <v>60</v>
      </c>
      <c r="Q900" s="1" t="str">
        <f t="shared" si="381"/>
        <v>South</v>
      </c>
      <c r="R900" s="1" t="str">
        <f t="shared" si="382"/>
        <v>OK</v>
      </c>
      <c r="S900" s="1" t="s">
        <v>97</v>
      </c>
      <c r="T900" s="1" t="str">
        <f t="shared" si="383"/>
        <v>Andhra Pradesh</v>
      </c>
      <c r="U900" s="1" t="s">
        <v>98</v>
      </c>
      <c r="V900" s="1" t="str">
        <f t="shared" si="384"/>
        <v>Vijayawada</v>
      </c>
      <c r="W900" s="1" t="s">
        <v>83</v>
      </c>
      <c r="X900" s="1" t="str">
        <f t="shared" si="385"/>
        <v>Technology</v>
      </c>
      <c r="Y900" s="1" t="s">
        <v>207</v>
      </c>
      <c r="Z900" s="1" t="str">
        <f t="shared" si="386"/>
        <v>Phones</v>
      </c>
      <c r="AA900" s="1" t="s">
        <v>3337</v>
      </c>
      <c r="AB900" s="1" t="s">
        <v>32</v>
      </c>
      <c r="AC900" s="1" t="str">
        <f t="shared" si="387"/>
        <v>Second Class</v>
      </c>
      <c r="AD900" s="1" t="str">
        <f t="shared" si="388"/>
        <v>OK</v>
      </c>
      <c r="AE900" s="1">
        <v>9</v>
      </c>
      <c r="AF900" s="1">
        <v>4302.0200000000004</v>
      </c>
      <c r="AG900" s="9">
        <v>0.05</v>
      </c>
      <c r="AH900" s="9">
        <f t="shared" si="389"/>
        <v>0.05</v>
      </c>
      <c r="AI900" s="1" t="str">
        <f t="shared" si="390"/>
        <v>OK</v>
      </c>
      <c r="AJ900" s="1">
        <v>36782.269999999997</v>
      </c>
      <c r="AK900" s="1">
        <v>25902.81</v>
      </c>
      <c r="AL900" s="1">
        <v>10879.46</v>
      </c>
      <c r="AM900" s="13">
        <f t="shared" si="391"/>
        <v>36782.271000000008</v>
      </c>
      <c r="AN900" s="9">
        <f t="shared" si="392"/>
        <v>10879.461000000007</v>
      </c>
      <c r="AO900" s="9">
        <f t="shared" si="401"/>
        <v>0.29578002402298664</v>
      </c>
      <c r="AP900" s="1" t="s">
        <v>33</v>
      </c>
      <c r="AQ900" s="1" t="str">
        <f t="shared" si="393"/>
        <v>Paid</v>
      </c>
      <c r="AR900" s="1" t="str">
        <f t="shared" si="394"/>
        <v>OK</v>
      </c>
      <c r="AS900" s="1" t="s">
        <v>34</v>
      </c>
      <c r="AT900" s="4" t="str">
        <f t="shared" si="395"/>
        <v>Completed</v>
      </c>
      <c r="AU900" s="3" t="str">
        <f t="shared" si="396"/>
        <v>OK</v>
      </c>
      <c r="AV900" s="3" t="str">
        <f t="shared" si="402"/>
        <v>INVALID</v>
      </c>
      <c r="AW900" t="str">
        <f t="shared" si="403"/>
        <v>MATCH</v>
      </c>
      <c r="AX900" t="str">
        <f t="shared" si="404"/>
        <v>MATCH</v>
      </c>
    </row>
    <row r="901" spans="1:50" ht="15.6">
      <c r="A901" s="1" t="s">
        <v>3346</v>
      </c>
      <c r="B901" s="1">
        <f t="shared" si="378"/>
        <v>1</v>
      </c>
      <c r="C901" s="16">
        <v>45926</v>
      </c>
      <c r="D901" s="16">
        <v>45926</v>
      </c>
      <c r="E901" s="16" t="str">
        <f t="shared" si="397"/>
        <v>Sep</v>
      </c>
      <c r="F901" s="1">
        <f t="shared" si="398"/>
        <v>2025</v>
      </c>
      <c r="G901" t="s">
        <v>3566</v>
      </c>
      <c r="H901" s="17">
        <v>45811</v>
      </c>
      <c r="I901" s="21">
        <f t="shared" si="399"/>
        <v>-115</v>
      </c>
      <c r="J901" s="6" t="str">
        <f t="shared" si="400"/>
        <v>INVALID_SHIPPING</v>
      </c>
      <c r="K901" s="1" t="s">
        <v>3347</v>
      </c>
      <c r="L901" s="1" t="s">
        <v>136</v>
      </c>
      <c r="M901" s="1" t="str">
        <f t="shared" si="379"/>
        <v>Priya Menon</v>
      </c>
      <c r="N901" s="1" t="s">
        <v>40</v>
      </c>
      <c r="O901" s="1" t="str">
        <f t="shared" si="380"/>
        <v>Small Business</v>
      </c>
      <c r="P901" s="1" t="s">
        <v>41</v>
      </c>
      <c r="Q901" s="1" t="str">
        <f t="shared" si="381"/>
        <v>East</v>
      </c>
      <c r="R901" s="1" t="str">
        <f t="shared" si="382"/>
        <v>OK</v>
      </c>
      <c r="S901" s="1" t="s">
        <v>201</v>
      </c>
      <c r="T901" s="1" t="str">
        <f t="shared" si="383"/>
        <v>Assam</v>
      </c>
      <c r="U901" s="1" t="s">
        <v>202</v>
      </c>
      <c r="V901" s="1" t="str">
        <f t="shared" si="384"/>
        <v>Guwahati</v>
      </c>
      <c r="W901" s="1" t="s">
        <v>83</v>
      </c>
      <c r="X901" s="1" t="str">
        <f t="shared" si="385"/>
        <v>Technology</v>
      </c>
      <c r="Y901" s="1" t="s">
        <v>207</v>
      </c>
      <c r="Z901" s="1" t="str">
        <f t="shared" si="386"/>
        <v>Phones</v>
      </c>
      <c r="AA901" s="1" t="s">
        <v>3348</v>
      </c>
      <c r="AB901" s="1" t="s">
        <v>32</v>
      </c>
      <c r="AC901" s="1" t="str">
        <f t="shared" si="387"/>
        <v>Second Class</v>
      </c>
      <c r="AD901" s="1" t="str">
        <f t="shared" si="388"/>
        <v>OK</v>
      </c>
      <c r="AE901" s="1">
        <v>7</v>
      </c>
      <c r="AF901" s="1">
        <v>1509.59</v>
      </c>
      <c r="AG901" s="9">
        <v>0.05</v>
      </c>
      <c r="AH901" s="9">
        <f t="shared" si="389"/>
        <v>0.05</v>
      </c>
      <c r="AI901" s="1" t="str">
        <f t="shared" si="390"/>
        <v>OK</v>
      </c>
      <c r="AJ901" s="1">
        <v>10038.77</v>
      </c>
      <c r="AK901" s="1">
        <v>5673.1</v>
      </c>
      <c r="AL901" s="1">
        <v>4365.67</v>
      </c>
      <c r="AM901" s="13">
        <f t="shared" si="391"/>
        <v>10038.773499999999</v>
      </c>
      <c r="AN901" s="9">
        <f t="shared" si="392"/>
        <v>4365.673499999999</v>
      </c>
      <c r="AO901" s="9">
        <f t="shared" si="401"/>
        <v>0.43488116352062323</v>
      </c>
      <c r="AP901" s="1" t="s">
        <v>33</v>
      </c>
      <c r="AQ901" s="1" t="str">
        <f t="shared" si="393"/>
        <v>Paid</v>
      </c>
      <c r="AR901" s="1" t="str">
        <f t="shared" si="394"/>
        <v>OK</v>
      </c>
      <c r="AS901" s="1" t="s">
        <v>34</v>
      </c>
      <c r="AT901" s="4" t="str">
        <f t="shared" si="395"/>
        <v>Completed</v>
      </c>
      <c r="AU901" s="3" t="str">
        <f t="shared" si="396"/>
        <v>OK</v>
      </c>
      <c r="AV901" s="3" t="str">
        <f t="shared" si="402"/>
        <v>INVALID</v>
      </c>
      <c r="AW901" t="str">
        <f t="shared" si="403"/>
        <v>MATCH</v>
      </c>
      <c r="AX901" t="str">
        <f t="shared" si="404"/>
        <v>MATCH</v>
      </c>
    </row>
    <row r="902" spans="1:50" ht="15.6">
      <c r="A902" s="1" t="s">
        <v>3353</v>
      </c>
      <c r="B902" s="1">
        <f t="shared" si="378"/>
        <v>1</v>
      </c>
      <c r="C902" s="16">
        <v>45927</v>
      </c>
      <c r="D902" s="16">
        <v>45927</v>
      </c>
      <c r="E902" s="16" t="str">
        <f t="shared" si="397"/>
        <v>Sep</v>
      </c>
      <c r="F902" s="1">
        <f t="shared" si="398"/>
        <v>2025</v>
      </c>
      <c r="G902" t="s">
        <v>2143</v>
      </c>
      <c r="H902" s="17">
        <v>45391</v>
      </c>
      <c r="I902" s="21">
        <f t="shared" si="399"/>
        <v>-536</v>
      </c>
      <c r="J902" s="6" t="str">
        <f t="shared" si="400"/>
        <v>INVALID_SHIPPING</v>
      </c>
      <c r="K902" s="1" t="s">
        <v>3355</v>
      </c>
      <c r="L902" s="1" t="s">
        <v>24</v>
      </c>
      <c r="M902" s="1" t="str">
        <f t="shared" si="379"/>
        <v>Karan Malhotra</v>
      </c>
      <c r="N902" s="1" t="s">
        <v>110</v>
      </c>
      <c r="O902" s="1" t="str">
        <f t="shared" si="380"/>
        <v>Home Office</v>
      </c>
      <c r="P902" s="1" t="s">
        <v>71</v>
      </c>
      <c r="Q902" s="1" t="str">
        <f t="shared" si="381"/>
        <v>West</v>
      </c>
      <c r="R902" s="1" t="str">
        <f t="shared" si="382"/>
        <v>OK</v>
      </c>
      <c r="S902" s="1" t="s">
        <v>72</v>
      </c>
      <c r="T902" s="1" t="str">
        <f t="shared" si="383"/>
        <v>Maharashtra</v>
      </c>
      <c r="U902" s="1" t="s">
        <v>73</v>
      </c>
      <c r="V902" s="1" t="str">
        <f t="shared" si="384"/>
        <v>Mumbai</v>
      </c>
      <c r="W902" s="1" t="s">
        <v>29</v>
      </c>
      <c r="X902" s="1" t="str">
        <f t="shared" si="385"/>
        <v>Office Supplies</v>
      </c>
      <c r="Y902" s="1" t="s">
        <v>30</v>
      </c>
      <c r="Z902" s="1" t="str">
        <f t="shared" si="386"/>
        <v>Paper</v>
      </c>
      <c r="AA902" s="1" t="s">
        <v>3356</v>
      </c>
      <c r="AB902" s="1" t="s">
        <v>55</v>
      </c>
      <c r="AC902" s="1" t="str">
        <f t="shared" si="387"/>
        <v>First Class</v>
      </c>
      <c r="AD902" s="1" t="str">
        <f t="shared" si="388"/>
        <v>OK</v>
      </c>
      <c r="AE902" s="1">
        <v>3</v>
      </c>
      <c r="AF902" s="1">
        <v>4177.63</v>
      </c>
      <c r="AG902" s="9">
        <v>0.25</v>
      </c>
      <c r="AH902" s="9">
        <f t="shared" si="389"/>
        <v>0.25</v>
      </c>
      <c r="AI902" s="1" t="str">
        <f t="shared" si="390"/>
        <v>OK</v>
      </c>
      <c r="AJ902" s="1">
        <v>9399.67</v>
      </c>
      <c r="AK902" s="1">
        <v>6540.37</v>
      </c>
      <c r="AL902" s="1">
        <v>2859.3</v>
      </c>
      <c r="AM902" s="13">
        <f t="shared" si="391"/>
        <v>9399.6674999999996</v>
      </c>
      <c r="AN902" s="9">
        <f t="shared" si="392"/>
        <v>2859.2974999999997</v>
      </c>
      <c r="AO902" s="9">
        <f t="shared" si="401"/>
        <v>0.30419134506619516</v>
      </c>
      <c r="AP902" s="1" t="s">
        <v>33</v>
      </c>
      <c r="AQ902" s="1" t="str">
        <f t="shared" si="393"/>
        <v>Paid</v>
      </c>
      <c r="AR902" s="1" t="str">
        <f t="shared" si="394"/>
        <v>OK</v>
      </c>
      <c r="AS902" s="1" t="s">
        <v>34</v>
      </c>
      <c r="AT902" s="4" t="str">
        <f t="shared" si="395"/>
        <v>Completed</v>
      </c>
      <c r="AU902" s="3" t="str">
        <f t="shared" si="396"/>
        <v>OK</v>
      </c>
      <c r="AV902" s="3" t="str">
        <f t="shared" si="402"/>
        <v>INVALID</v>
      </c>
      <c r="AW902" t="str">
        <f t="shared" si="403"/>
        <v>MATCH</v>
      </c>
      <c r="AX902" t="str">
        <f t="shared" si="404"/>
        <v>MATCH</v>
      </c>
    </row>
    <row r="903" spans="1:50" ht="15.6">
      <c r="A903" s="1" t="s">
        <v>3357</v>
      </c>
      <c r="B903" s="1">
        <f t="shared" si="378"/>
        <v>1</v>
      </c>
      <c r="C903" s="16">
        <v>45720</v>
      </c>
      <c r="D903" s="16">
        <v>45720</v>
      </c>
      <c r="E903" s="16" t="str">
        <f t="shared" si="397"/>
        <v>Mar</v>
      </c>
      <c r="F903" s="1">
        <f t="shared" si="398"/>
        <v>2025</v>
      </c>
      <c r="G903" t="s">
        <v>2508</v>
      </c>
      <c r="H903" s="17">
        <v>45528</v>
      </c>
      <c r="I903" s="21">
        <f t="shared" si="399"/>
        <v>-192</v>
      </c>
      <c r="J903" s="6" t="str">
        <f t="shared" si="400"/>
        <v>INVALID_SHIPPING</v>
      </c>
      <c r="K903" s="1" t="s">
        <v>3359</v>
      </c>
      <c r="L903" s="1" t="s">
        <v>70</v>
      </c>
      <c r="M903" s="1" t="str">
        <f t="shared" si="379"/>
        <v>Ananya Rao</v>
      </c>
      <c r="N903" s="1" t="s">
        <v>40</v>
      </c>
      <c r="O903" s="1" t="str">
        <f t="shared" si="380"/>
        <v>Small Business</v>
      </c>
      <c r="P903" s="1" t="s">
        <v>71</v>
      </c>
      <c r="Q903" s="1" t="str">
        <f t="shared" si="381"/>
        <v>West</v>
      </c>
      <c r="R903" s="1" t="str">
        <f t="shared" si="382"/>
        <v>OK</v>
      </c>
      <c r="S903" s="1" t="s">
        <v>230</v>
      </c>
      <c r="T903" s="1" t="str">
        <f t="shared" si="383"/>
        <v>Goa</v>
      </c>
      <c r="U903" s="1" t="s">
        <v>231</v>
      </c>
      <c r="V903" s="1" t="str">
        <f t="shared" si="384"/>
        <v>Panaji</v>
      </c>
      <c r="W903" s="1" t="s">
        <v>29</v>
      </c>
      <c r="X903" s="1" t="str">
        <f t="shared" si="385"/>
        <v>Office Supplies</v>
      </c>
      <c r="Y903" s="1" t="s">
        <v>30</v>
      </c>
      <c r="Z903" s="1" t="str">
        <f t="shared" si="386"/>
        <v>Paper</v>
      </c>
      <c r="AA903" s="1" t="s">
        <v>3360</v>
      </c>
      <c r="AB903" s="1" t="s">
        <v>47</v>
      </c>
      <c r="AC903" s="1" t="str">
        <f t="shared" si="387"/>
        <v>Same Day</v>
      </c>
      <c r="AD903" s="1" t="str">
        <f t="shared" si="388"/>
        <v>OK</v>
      </c>
      <c r="AE903" s="1">
        <v>1</v>
      </c>
      <c r="AF903" s="1">
        <v>1470.57</v>
      </c>
      <c r="AG903" s="9">
        <v>0</v>
      </c>
      <c r="AH903" s="9">
        <f t="shared" si="389"/>
        <v>0</v>
      </c>
      <c r="AI903" s="1" t="str">
        <f t="shared" si="390"/>
        <v>OK</v>
      </c>
      <c r="AJ903" s="1">
        <v>1470.57</v>
      </c>
      <c r="AK903" s="1">
        <v>834.02</v>
      </c>
      <c r="AL903" s="1">
        <v>636.54999999999995</v>
      </c>
      <c r="AM903" s="13">
        <f t="shared" si="391"/>
        <v>1470.57</v>
      </c>
      <c r="AN903" s="9">
        <f t="shared" si="392"/>
        <v>636.54999999999995</v>
      </c>
      <c r="AO903" s="9">
        <f t="shared" si="401"/>
        <v>0.43285936745615644</v>
      </c>
      <c r="AP903" s="1" t="s">
        <v>33</v>
      </c>
      <c r="AQ903" s="1" t="str">
        <f t="shared" si="393"/>
        <v>Paid</v>
      </c>
      <c r="AR903" s="1" t="str">
        <f t="shared" si="394"/>
        <v>OK</v>
      </c>
      <c r="AS903" s="1" t="s">
        <v>120</v>
      </c>
      <c r="AT903" s="4" t="str">
        <f t="shared" si="395"/>
        <v>Returned</v>
      </c>
      <c r="AU903" s="3" t="str">
        <f t="shared" si="396"/>
        <v>RETURNED_ORDER</v>
      </c>
      <c r="AV903" s="3" t="str">
        <f t="shared" si="402"/>
        <v>INVALID</v>
      </c>
      <c r="AW903" t="str">
        <f t="shared" si="403"/>
        <v>MATCH</v>
      </c>
      <c r="AX903" t="str">
        <f t="shared" si="404"/>
        <v>MATCH</v>
      </c>
    </row>
    <row r="904" spans="1:50" ht="15.6">
      <c r="A904" s="1" t="s">
        <v>3365</v>
      </c>
      <c r="B904" s="1">
        <f t="shared" si="378"/>
        <v>1</v>
      </c>
      <c r="C904" s="16">
        <v>45919</v>
      </c>
      <c r="D904" s="16">
        <v>45919</v>
      </c>
      <c r="E904" s="16" t="str">
        <f t="shared" si="397"/>
        <v>Sep</v>
      </c>
      <c r="F904" s="1">
        <f t="shared" si="398"/>
        <v>2025</v>
      </c>
      <c r="G904" t="s">
        <v>2702</v>
      </c>
      <c r="H904" s="17">
        <v>45908</v>
      </c>
      <c r="I904" s="21">
        <f t="shared" si="399"/>
        <v>-11</v>
      </c>
      <c r="J904" s="6" t="str">
        <f t="shared" si="400"/>
        <v>INVALID_SHIPPING</v>
      </c>
      <c r="K904" s="1" t="s">
        <v>3366</v>
      </c>
      <c r="L904" s="1" t="s">
        <v>90</v>
      </c>
      <c r="M904" s="1" t="str">
        <f t="shared" si="379"/>
        <v>Neha Gupta</v>
      </c>
      <c r="N904" s="1" t="s">
        <v>110</v>
      </c>
      <c r="O904" s="1" t="str">
        <f t="shared" si="380"/>
        <v>Home Office</v>
      </c>
      <c r="P904" s="1" t="s">
        <v>26</v>
      </c>
      <c r="Q904" s="1" t="str">
        <f t="shared" si="381"/>
        <v>North</v>
      </c>
      <c r="R904" s="1" t="str">
        <f t="shared" si="382"/>
        <v>OK</v>
      </c>
      <c r="S904" s="1" t="s">
        <v>454</v>
      </c>
      <c r="T904" s="1" t="str">
        <f t="shared" si="383"/>
        <v>Delhi</v>
      </c>
      <c r="U904" s="1" t="s">
        <v>455</v>
      </c>
      <c r="V904" s="1" t="str">
        <f t="shared" si="384"/>
        <v>New Delhi</v>
      </c>
      <c r="W904" s="1" t="s">
        <v>44</v>
      </c>
      <c r="X904" s="1" t="str">
        <f t="shared" si="385"/>
        <v>Furniture</v>
      </c>
      <c r="Y904" s="1" t="s">
        <v>74</v>
      </c>
      <c r="Z904" s="1" t="str">
        <f t="shared" si="386"/>
        <v>Chairs</v>
      </c>
      <c r="AA904" s="1" t="s">
        <v>3367</v>
      </c>
      <c r="AB904" s="1" t="s">
        <v>47</v>
      </c>
      <c r="AC904" s="1" t="str">
        <f t="shared" si="387"/>
        <v>Same Day</v>
      </c>
      <c r="AD904" s="1" t="str">
        <f t="shared" si="388"/>
        <v>OK</v>
      </c>
      <c r="AE904" s="1">
        <v>4</v>
      </c>
      <c r="AF904" s="1">
        <v>1584.11</v>
      </c>
      <c r="AG904" s="9">
        <v>0</v>
      </c>
      <c r="AH904" s="9">
        <f t="shared" si="389"/>
        <v>0</v>
      </c>
      <c r="AI904" s="1" t="str">
        <f t="shared" si="390"/>
        <v>OK</v>
      </c>
      <c r="AJ904" s="1">
        <v>6336.44</v>
      </c>
      <c r="AK904" s="1">
        <v>4680.68</v>
      </c>
      <c r="AL904" s="1">
        <v>1655.76</v>
      </c>
      <c r="AM904" s="13">
        <f t="shared" si="391"/>
        <v>6336.44</v>
      </c>
      <c r="AN904" s="9">
        <f t="shared" si="392"/>
        <v>1655.7599999999993</v>
      </c>
      <c r="AO904" s="9">
        <f t="shared" si="401"/>
        <v>0.26130761121386764</v>
      </c>
      <c r="AP904" s="1" t="s">
        <v>33</v>
      </c>
      <c r="AQ904" s="1" t="str">
        <f t="shared" si="393"/>
        <v>Paid</v>
      </c>
      <c r="AR904" s="1" t="str">
        <f t="shared" si="394"/>
        <v>OK</v>
      </c>
      <c r="AS904" s="1" t="s">
        <v>34</v>
      </c>
      <c r="AT904" s="4" t="str">
        <f t="shared" si="395"/>
        <v>Completed</v>
      </c>
      <c r="AU904" s="3" t="str">
        <f t="shared" si="396"/>
        <v>OK</v>
      </c>
      <c r="AV904" s="3" t="str">
        <f t="shared" si="402"/>
        <v>INVALID</v>
      </c>
      <c r="AW904" t="str">
        <f t="shared" si="403"/>
        <v>MATCH</v>
      </c>
      <c r="AX904" t="str">
        <f t="shared" si="404"/>
        <v>MATCH</v>
      </c>
    </row>
    <row r="905" spans="1:50" ht="15.6">
      <c r="A905" s="1" t="s">
        <v>3368</v>
      </c>
      <c r="B905" s="1">
        <f t="shared" si="378"/>
        <v>1</v>
      </c>
      <c r="C905" s="16">
        <v>45810</v>
      </c>
      <c r="D905" s="16">
        <v>45810</v>
      </c>
      <c r="E905" s="16" t="str">
        <f t="shared" si="397"/>
        <v>Jun</v>
      </c>
      <c r="F905" s="1">
        <f t="shared" si="398"/>
        <v>2025</v>
      </c>
      <c r="G905" t="s">
        <v>2887</v>
      </c>
      <c r="H905" s="17">
        <v>45371</v>
      </c>
      <c r="I905" s="21">
        <f t="shared" si="399"/>
        <v>-439</v>
      </c>
      <c r="J905" s="6" t="str">
        <f t="shared" si="400"/>
        <v>INVALID_SHIPPING</v>
      </c>
      <c r="K905" s="1" t="s">
        <v>3370</v>
      </c>
      <c r="L905" s="1" t="s">
        <v>70</v>
      </c>
      <c r="M905" s="1" t="str">
        <f t="shared" si="379"/>
        <v>Ananya Rao</v>
      </c>
      <c r="N905" s="1" t="s">
        <v>40</v>
      </c>
      <c r="O905" s="1" t="str">
        <f t="shared" si="380"/>
        <v>Small Business</v>
      </c>
      <c r="P905" s="1" t="s">
        <v>41</v>
      </c>
      <c r="Q905" s="1" t="str">
        <f t="shared" si="381"/>
        <v>East</v>
      </c>
      <c r="R905" s="1" t="str">
        <f t="shared" si="382"/>
        <v>OK</v>
      </c>
      <c r="S905" s="1" t="s">
        <v>174</v>
      </c>
      <c r="T905" s="1" t="str">
        <f t="shared" si="383"/>
        <v>Bihar</v>
      </c>
      <c r="U905" s="1" t="s">
        <v>175</v>
      </c>
      <c r="V905" s="1" t="str">
        <f t="shared" si="384"/>
        <v>Patna</v>
      </c>
      <c r="W905" s="1" t="s">
        <v>29</v>
      </c>
      <c r="X905" s="1" t="str">
        <f t="shared" si="385"/>
        <v>Office Supplies</v>
      </c>
      <c r="Y905" s="1" t="s">
        <v>53</v>
      </c>
      <c r="Z905" s="1" t="str">
        <f t="shared" si="386"/>
        <v>Art</v>
      </c>
      <c r="AA905" s="1" t="s">
        <v>3371</v>
      </c>
      <c r="AB905" s="1" t="s">
        <v>65</v>
      </c>
      <c r="AC905" s="1" t="str">
        <f t="shared" si="387"/>
        <v>Standard Class</v>
      </c>
      <c r="AD905" s="1" t="str">
        <f t="shared" si="388"/>
        <v>OK</v>
      </c>
      <c r="AE905" s="1">
        <v>9</v>
      </c>
      <c r="AF905" s="1">
        <v>3237.16</v>
      </c>
      <c r="AG905" s="9">
        <v>0.25</v>
      </c>
      <c r="AH905" s="9">
        <f t="shared" si="389"/>
        <v>0.25</v>
      </c>
      <c r="AI905" s="1" t="str">
        <f t="shared" si="390"/>
        <v>OK</v>
      </c>
      <c r="AJ905" s="1">
        <v>21850.83</v>
      </c>
      <c r="AK905" s="1">
        <v>16600.13</v>
      </c>
      <c r="AL905" s="1">
        <v>5250.7</v>
      </c>
      <c r="AM905" s="13">
        <f t="shared" si="391"/>
        <v>21850.829999999998</v>
      </c>
      <c r="AN905" s="9">
        <f t="shared" si="392"/>
        <v>5250.6999999999971</v>
      </c>
      <c r="AO905" s="9">
        <f t="shared" si="401"/>
        <v>0.2402975081495759</v>
      </c>
      <c r="AP905" s="1" t="s">
        <v>33</v>
      </c>
      <c r="AQ905" s="1" t="str">
        <f t="shared" si="393"/>
        <v>Paid</v>
      </c>
      <c r="AR905" s="1" t="str">
        <f t="shared" si="394"/>
        <v>OK</v>
      </c>
      <c r="AS905" s="1" t="s">
        <v>34</v>
      </c>
      <c r="AT905" s="4" t="str">
        <f t="shared" si="395"/>
        <v>Completed</v>
      </c>
      <c r="AU905" s="3" t="str">
        <f t="shared" si="396"/>
        <v>OK</v>
      </c>
      <c r="AV905" s="3" t="str">
        <f t="shared" si="402"/>
        <v>INVALID</v>
      </c>
      <c r="AW905" t="str">
        <f t="shared" si="403"/>
        <v>MATCH</v>
      </c>
      <c r="AX905" t="str">
        <f t="shared" si="404"/>
        <v>MATCH</v>
      </c>
    </row>
    <row r="906" spans="1:50" ht="15.6">
      <c r="A906" s="1" t="s">
        <v>3377</v>
      </c>
      <c r="B906" s="1">
        <f t="shared" si="378"/>
        <v>1</v>
      </c>
      <c r="C906" s="16">
        <v>45856</v>
      </c>
      <c r="D906" s="16">
        <v>45856</v>
      </c>
      <c r="E906" s="16" t="str">
        <f t="shared" si="397"/>
        <v>Jul</v>
      </c>
      <c r="F906" s="1">
        <f t="shared" si="398"/>
        <v>2025</v>
      </c>
      <c r="G906" t="s">
        <v>1256</v>
      </c>
      <c r="H906" s="17">
        <v>45314</v>
      </c>
      <c r="I906" s="21">
        <f t="shared" si="399"/>
        <v>-542</v>
      </c>
      <c r="J906" s="6" t="str">
        <f t="shared" si="400"/>
        <v>INVALID_SHIPPING</v>
      </c>
      <c r="K906" s="1" t="s">
        <v>3379</v>
      </c>
      <c r="L906" s="1" t="s">
        <v>136</v>
      </c>
      <c r="M906" s="1" t="str">
        <f t="shared" si="379"/>
        <v>Priya Menon</v>
      </c>
      <c r="N906" s="1" t="s">
        <v>40</v>
      </c>
      <c r="O906" s="1" t="str">
        <f t="shared" si="380"/>
        <v>Small Business</v>
      </c>
      <c r="P906" s="1" t="s">
        <v>26</v>
      </c>
      <c r="Q906" s="1" t="str">
        <f t="shared" si="381"/>
        <v>North</v>
      </c>
      <c r="R906" s="1" t="str">
        <f t="shared" si="382"/>
        <v>OK</v>
      </c>
      <c r="S906" s="1" t="s">
        <v>163</v>
      </c>
      <c r="T906" s="1" t="str">
        <f t="shared" si="383"/>
        <v>Uttar Pradesh</v>
      </c>
      <c r="U906" s="1" t="s">
        <v>164</v>
      </c>
      <c r="V906" s="1" t="str">
        <f t="shared" si="384"/>
        <v>Noida</v>
      </c>
      <c r="W906" s="1" t="s">
        <v>83</v>
      </c>
      <c r="X906" s="1" t="str">
        <f t="shared" si="385"/>
        <v>Technology</v>
      </c>
      <c r="Y906" s="1" t="s">
        <v>207</v>
      </c>
      <c r="Z906" s="1" t="str">
        <f t="shared" si="386"/>
        <v>Phones</v>
      </c>
      <c r="AA906" s="1" t="s">
        <v>3380</v>
      </c>
      <c r="AB906" s="1" t="s">
        <v>55</v>
      </c>
      <c r="AC906" s="1" t="str">
        <f t="shared" si="387"/>
        <v>First Class</v>
      </c>
      <c r="AD906" s="1" t="str">
        <f t="shared" si="388"/>
        <v>OK</v>
      </c>
      <c r="AE906" s="1">
        <v>9</v>
      </c>
      <c r="AF906" s="1">
        <v>3989.52</v>
      </c>
      <c r="AG906" s="9">
        <v>-0.02</v>
      </c>
      <c r="AH906" s="9">
        <f t="shared" si="389"/>
        <v>-0.02</v>
      </c>
      <c r="AI906" s="1" t="str">
        <f t="shared" si="390"/>
        <v>Invalid Negative Discount</v>
      </c>
      <c r="AJ906" s="1">
        <v>35905.68</v>
      </c>
      <c r="AK906" s="1">
        <v>23916.1</v>
      </c>
      <c r="AL906" s="1">
        <v>11989.58</v>
      </c>
      <c r="AM906" s="13" t="str">
        <f t="shared" si="391"/>
        <v>INVALID</v>
      </c>
      <c r="AN906" s="9" t="str">
        <f t="shared" si="392"/>
        <v>INVALID</v>
      </c>
      <c r="AO906" s="9" t="str">
        <f t="shared" si="401"/>
        <v/>
      </c>
      <c r="AP906" s="1" t="s">
        <v>33</v>
      </c>
      <c r="AQ906" s="1" t="str">
        <f t="shared" si="393"/>
        <v>Paid</v>
      </c>
      <c r="AR906" s="1" t="str">
        <f t="shared" si="394"/>
        <v>OK</v>
      </c>
      <c r="AS906" s="1" t="s">
        <v>34</v>
      </c>
      <c r="AT906" s="4" t="str">
        <f t="shared" si="395"/>
        <v>Completed</v>
      </c>
      <c r="AU906" s="3" t="str">
        <f t="shared" si="396"/>
        <v>OK</v>
      </c>
      <c r="AV906" s="3" t="str">
        <f t="shared" si="402"/>
        <v>INVALID</v>
      </c>
      <c r="AW906" t="str">
        <f t="shared" si="403"/>
        <v>INVALID</v>
      </c>
      <c r="AX906" t="str">
        <f t="shared" si="404"/>
        <v>INVALID</v>
      </c>
    </row>
    <row r="907" spans="1:50" ht="15.6" hidden="1">
      <c r="A907" s="1" t="s">
        <v>3381</v>
      </c>
      <c r="B907" s="1">
        <f t="shared" si="378"/>
        <v>1</v>
      </c>
      <c r="C907" s="16">
        <v>45677</v>
      </c>
      <c r="D907" s="16">
        <v>45677</v>
      </c>
      <c r="E907" s="16" t="str">
        <f t="shared" si="397"/>
        <v>Jan</v>
      </c>
      <c r="F907" s="1">
        <f t="shared" si="398"/>
        <v>2025</v>
      </c>
      <c r="G907" t="s">
        <v>2631</v>
      </c>
      <c r="H907" s="17">
        <v>45763</v>
      </c>
      <c r="I907" s="21">
        <f t="shared" si="399"/>
        <v>86</v>
      </c>
      <c r="J907" s="6" t="str">
        <f t="shared" si="400"/>
        <v>OK</v>
      </c>
      <c r="K907" s="1" t="s">
        <v>3383</v>
      </c>
      <c r="L907" s="1" t="s">
        <v>103</v>
      </c>
      <c r="M907" s="1" t="str">
        <f t="shared" si="379"/>
        <v>Aditi Sen</v>
      </c>
      <c r="N907" s="1" t="s">
        <v>110</v>
      </c>
      <c r="O907" s="1" t="str">
        <f t="shared" si="380"/>
        <v>Home Office</v>
      </c>
      <c r="P907" s="1" t="s">
        <v>71</v>
      </c>
      <c r="Q907" s="1" t="str">
        <f t="shared" si="381"/>
        <v>West</v>
      </c>
      <c r="R907" s="1" t="str">
        <f t="shared" si="382"/>
        <v>OK</v>
      </c>
      <c r="S907" s="1" t="s">
        <v>230</v>
      </c>
      <c r="T907" s="1" t="str">
        <f t="shared" si="383"/>
        <v>Goa</v>
      </c>
      <c r="U907" s="1" t="s">
        <v>231</v>
      </c>
      <c r="V907" s="1" t="str">
        <f t="shared" si="384"/>
        <v>Panaji</v>
      </c>
      <c r="W907" s="1" t="s">
        <v>29</v>
      </c>
      <c r="X907" s="1" t="str">
        <f t="shared" si="385"/>
        <v>Office Supplies</v>
      </c>
      <c r="Y907" s="1" t="s">
        <v>53</v>
      </c>
      <c r="Z907" s="1" t="str">
        <f t="shared" si="386"/>
        <v>Art</v>
      </c>
      <c r="AA907" s="1" t="s">
        <v>3384</v>
      </c>
      <c r="AB907" s="1" t="s">
        <v>55</v>
      </c>
      <c r="AC907" s="1" t="str">
        <f t="shared" si="387"/>
        <v>First Class</v>
      </c>
      <c r="AD907" s="1" t="str">
        <f t="shared" si="388"/>
        <v>OK</v>
      </c>
      <c r="AE907" s="1">
        <v>1</v>
      </c>
      <c r="AF907" s="1">
        <v>3515.15</v>
      </c>
      <c r="AG907" s="9">
        <v>0</v>
      </c>
      <c r="AH907" s="9">
        <f t="shared" si="389"/>
        <v>0</v>
      </c>
      <c r="AI907" s="1" t="str">
        <f t="shared" si="390"/>
        <v>OK</v>
      </c>
      <c r="AJ907" s="1">
        <v>3515.15</v>
      </c>
      <c r="AK907" s="1">
        <v>2216.34</v>
      </c>
      <c r="AL907" s="1">
        <v>1298.81</v>
      </c>
      <c r="AM907" s="13">
        <f t="shared" si="391"/>
        <v>3515.15</v>
      </c>
      <c r="AN907" s="9">
        <f t="shared" si="392"/>
        <v>1298.81</v>
      </c>
      <c r="AO907" s="9">
        <f t="shared" si="401"/>
        <v>0.36948921098672882</v>
      </c>
      <c r="AP907" s="1" t="s">
        <v>33</v>
      </c>
      <c r="AQ907" s="1" t="str">
        <f t="shared" si="393"/>
        <v>Paid</v>
      </c>
      <c r="AR907" s="1" t="str">
        <f t="shared" si="394"/>
        <v>OK</v>
      </c>
      <c r="AS907" s="1" t="s">
        <v>34</v>
      </c>
      <c r="AT907" s="4" t="str">
        <f t="shared" si="395"/>
        <v>Completed</v>
      </c>
      <c r="AU907" s="3" t="str">
        <f t="shared" si="396"/>
        <v>OK</v>
      </c>
      <c r="AV907" s="3" t="str">
        <f t="shared" si="402"/>
        <v>CLEAN</v>
      </c>
      <c r="AW907" t="str">
        <f t="shared" si="403"/>
        <v>MATCH</v>
      </c>
      <c r="AX907" t="str">
        <f t="shared" si="404"/>
        <v>MATCH</v>
      </c>
    </row>
    <row r="908" spans="1:50" ht="15.6" hidden="1">
      <c r="A908" s="1" t="s">
        <v>3392</v>
      </c>
      <c r="B908" s="1">
        <f t="shared" si="378"/>
        <v>1</v>
      </c>
      <c r="C908" s="16">
        <v>45797</v>
      </c>
      <c r="D908" s="16">
        <v>45797</v>
      </c>
      <c r="E908" s="16" t="str">
        <f t="shared" si="397"/>
        <v>May</v>
      </c>
      <c r="F908" s="1">
        <f t="shared" si="398"/>
        <v>2025</v>
      </c>
      <c r="G908" t="s">
        <v>2972</v>
      </c>
      <c r="H908" s="17">
        <v>45802</v>
      </c>
      <c r="I908" s="21">
        <f t="shared" si="399"/>
        <v>5</v>
      </c>
      <c r="J908" s="6" t="str">
        <f t="shared" si="400"/>
        <v>OK</v>
      </c>
      <c r="K908" s="1" t="s">
        <v>3394</v>
      </c>
      <c r="L908" s="1" t="s">
        <v>196</v>
      </c>
      <c r="M908" s="1" t="str">
        <f t="shared" si="379"/>
        <v>Diya Patel</v>
      </c>
      <c r="N908" s="1" t="s">
        <v>110</v>
      </c>
      <c r="O908" s="1" t="str">
        <f t="shared" si="380"/>
        <v>Home Office</v>
      </c>
      <c r="P908" s="1" t="s">
        <v>41</v>
      </c>
      <c r="Q908" s="1" t="str">
        <f t="shared" si="381"/>
        <v>East</v>
      </c>
      <c r="R908" s="1" t="str">
        <f t="shared" si="382"/>
        <v>OK</v>
      </c>
      <c r="S908" s="1" t="s">
        <v>42</v>
      </c>
      <c r="T908" s="1" t="str">
        <f t="shared" si="383"/>
        <v>Odisha</v>
      </c>
      <c r="U908" s="1" t="s">
        <v>43</v>
      </c>
      <c r="V908" s="1" t="str">
        <f t="shared" si="384"/>
        <v>Bhubaneswar</v>
      </c>
      <c r="W908" s="1" t="s">
        <v>44</v>
      </c>
      <c r="X908" s="1" t="str">
        <f t="shared" si="385"/>
        <v>Furniture</v>
      </c>
      <c r="Y908" s="1" t="s">
        <v>45</v>
      </c>
      <c r="Z908" s="1" t="str">
        <f t="shared" si="386"/>
        <v>Tables</v>
      </c>
      <c r="AA908" s="1" t="s">
        <v>3395</v>
      </c>
      <c r="AB908" s="1" t="s">
        <v>32</v>
      </c>
      <c r="AC908" s="1" t="str">
        <f t="shared" si="387"/>
        <v>Second Class</v>
      </c>
      <c r="AD908" s="1" t="str">
        <f t="shared" si="388"/>
        <v>OK</v>
      </c>
      <c r="AE908" s="1">
        <v>2</v>
      </c>
      <c r="AF908" s="1">
        <v>210.08</v>
      </c>
      <c r="AG908" s="9">
        <v>0.2</v>
      </c>
      <c r="AH908" s="9">
        <f t="shared" si="389"/>
        <v>0.2</v>
      </c>
      <c r="AI908" s="1" t="str">
        <f t="shared" si="390"/>
        <v>OK</v>
      </c>
      <c r="AJ908" s="1">
        <v>336.13</v>
      </c>
      <c r="AK908" s="1">
        <v>242.19</v>
      </c>
      <c r="AL908" s="1">
        <v>93.94</v>
      </c>
      <c r="AM908" s="13">
        <f t="shared" si="391"/>
        <v>336.12800000000004</v>
      </c>
      <c r="AN908" s="9">
        <f t="shared" si="392"/>
        <v>93.938000000000045</v>
      </c>
      <c r="AO908" s="9">
        <f t="shared" si="401"/>
        <v>0.27947091584158423</v>
      </c>
      <c r="AP908" s="1" t="s">
        <v>33</v>
      </c>
      <c r="AQ908" s="1" t="str">
        <f t="shared" si="393"/>
        <v>Paid</v>
      </c>
      <c r="AR908" s="1" t="str">
        <f t="shared" si="394"/>
        <v>OK</v>
      </c>
      <c r="AS908" s="1" t="s">
        <v>34</v>
      </c>
      <c r="AT908" s="4" t="str">
        <f t="shared" si="395"/>
        <v>Completed</v>
      </c>
      <c r="AU908" s="3" t="str">
        <f t="shared" si="396"/>
        <v>OK</v>
      </c>
      <c r="AV908" s="3" t="str">
        <f t="shared" si="402"/>
        <v>CLEAN</v>
      </c>
      <c r="AW908" t="str">
        <f t="shared" si="403"/>
        <v>MATCH</v>
      </c>
      <c r="AX908" t="str">
        <f t="shared" si="404"/>
        <v>MATCH</v>
      </c>
    </row>
    <row r="909" spans="1:50" ht="15.6">
      <c r="A909" s="1" t="s">
        <v>3396</v>
      </c>
      <c r="B909" s="1">
        <f t="shared" si="378"/>
        <v>1</v>
      </c>
      <c r="C909" s="16">
        <v>45804</v>
      </c>
      <c r="D909" s="16">
        <v>45804</v>
      </c>
      <c r="E909" s="16" t="str">
        <f t="shared" si="397"/>
        <v>May</v>
      </c>
      <c r="F909" s="1">
        <f t="shared" si="398"/>
        <v>2025</v>
      </c>
      <c r="G909" t="s">
        <v>676</v>
      </c>
      <c r="H909" s="17">
        <v>45644</v>
      </c>
      <c r="I909" s="21">
        <f t="shared" si="399"/>
        <v>-160</v>
      </c>
      <c r="J909" s="6" t="str">
        <f t="shared" si="400"/>
        <v>INVALID_SHIPPING</v>
      </c>
      <c r="K909" s="1" t="s">
        <v>3398</v>
      </c>
      <c r="L909" s="1" t="s">
        <v>141</v>
      </c>
      <c r="M909" s="1" t="str">
        <f t="shared" si="379"/>
        <v>Rahul Verma</v>
      </c>
      <c r="N909" s="1" t="s">
        <v>110</v>
      </c>
      <c r="O909" s="1" t="str">
        <f t="shared" si="380"/>
        <v>Home Office</v>
      </c>
      <c r="P909" s="1" t="s">
        <v>60</v>
      </c>
      <c r="Q909" s="1" t="str">
        <f t="shared" si="381"/>
        <v>South</v>
      </c>
      <c r="R909" s="1" t="str">
        <f t="shared" si="382"/>
        <v>OK</v>
      </c>
      <c r="S909" s="1" t="s">
        <v>309</v>
      </c>
      <c r="T909" s="1" t="str">
        <f t="shared" si="383"/>
        <v>Tamil Nadu</v>
      </c>
      <c r="U909" s="1" t="s">
        <v>310</v>
      </c>
      <c r="V909" s="1" t="str">
        <f t="shared" si="384"/>
        <v>Chennai</v>
      </c>
      <c r="W909" s="1" t="s">
        <v>44</v>
      </c>
      <c r="X909" s="1" t="str">
        <f t="shared" si="385"/>
        <v>Furniture</v>
      </c>
      <c r="Y909" s="1" t="s">
        <v>63</v>
      </c>
      <c r="Z909" s="1" t="str">
        <f t="shared" si="386"/>
        <v>Furnishings</v>
      </c>
      <c r="AA909" s="1" t="s">
        <v>3399</v>
      </c>
      <c r="AB909" s="1" t="s">
        <v>32</v>
      </c>
      <c r="AC909" s="1" t="str">
        <f t="shared" si="387"/>
        <v>Second Class</v>
      </c>
      <c r="AD909" s="1" t="str">
        <f t="shared" si="388"/>
        <v>OK</v>
      </c>
      <c r="AE909" s="1">
        <v>1</v>
      </c>
      <c r="AF909" s="1">
        <v>1744.35</v>
      </c>
      <c r="AG909" s="9">
        <v>0.25</v>
      </c>
      <c r="AH909" s="9">
        <f t="shared" si="389"/>
        <v>0.25</v>
      </c>
      <c r="AI909" s="1" t="str">
        <f t="shared" si="390"/>
        <v>OK</v>
      </c>
      <c r="AJ909" s="1">
        <v>1308.26</v>
      </c>
      <c r="AK909" s="1">
        <v>1083.56</v>
      </c>
      <c r="AL909" s="1">
        <v>224.7</v>
      </c>
      <c r="AM909" s="13">
        <f t="shared" si="391"/>
        <v>1308.2624999999998</v>
      </c>
      <c r="AN909" s="9">
        <f t="shared" si="392"/>
        <v>224.70249999999987</v>
      </c>
      <c r="AO909" s="9">
        <f t="shared" si="401"/>
        <v>0.17175643267310645</v>
      </c>
      <c r="AP909" s="1" t="s">
        <v>33</v>
      </c>
      <c r="AQ909" s="1" t="str">
        <f t="shared" si="393"/>
        <v>Paid</v>
      </c>
      <c r="AR909" s="1" t="str">
        <f t="shared" si="394"/>
        <v>OK</v>
      </c>
      <c r="AS909" s="1" t="s">
        <v>34</v>
      </c>
      <c r="AT909" s="4" t="str">
        <f t="shared" si="395"/>
        <v>Completed</v>
      </c>
      <c r="AU909" s="3" t="str">
        <f t="shared" si="396"/>
        <v>OK</v>
      </c>
      <c r="AV909" s="3" t="str">
        <f t="shared" si="402"/>
        <v>INVALID</v>
      </c>
      <c r="AW909" t="str">
        <f t="shared" si="403"/>
        <v>MATCH</v>
      </c>
      <c r="AX909" t="str">
        <f t="shared" si="404"/>
        <v>MATCH</v>
      </c>
    </row>
    <row r="910" spans="1:50" ht="15.6" hidden="1">
      <c r="A910" s="1" t="s">
        <v>3412</v>
      </c>
      <c r="B910" s="1">
        <f t="shared" si="378"/>
        <v>1</v>
      </c>
      <c r="C910" s="16">
        <v>45793</v>
      </c>
      <c r="D910" s="16">
        <v>45793</v>
      </c>
      <c r="E910" s="16" t="str">
        <f t="shared" si="397"/>
        <v>May</v>
      </c>
      <c r="F910" s="1">
        <f t="shared" si="398"/>
        <v>2025</v>
      </c>
      <c r="G910" t="s">
        <v>1515</v>
      </c>
      <c r="H910" s="17">
        <v>45909</v>
      </c>
      <c r="I910" s="21">
        <f t="shared" si="399"/>
        <v>116</v>
      </c>
      <c r="J910" s="6" t="str">
        <f t="shared" si="400"/>
        <v>OK</v>
      </c>
      <c r="K910" s="1" t="s">
        <v>3413</v>
      </c>
      <c r="L910" s="1" t="s">
        <v>59</v>
      </c>
      <c r="M910" s="1" t="str">
        <f t="shared" si="379"/>
        <v>Arjun Bose</v>
      </c>
      <c r="N910" s="1" t="s">
        <v>104</v>
      </c>
      <c r="O910" s="1" t="str">
        <f t="shared" si="380"/>
        <v>Corporate</v>
      </c>
      <c r="P910" s="1" t="s">
        <v>60</v>
      </c>
      <c r="Q910" s="1" t="str">
        <f t="shared" si="381"/>
        <v>South</v>
      </c>
      <c r="R910" s="1" t="str">
        <f t="shared" si="382"/>
        <v>OK</v>
      </c>
      <c r="S910" s="1" t="s">
        <v>309</v>
      </c>
      <c r="T910" s="1" t="str">
        <f t="shared" si="383"/>
        <v>Tamil Nadu</v>
      </c>
      <c r="U910" s="1" t="s">
        <v>310</v>
      </c>
      <c r="V910" s="1" t="str">
        <f t="shared" si="384"/>
        <v>Chennai</v>
      </c>
      <c r="W910" s="1" t="s">
        <v>83</v>
      </c>
      <c r="X910" s="1" t="str">
        <f t="shared" si="385"/>
        <v>Technology</v>
      </c>
      <c r="Y910" s="1" t="s">
        <v>84</v>
      </c>
      <c r="Z910" s="1" t="str">
        <f t="shared" si="386"/>
        <v>Accessories</v>
      </c>
      <c r="AA910" s="1" t="s">
        <v>3414</v>
      </c>
      <c r="AB910" s="1" t="s">
        <v>47</v>
      </c>
      <c r="AC910" s="1" t="str">
        <f t="shared" si="387"/>
        <v>Same Day</v>
      </c>
      <c r="AD910" s="1" t="str">
        <f t="shared" si="388"/>
        <v>OK</v>
      </c>
      <c r="AE910" s="1">
        <v>8</v>
      </c>
      <c r="AF910" s="1">
        <v>579.79999999999995</v>
      </c>
      <c r="AG910" s="9">
        <v>0.2</v>
      </c>
      <c r="AH910" s="9">
        <f t="shared" si="389"/>
        <v>0.2</v>
      </c>
      <c r="AI910" s="1" t="str">
        <f t="shared" si="390"/>
        <v>OK</v>
      </c>
      <c r="AJ910" s="1">
        <v>3710.72</v>
      </c>
      <c r="AK910" s="1">
        <v>3115.29</v>
      </c>
      <c r="AL910" s="1">
        <v>595.42999999999995</v>
      </c>
      <c r="AM910" s="13">
        <f t="shared" si="391"/>
        <v>3710.72</v>
      </c>
      <c r="AN910" s="9">
        <f t="shared" si="392"/>
        <v>595.42999999999984</v>
      </c>
      <c r="AO910" s="9">
        <f t="shared" si="401"/>
        <v>0.16046212055881334</v>
      </c>
      <c r="AP910" s="1" t="s">
        <v>33</v>
      </c>
      <c r="AQ910" s="1" t="str">
        <f t="shared" si="393"/>
        <v>Paid</v>
      </c>
      <c r="AR910" s="1" t="str">
        <f t="shared" si="394"/>
        <v>OK</v>
      </c>
      <c r="AS910" s="1" t="s">
        <v>34</v>
      </c>
      <c r="AT910" s="4" t="str">
        <f t="shared" si="395"/>
        <v>Completed</v>
      </c>
      <c r="AU910" s="3" t="str">
        <f t="shared" si="396"/>
        <v>OK</v>
      </c>
      <c r="AV910" s="3" t="str">
        <f t="shared" si="402"/>
        <v>CLEAN</v>
      </c>
      <c r="AW910" t="str">
        <f t="shared" si="403"/>
        <v>MATCH</v>
      </c>
      <c r="AX910" t="str">
        <f t="shared" si="404"/>
        <v>MATCH</v>
      </c>
    </row>
    <row r="911" spans="1:50" ht="15.6" hidden="1">
      <c r="A911" s="1" t="s">
        <v>3415</v>
      </c>
      <c r="B911" s="1">
        <f t="shared" si="378"/>
        <v>1</v>
      </c>
      <c r="C911" s="16">
        <v>45741</v>
      </c>
      <c r="D911" s="16">
        <v>45741</v>
      </c>
      <c r="E911" s="16" t="str">
        <f t="shared" si="397"/>
        <v>Mar</v>
      </c>
      <c r="F911" s="1">
        <f t="shared" si="398"/>
        <v>2025</v>
      </c>
      <c r="G911" t="s">
        <v>1741</v>
      </c>
      <c r="H911" s="17">
        <v>45776</v>
      </c>
      <c r="I911" s="21">
        <f t="shared" si="399"/>
        <v>35</v>
      </c>
      <c r="J911" s="6" t="str">
        <f t="shared" si="400"/>
        <v>OK</v>
      </c>
      <c r="K911" s="1" t="s">
        <v>3417</v>
      </c>
      <c r="L911" s="1" t="s">
        <v>136</v>
      </c>
      <c r="M911" s="1" t="str">
        <f t="shared" si="379"/>
        <v>Priya Menon</v>
      </c>
      <c r="N911" s="1" t="s">
        <v>25</v>
      </c>
      <c r="O911" s="1" t="str">
        <f t="shared" si="380"/>
        <v>Consumer</v>
      </c>
      <c r="P911" s="1" t="s">
        <v>60</v>
      </c>
      <c r="Q911" s="1" t="str">
        <f t="shared" si="381"/>
        <v>South</v>
      </c>
      <c r="R911" s="1" t="str">
        <f t="shared" si="382"/>
        <v>OK</v>
      </c>
      <c r="S911" s="1" t="s">
        <v>212</v>
      </c>
      <c r="T911" s="1" t="str">
        <f t="shared" si="383"/>
        <v>Karnataka</v>
      </c>
      <c r="U911" s="1" t="s">
        <v>213</v>
      </c>
      <c r="V911" s="1" t="str">
        <f t="shared" si="384"/>
        <v>Bengaluru</v>
      </c>
      <c r="W911" s="1" t="s">
        <v>44</v>
      </c>
      <c r="X911" s="1" t="str">
        <f t="shared" si="385"/>
        <v>Furniture</v>
      </c>
      <c r="Y911" s="1" t="s">
        <v>190</v>
      </c>
      <c r="Z911" s="1" t="str">
        <f t="shared" si="386"/>
        <v>Bookcases</v>
      </c>
      <c r="AA911" s="1" t="s">
        <v>3418</v>
      </c>
      <c r="AB911" s="1" t="s">
        <v>32</v>
      </c>
      <c r="AC911" s="1" t="str">
        <f t="shared" si="387"/>
        <v>Second Class</v>
      </c>
      <c r="AD911" s="1" t="str">
        <f t="shared" si="388"/>
        <v>OK</v>
      </c>
      <c r="AE911" s="1">
        <v>4</v>
      </c>
      <c r="AF911" s="1">
        <v>2233.64</v>
      </c>
      <c r="AG911" s="9">
        <v>0.05</v>
      </c>
      <c r="AH911" s="9">
        <f t="shared" si="389"/>
        <v>0.05</v>
      </c>
      <c r="AI911" s="1" t="str">
        <f t="shared" si="390"/>
        <v>OK</v>
      </c>
      <c r="AJ911" s="1">
        <v>8487.83</v>
      </c>
      <c r="AK911" s="1">
        <v>5245.72</v>
      </c>
      <c r="AL911" s="1">
        <v>3242.11</v>
      </c>
      <c r="AM911" s="13">
        <f t="shared" si="391"/>
        <v>8487.8319999999985</v>
      </c>
      <c r="AN911" s="9">
        <f t="shared" si="392"/>
        <v>3242.1119999999983</v>
      </c>
      <c r="AO911" s="9">
        <f t="shared" si="401"/>
        <v>0.38197174496384928</v>
      </c>
      <c r="AP911" s="1" t="s">
        <v>33</v>
      </c>
      <c r="AQ911" s="1" t="str">
        <f t="shared" si="393"/>
        <v>Paid</v>
      </c>
      <c r="AR911" s="1" t="str">
        <f t="shared" si="394"/>
        <v>OK</v>
      </c>
      <c r="AS911" s="1" t="s">
        <v>34</v>
      </c>
      <c r="AT911" s="4" t="str">
        <f t="shared" si="395"/>
        <v>Completed</v>
      </c>
      <c r="AU911" s="3" t="str">
        <f t="shared" si="396"/>
        <v>OK</v>
      </c>
      <c r="AV911" s="3" t="str">
        <f t="shared" si="402"/>
        <v>CLEAN</v>
      </c>
      <c r="AW911" t="str">
        <f t="shared" si="403"/>
        <v>MATCH</v>
      </c>
      <c r="AX911" t="str">
        <f t="shared" si="404"/>
        <v>MATCH</v>
      </c>
    </row>
    <row r="912" spans="1:50" ht="15.6">
      <c r="A912" s="1" t="s">
        <v>3439</v>
      </c>
      <c r="B912" s="1">
        <f t="shared" si="378"/>
        <v>1</v>
      </c>
      <c r="C912" s="16">
        <v>45872</v>
      </c>
      <c r="D912" s="16">
        <v>45872</v>
      </c>
      <c r="E912" s="16" t="str">
        <f t="shared" si="397"/>
        <v>Aug</v>
      </c>
      <c r="F912" s="1">
        <f t="shared" si="398"/>
        <v>2025</v>
      </c>
      <c r="G912" t="s">
        <v>633</v>
      </c>
      <c r="H912" s="17">
        <v>45437</v>
      </c>
      <c r="I912" s="21">
        <f t="shared" si="399"/>
        <v>-435</v>
      </c>
      <c r="J912" s="6" t="str">
        <f t="shared" si="400"/>
        <v>INVALID_SHIPPING</v>
      </c>
      <c r="K912" s="1" t="s">
        <v>3441</v>
      </c>
      <c r="L912" s="1" t="s">
        <v>136</v>
      </c>
      <c r="M912" s="1" t="str">
        <f t="shared" si="379"/>
        <v>Priya Menon</v>
      </c>
      <c r="N912" s="1" t="s">
        <v>110</v>
      </c>
      <c r="O912" s="1" t="str">
        <f t="shared" si="380"/>
        <v>Home Office</v>
      </c>
      <c r="P912" s="1" t="s">
        <v>26</v>
      </c>
      <c r="Q912" s="1" t="str">
        <f t="shared" si="381"/>
        <v>North</v>
      </c>
      <c r="R912" s="1" t="str">
        <f t="shared" si="382"/>
        <v>OK</v>
      </c>
      <c r="S912" s="1" t="s">
        <v>454</v>
      </c>
      <c r="T912" s="1" t="str">
        <f t="shared" si="383"/>
        <v>Delhi</v>
      </c>
      <c r="U912" s="1" t="s">
        <v>455</v>
      </c>
      <c r="V912" s="1" t="str">
        <f t="shared" si="384"/>
        <v>New Delhi</v>
      </c>
      <c r="W912" s="1" t="s">
        <v>44</v>
      </c>
      <c r="X912" s="1" t="str">
        <f t="shared" si="385"/>
        <v>Furniture</v>
      </c>
      <c r="Y912" s="1" t="s">
        <v>63</v>
      </c>
      <c r="Z912" s="1" t="str">
        <f t="shared" si="386"/>
        <v>Furnishings</v>
      </c>
      <c r="AA912" s="1" t="s">
        <v>3442</v>
      </c>
      <c r="AB912" s="1" t="s">
        <v>47</v>
      </c>
      <c r="AC912" s="1" t="str">
        <f t="shared" si="387"/>
        <v>Same Day</v>
      </c>
      <c r="AD912" s="1" t="str">
        <f t="shared" si="388"/>
        <v>OK</v>
      </c>
      <c r="AE912" s="1">
        <v>4</v>
      </c>
      <c r="AF912" s="1">
        <v>3405.68</v>
      </c>
      <c r="AG912" s="9">
        <v>0.2</v>
      </c>
      <c r="AH912" s="9">
        <f t="shared" si="389"/>
        <v>0.2</v>
      </c>
      <c r="AI912" s="1" t="str">
        <f t="shared" si="390"/>
        <v>OK</v>
      </c>
      <c r="AJ912" s="1">
        <v>10898.18</v>
      </c>
      <c r="AK912" s="1">
        <v>6231.41</v>
      </c>
      <c r="AL912" s="1">
        <v>4666.7700000000004</v>
      </c>
      <c r="AM912" s="13">
        <f t="shared" si="391"/>
        <v>10898.175999999999</v>
      </c>
      <c r="AN912" s="9">
        <f t="shared" si="392"/>
        <v>4666.7659999999996</v>
      </c>
      <c r="AO912" s="9">
        <f t="shared" si="401"/>
        <v>0.42821532704188298</v>
      </c>
      <c r="AP912" s="1" t="s">
        <v>33</v>
      </c>
      <c r="AQ912" s="1" t="str">
        <f t="shared" si="393"/>
        <v>Paid</v>
      </c>
      <c r="AR912" s="1" t="str">
        <f t="shared" si="394"/>
        <v>OK</v>
      </c>
      <c r="AS912" s="1" t="s">
        <v>34</v>
      </c>
      <c r="AT912" s="4" t="str">
        <f t="shared" si="395"/>
        <v>Completed</v>
      </c>
      <c r="AU912" s="3" t="str">
        <f t="shared" si="396"/>
        <v>OK</v>
      </c>
      <c r="AV912" s="3" t="str">
        <f t="shared" si="402"/>
        <v>INVALID</v>
      </c>
      <c r="AW912" t="str">
        <f t="shared" si="403"/>
        <v>MATCH</v>
      </c>
      <c r="AX912" t="str">
        <f t="shared" si="404"/>
        <v>MATCH</v>
      </c>
    </row>
    <row r="913" spans="1:50" ht="15.6">
      <c r="A913" s="1" t="s">
        <v>3443</v>
      </c>
      <c r="B913" s="1">
        <f t="shared" si="378"/>
        <v>1</v>
      </c>
      <c r="C913" s="16">
        <v>45742</v>
      </c>
      <c r="D913" s="16">
        <v>45742</v>
      </c>
      <c r="E913" s="16" t="str">
        <f t="shared" si="397"/>
        <v>Mar</v>
      </c>
      <c r="F913" s="1">
        <f t="shared" si="398"/>
        <v>2025</v>
      </c>
      <c r="G913" t="s">
        <v>1155</v>
      </c>
      <c r="H913" s="17">
        <v>45349</v>
      </c>
      <c r="I913" s="21">
        <f t="shared" si="399"/>
        <v>-393</v>
      </c>
      <c r="J913" s="6" t="str">
        <f t="shared" si="400"/>
        <v>INVALID_SHIPPING</v>
      </c>
      <c r="K913" s="1" t="s">
        <v>3445</v>
      </c>
      <c r="L913" s="1" t="s">
        <v>136</v>
      </c>
      <c r="M913" s="1" t="str">
        <f t="shared" si="379"/>
        <v>Priya Menon</v>
      </c>
      <c r="N913" s="1" t="s">
        <v>40</v>
      </c>
      <c r="O913" s="1" t="str">
        <f t="shared" si="380"/>
        <v>Small Business</v>
      </c>
      <c r="P913" s="1" t="s">
        <v>41</v>
      </c>
      <c r="Q913" s="1" t="str">
        <f t="shared" si="381"/>
        <v>East</v>
      </c>
      <c r="R913" s="1" t="str">
        <f t="shared" si="382"/>
        <v>OK</v>
      </c>
      <c r="S913" s="1" t="s">
        <v>284</v>
      </c>
      <c r="T913" s="1" t="str">
        <f t="shared" si="383"/>
        <v>Jharkhand</v>
      </c>
      <c r="U913" s="1" t="s">
        <v>285</v>
      </c>
      <c r="V913" s="1" t="str">
        <f t="shared" si="384"/>
        <v>Ranchi</v>
      </c>
      <c r="W913" s="1" t="s">
        <v>29</v>
      </c>
      <c r="X913" s="1" t="str">
        <f t="shared" si="385"/>
        <v>Office Supplies</v>
      </c>
      <c r="Y913" s="1" t="s">
        <v>184</v>
      </c>
      <c r="Z913" s="1" t="str">
        <f t="shared" si="386"/>
        <v>Binders</v>
      </c>
      <c r="AA913" s="1" t="s">
        <v>3446</v>
      </c>
      <c r="AB913" s="1" t="s">
        <v>55</v>
      </c>
      <c r="AC913" s="1" t="str">
        <f t="shared" si="387"/>
        <v>First Class</v>
      </c>
      <c r="AD913" s="1" t="str">
        <f t="shared" si="388"/>
        <v>OK</v>
      </c>
      <c r="AE913" s="1">
        <v>5</v>
      </c>
      <c r="AF913" s="1">
        <v>1395.14</v>
      </c>
      <c r="AG913" s="9">
        <v>0</v>
      </c>
      <c r="AH913" s="9">
        <f t="shared" si="389"/>
        <v>0</v>
      </c>
      <c r="AI913" s="1" t="str">
        <f t="shared" si="390"/>
        <v>OK</v>
      </c>
      <c r="AJ913" s="1">
        <v>6975.7</v>
      </c>
      <c r="AK913" s="1">
        <v>4797.88</v>
      </c>
      <c r="AL913" s="1">
        <v>2177.8200000000002</v>
      </c>
      <c r="AM913" s="13">
        <f t="shared" si="391"/>
        <v>6975.7000000000007</v>
      </c>
      <c r="AN913" s="9">
        <f t="shared" si="392"/>
        <v>2177.8200000000006</v>
      </c>
      <c r="AO913" s="9">
        <f t="shared" si="401"/>
        <v>0.3122009260719355</v>
      </c>
      <c r="AP913" s="1" t="s">
        <v>33</v>
      </c>
      <c r="AQ913" s="1" t="str">
        <f t="shared" si="393"/>
        <v>Paid</v>
      </c>
      <c r="AR913" s="1" t="str">
        <f t="shared" si="394"/>
        <v>OK</v>
      </c>
      <c r="AS913" s="1" t="s">
        <v>76</v>
      </c>
      <c r="AT913" s="4" t="str">
        <f t="shared" si="395"/>
        <v>Cancelled</v>
      </c>
      <c r="AU913" s="3" t="str">
        <f t="shared" si="396"/>
        <v>EXCLUDE_FROM_SALES</v>
      </c>
      <c r="AV913" s="3" t="str">
        <f t="shared" si="402"/>
        <v>INVALID</v>
      </c>
      <c r="AW913" t="str">
        <f t="shared" si="403"/>
        <v>MATCH</v>
      </c>
      <c r="AX913" t="str">
        <f t="shared" si="404"/>
        <v>MATCH</v>
      </c>
    </row>
    <row r="914" spans="1:50" ht="15.6">
      <c r="A914" s="1" t="s">
        <v>3447</v>
      </c>
      <c r="B914" s="1">
        <f t="shared" si="378"/>
        <v>1</v>
      </c>
      <c r="C914" s="16">
        <v>45817</v>
      </c>
      <c r="D914" s="16">
        <v>45817</v>
      </c>
      <c r="E914" s="16" t="str">
        <f t="shared" si="397"/>
        <v>Jun</v>
      </c>
      <c r="F914" s="1">
        <f t="shared" si="398"/>
        <v>2025</v>
      </c>
      <c r="G914" t="s">
        <v>1655</v>
      </c>
      <c r="H914" s="17">
        <v>45807</v>
      </c>
      <c r="I914" s="21">
        <f t="shared" si="399"/>
        <v>-10</v>
      </c>
      <c r="J914" s="6" t="str">
        <f t="shared" si="400"/>
        <v>INVALID_SHIPPING</v>
      </c>
      <c r="K914" s="1" t="s">
        <v>3448</v>
      </c>
      <c r="L914" s="1" t="s">
        <v>153</v>
      </c>
      <c r="M914" s="1" t="str">
        <f t="shared" si="379"/>
        <v>Aarav Sharma</v>
      </c>
      <c r="N914" s="1" t="s">
        <v>110</v>
      </c>
      <c r="O914" s="1" t="str">
        <f t="shared" si="380"/>
        <v>Home Office</v>
      </c>
      <c r="P914" s="1" t="s">
        <v>71</v>
      </c>
      <c r="Q914" s="1" t="str">
        <f t="shared" si="381"/>
        <v>West</v>
      </c>
      <c r="R914" s="1" t="str">
        <f t="shared" si="382"/>
        <v>OK</v>
      </c>
      <c r="S914" s="1" t="s">
        <v>81</v>
      </c>
      <c r="T914" s="1" t="str">
        <f t="shared" si="383"/>
        <v>Madhya Pradesh</v>
      </c>
      <c r="U914" s="1" t="s">
        <v>82</v>
      </c>
      <c r="V914" s="1" t="str">
        <f t="shared" si="384"/>
        <v>Indore</v>
      </c>
      <c r="W914" s="1" t="s">
        <v>44</v>
      </c>
      <c r="X914" s="1" t="str">
        <f t="shared" si="385"/>
        <v>Furniture</v>
      </c>
      <c r="Y914" s="1" t="s">
        <v>63</v>
      </c>
      <c r="Z914" s="1" t="str">
        <f t="shared" si="386"/>
        <v>Furnishings</v>
      </c>
      <c r="AA914" s="1" t="s">
        <v>3449</v>
      </c>
      <c r="AB914" s="1" t="s">
        <v>47</v>
      </c>
      <c r="AC914" s="1" t="str">
        <f t="shared" si="387"/>
        <v>Same Day</v>
      </c>
      <c r="AD914" s="1" t="str">
        <f t="shared" si="388"/>
        <v>OK</v>
      </c>
      <c r="AE914" s="1">
        <v>3</v>
      </c>
      <c r="AF914" s="1">
        <v>2937.23</v>
      </c>
      <c r="AG914" s="9">
        <v>0</v>
      </c>
      <c r="AH914" s="9">
        <f t="shared" si="389"/>
        <v>0</v>
      </c>
      <c r="AI914" s="1" t="str">
        <f t="shared" si="390"/>
        <v>OK</v>
      </c>
      <c r="AJ914" s="1">
        <v>8811.69</v>
      </c>
      <c r="AK914" s="1">
        <v>6765.91</v>
      </c>
      <c r="AL914" s="1">
        <v>2045.78</v>
      </c>
      <c r="AM914" s="13">
        <f t="shared" si="391"/>
        <v>8811.69</v>
      </c>
      <c r="AN914" s="9">
        <f t="shared" si="392"/>
        <v>2045.7800000000007</v>
      </c>
      <c r="AO914" s="9">
        <f t="shared" si="401"/>
        <v>0.23216658779416893</v>
      </c>
      <c r="AP914" s="1" t="s">
        <v>33</v>
      </c>
      <c r="AQ914" s="1" t="str">
        <f t="shared" si="393"/>
        <v>Paid</v>
      </c>
      <c r="AR914" s="1" t="str">
        <f t="shared" si="394"/>
        <v>OK</v>
      </c>
      <c r="AS914" s="1" t="s">
        <v>34</v>
      </c>
      <c r="AT914" s="4" t="str">
        <f t="shared" si="395"/>
        <v>Completed</v>
      </c>
      <c r="AU914" s="3" t="str">
        <f t="shared" si="396"/>
        <v>OK</v>
      </c>
      <c r="AV914" s="3" t="str">
        <f t="shared" si="402"/>
        <v>INVALID</v>
      </c>
      <c r="AW914" t="str">
        <f t="shared" si="403"/>
        <v>MATCH</v>
      </c>
      <c r="AX914" t="str">
        <f t="shared" si="404"/>
        <v>MATCH</v>
      </c>
    </row>
    <row r="915" spans="1:50" ht="15.6">
      <c r="A915" s="1" t="s">
        <v>3450</v>
      </c>
      <c r="B915" s="1">
        <f t="shared" si="378"/>
        <v>1</v>
      </c>
      <c r="C915" s="16">
        <v>45697</v>
      </c>
      <c r="D915" s="16">
        <v>45697</v>
      </c>
      <c r="E915" s="16" t="str">
        <f t="shared" si="397"/>
        <v>Feb</v>
      </c>
      <c r="F915" s="1">
        <f t="shared" si="398"/>
        <v>2025</v>
      </c>
      <c r="G915" t="s">
        <v>1271</v>
      </c>
      <c r="H915" s="17">
        <v>45652</v>
      </c>
      <c r="I915" s="21">
        <f t="shared" si="399"/>
        <v>-45</v>
      </c>
      <c r="J915" s="6" t="str">
        <f t="shared" si="400"/>
        <v>INVALID_SHIPPING</v>
      </c>
      <c r="K915" s="1" t="s">
        <v>3451</v>
      </c>
      <c r="L915" s="1" t="s">
        <v>80</v>
      </c>
      <c r="M915" s="1" t="str">
        <f t="shared" si="379"/>
        <v>Vikram Iyer</v>
      </c>
      <c r="N915" s="1" t="s">
        <v>25</v>
      </c>
      <c r="O915" s="1" t="str">
        <f t="shared" si="380"/>
        <v>Consumer</v>
      </c>
      <c r="P915" s="1" t="s">
        <v>60</v>
      </c>
      <c r="Q915" s="1" t="str">
        <f t="shared" si="381"/>
        <v>South</v>
      </c>
      <c r="R915" s="1" t="str">
        <f t="shared" si="382"/>
        <v>OK</v>
      </c>
      <c r="S915" s="1" t="s">
        <v>309</v>
      </c>
      <c r="T915" s="1" t="str">
        <f t="shared" si="383"/>
        <v>Tamil Nadu</v>
      </c>
      <c r="U915" s="1" t="s">
        <v>310</v>
      </c>
      <c r="V915" s="1" t="str">
        <f t="shared" si="384"/>
        <v>Chennai</v>
      </c>
      <c r="W915" s="1" t="s">
        <v>83</v>
      </c>
      <c r="X915" s="1" t="str">
        <f t="shared" si="385"/>
        <v>Technology</v>
      </c>
      <c r="Y915" s="1" t="s">
        <v>207</v>
      </c>
      <c r="Z915" s="1" t="str">
        <f t="shared" si="386"/>
        <v>Phones</v>
      </c>
      <c r="AA915" s="1" t="s">
        <v>3452</v>
      </c>
      <c r="AB915" s="1" t="s">
        <v>55</v>
      </c>
      <c r="AC915" s="1" t="str">
        <f t="shared" si="387"/>
        <v>First Class</v>
      </c>
      <c r="AD915" s="1" t="str">
        <f t="shared" si="388"/>
        <v>OK</v>
      </c>
      <c r="AE915" s="1">
        <v>5</v>
      </c>
      <c r="AF915" s="1">
        <v>3406.87</v>
      </c>
      <c r="AG915" s="9">
        <v>0</v>
      </c>
      <c r="AH915" s="9">
        <f t="shared" si="389"/>
        <v>0</v>
      </c>
      <c r="AI915" s="1" t="str">
        <f t="shared" si="390"/>
        <v>OK</v>
      </c>
      <c r="AJ915" s="1">
        <v>17034.349999999999</v>
      </c>
      <c r="AK915" s="1">
        <v>14631.36</v>
      </c>
      <c r="AL915" s="1">
        <v>2402.9899999999998</v>
      </c>
      <c r="AM915" s="13">
        <f t="shared" si="391"/>
        <v>17034.349999999999</v>
      </c>
      <c r="AN915" s="9">
        <f t="shared" si="392"/>
        <v>2402.989999999998</v>
      </c>
      <c r="AO915" s="9">
        <f t="shared" si="401"/>
        <v>0.14106731398615141</v>
      </c>
      <c r="AP915" s="1" t="s">
        <v>33</v>
      </c>
      <c r="AQ915" s="1" t="str">
        <f t="shared" si="393"/>
        <v>Paid</v>
      </c>
      <c r="AR915" s="1" t="str">
        <f t="shared" si="394"/>
        <v>OK</v>
      </c>
      <c r="AS915" s="1" t="s">
        <v>34</v>
      </c>
      <c r="AT915" s="4" t="str">
        <f t="shared" si="395"/>
        <v>Completed</v>
      </c>
      <c r="AU915" s="3" t="str">
        <f t="shared" si="396"/>
        <v>OK</v>
      </c>
      <c r="AV915" s="3" t="str">
        <f t="shared" si="402"/>
        <v>INVALID</v>
      </c>
      <c r="AW915" t="str">
        <f t="shared" si="403"/>
        <v>MATCH</v>
      </c>
      <c r="AX915" t="str">
        <f t="shared" si="404"/>
        <v>MATCH</v>
      </c>
    </row>
    <row r="916" spans="1:50" ht="15.6">
      <c r="A916" s="1" t="s">
        <v>3453</v>
      </c>
      <c r="B916" s="1">
        <f t="shared" si="378"/>
        <v>1</v>
      </c>
      <c r="C916" s="16">
        <v>45694</v>
      </c>
      <c r="D916" s="16">
        <v>45694</v>
      </c>
      <c r="E916" s="16" t="str">
        <f t="shared" si="397"/>
        <v>Feb</v>
      </c>
      <c r="F916" s="1">
        <f t="shared" si="398"/>
        <v>2025</v>
      </c>
      <c r="G916" t="s">
        <v>2916</v>
      </c>
      <c r="H916" s="17">
        <v>45340</v>
      </c>
      <c r="I916" s="21">
        <f t="shared" si="399"/>
        <v>-354</v>
      </c>
      <c r="J916" s="6" t="str">
        <f t="shared" si="400"/>
        <v>INVALID_SHIPPING</v>
      </c>
      <c r="K916" s="1" t="s">
        <v>3454</v>
      </c>
      <c r="L916" s="1" t="s">
        <v>334</v>
      </c>
      <c r="M916" s="1" t="str">
        <f t="shared" si="379"/>
        <v>Kabir Singh</v>
      </c>
      <c r="N916" s="1" t="s">
        <v>25</v>
      </c>
      <c r="O916" s="1" t="str">
        <f t="shared" si="380"/>
        <v>Consumer</v>
      </c>
      <c r="P916" s="1" t="s">
        <v>71</v>
      </c>
      <c r="Q916" s="1" t="str">
        <f t="shared" si="381"/>
        <v>West</v>
      </c>
      <c r="R916" s="1" t="str">
        <f t="shared" si="382"/>
        <v>OK</v>
      </c>
      <c r="S916" s="1" t="s">
        <v>72</v>
      </c>
      <c r="T916" s="1" t="str">
        <f t="shared" si="383"/>
        <v>Maharashtra</v>
      </c>
      <c r="U916" s="1" t="s">
        <v>73</v>
      </c>
      <c r="V916" s="1" t="str">
        <f t="shared" si="384"/>
        <v>Mumbai</v>
      </c>
      <c r="W916" s="1" t="s">
        <v>29</v>
      </c>
      <c r="X916" s="1" t="str">
        <f t="shared" si="385"/>
        <v>Office Supplies</v>
      </c>
      <c r="Y916" s="1" t="s">
        <v>105</v>
      </c>
      <c r="Z916" s="1" t="str">
        <f t="shared" si="386"/>
        <v>Labels</v>
      </c>
      <c r="AA916" s="1" t="s">
        <v>3455</v>
      </c>
      <c r="AB916" s="1" t="s">
        <v>32</v>
      </c>
      <c r="AC916" s="1" t="str">
        <f t="shared" si="387"/>
        <v>Second Class</v>
      </c>
      <c r="AD916" s="1" t="str">
        <f t="shared" si="388"/>
        <v>OK</v>
      </c>
      <c r="AE916" s="1">
        <v>2</v>
      </c>
      <c r="AF916" s="1">
        <v>3992.04</v>
      </c>
      <c r="AG916" s="9">
        <v>0</v>
      </c>
      <c r="AH916" s="9">
        <f t="shared" si="389"/>
        <v>0</v>
      </c>
      <c r="AI916" s="1" t="str">
        <f t="shared" si="390"/>
        <v>OK</v>
      </c>
      <c r="AJ916" s="1">
        <v>7984.08</v>
      </c>
      <c r="AK916" s="1">
        <v>5658.05</v>
      </c>
      <c r="AL916" s="1">
        <v>2326.0300000000002</v>
      </c>
      <c r="AM916" s="13">
        <f t="shared" si="391"/>
        <v>7984.08</v>
      </c>
      <c r="AN916" s="9">
        <f t="shared" si="392"/>
        <v>2326.0299999999997</v>
      </c>
      <c r="AO916" s="9">
        <f t="shared" si="401"/>
        <v>0.29133350367230787</v>
      </c>
      <c r="AP916" s="1" t="s">
        <v>33</v>
      </c>
      <c r="AQ916" s="1" t="str">
        <f t="shared" si="393"/>
        <v>Paid</v>
      </c>
      <c r="AR916" s="1" t="str">
        <f t="shared" si="394"/>
        <v>OK</v>
      </c>
      <c r="AS916" s="1" t="s">
        <v>34</v>
      </c>
      <c r="AT916" s="4" t="str">
        <f t="shared" si="395"/>
        <v>Completed</v>
      </c>
      <c r="AU916" s="3" t="str">
        <f t="shared" si="396"/>
        <v>OK</v>
      </c>
      <c r="AV916" s="3" t="str">
        <f t="shared" si="402"/>
        <v>INVALID</v>
      </c>
      <c r="AW916" t="str">
        <f t="shared" si="403"/>
        <v>MATCH</v>
      </c>
      <c r="AX916" t="str">
        <f t="shared" si="404"/>
        <v>MATCH</v>
      </c>
    </row>
    <row r="917" spans="1:50" ht="15.6" hidden="1">
      <c r="A917" s="1" t="s">
        <v>3456</v>
      </c>
      <c r="B917" s="1">
        <f t="shared" si="378"/>
        <v>1</v>
      </c>
      <c r="C917" s="16">
        <v>45714</v>
      </c>
      <c r="D917" s="16">
        <v>45714</v>
      </c>
      <c r="E917" s="16" t="str">
        <f t="shared" si="397"/>
        <v>Feb</v>
      </c>
      <c r="F917" s="1">
        <f t="shared" si="398"/>
        <v>2025</v>
      </c>
      <c r="G917" t="s">
        <v>2321</v>
      </c>
      <c r="H917" s="17">
        <v>45943</v>
      </c>
      <c r="I917" s="21">
        <f t="shared" si="399"/>
        <v>229</v>
      </c>
      <c r="J917" s="6" t="str">
        <f t="shared" si="400"/>
        <v>OK</v>
      </c>
      <c r="K917" s="1" t="s">
        <v>3458</v>
      </c>
      <c r="L917" s="1" t="s">
        <v>136</v>
      </c>
      <c r="M917" s="1" t="str">
        <f t="shared" si="379"/>
        <v>Priya Menon</v>
      </c>
      <c r="N917" s="1" t="s">
        <v>25</v>
      </c>
      <c r="O917" s="1" t="str">
        <f t="shared" si="380"/>
        <v>Consumer</v>
      </c>
      <c r="P917" s="1" t="s">
        <v>41</v>
      </c>
      <c r="Q917" s="1" t="str">
        <f t="shared" si="381"/>
        <v>East</v>
      </c>
      <c r="R917" s="1" t="str">
        <f t="shared" si="382"/>
        <v>OK</v>
      </c>
      <c r="S917" s="1" t="s">
        <v>174</v>
      </c>
      <c r="T917" s="1" t="str">
        <f t="shared" si="383"/>
        <v>Bihar</v>
      </c>
      <c r="U917" s="1" t="s">
        <v>175</v>
      </c>
      <c r="V917" s="1" t="str">
        <f t="shared" si="384"/>
        <v>Patna</v>
      </c>
      <c r="W917" s="1" t="s">
        <v>44</v>
      </c>
      <c r="X917" s="1" t="str">
        <f t="shared" si="385"/>
        <v>Furniture</v>
      </c>
      <c r="Y917" s="1" t="s">
        <v>190</v>
      </c>
      <c r="Z917" s="1" t="str">
        <f t="shared" si="386"/>
        <v>Bookcases</v>
      </c>
      <c r="AA917" s="1" t="s">
        <v>3459</v>
      </c>
      <c r="AB917" s="1" t="s">
        <v>55</v>
      </c>
      <c r="AC917" s="1" t="str">
        <f t="shared" si="387"/>
        <v>First Class</v>
      </c>
      <c r="AD917" s="1" t="str">
        <f t="shared" si="388"/>
        <v>OK</v>
      </c>
      <c r="AE917" s="1">
        <v>9</v>
      </c>
      <c r="AF917" s="1">
        <v>3043.37</v>
      </c>
      <c r="AG917" s="9">
        <v>0.2</v>
      </c>
      <c r="AH917" s="9">
        <f t="shared" si="389"/>
        <v>0.2</v>
      </c>
      <c r="AI917" s="1" t="str">
        <f t="shared" si="390"/>
        <v>OK</v>
      </c>
      <c r="AJ917" s="1">
        <v>21912.26</v>
      </c>
      <c r="AK917" s="1">
        <v>16367.78</v>
      </c>
      <c r="AL917" s="1">
        <v>5544.48</v>
      </c>
      <c r="AM917" s="13">
        <f t="shared" si="391"/>
        <v>21912.263999999999</v>
      </c>
      <c r="AN917" s="9">
        <f t="shared" si="392"/>
        <v>5544.4839999999986</v>
      </c>
      <c r="AO917" s="9">
        <f t="shared" si="401"/>
        <v>0.25303108797885965</v>
      </c>
      <c r="AP917" s="1" t="s">
        <v>131</v>
      </c>
      <c r="AQ917" s="1" t="str">
        <f t="shared" si="393"/>
        <v>Pending</v>
      </c>
      <c r="AR917" s="1" t="str">
        <f t="shared" si="394"/>
        <v>OK</v>
      </c>
      <c r="AS917" s="1" t="s">
        <v>76</v>
      </c>
      <c r="AT917" s="4" t="str">
        <f t="shared" si="395"/>
        <v>Cancelled</v>
      </c>
      <c r="AU917" s="3" t="str">
        <f t="shared" si="396"/>
        <v>EXCLUDE_FROM_SALES</v>
      </c>
      <c r="AV917" s="3" t="str">
        <f t="shared" si="402"/>
        <v>CLEAN</v>
      </c>
      <c r="AW917" t="str">
        <f t="shared" si="403"/>
        <v>MATCH</v>
      </c>
      <c r="AX917" t="str">
        <f t="shared" si="404"/>
        <v>MATCH</v>
      </c>
    </row>
    <row r="918" spans="1:50" ht="15.6">
      <c r="A918" s="1" t="s">
        <v>3464</v>
      </c>
      <c r="B918" s="1">
        <f t="shared" si="378"/>
        <v>1</v>
      </c>
      <c r="C918" s="16">
        <v>45758</v>
      </c>
      <c r="D918" s="16">
        <v>45758</v>
      </c>
      <c r="E918" s="16" t="str">
        <f t="shared" si="397"/>
        <v>Apr</v>
      </c>
      <c r="F918" s="1">
        <f t="shared" si="398"/>
        <v>2025</v>
      </c>
      <c r="G918" t="s">
        <v>947</v>
      </c>
      <c r="H918" s="17">
        <v>45629</v>
      </c>
      <c r="I918" s="21">
        <f t="shared" si="399"/>
        <v>-129</v>
      </c>
      <c r="J918" s="6" t="str">
        <f t="shared" si="400"/>
        <v>INVALID_SHIPPING</v>
      </c>
      <c r="K918" s="1" t="s">
        <v>3465</v>
      </c>
      <c r="L918" s="1" t="s">
        <v>80</v>
      </c>
      <c r="M918" s="1" t="str">
        <f t="shared" si="379"/>
        <v>Vikram Iyer</v>
      </c>
      <c r="N918" s="1" t="s">
        <v>110</v>
      </c>
      <c r="O918" s="1" t="str">
        <f t="shared" si="380"/>
        <v>Home Office</v>
      </c>
      <c r="P918" s="1" t="s">
        <v>60</v>
      </c>
      <c r="Q918" s="1" t="str">
        <f t="shared" si="381"/>
        <v>South</v>
      </c>
      <c r="R918" s="1" t="str">
        <f t="shared" si="382"/>
        <v>OK</v>
      </c>
      <c r="S918" s="1" t="s">
        <v>212</v>
      </c>
      <c r="T918" s="1" t="str">
        <f t="shared" si="383"/>
        <v>Karnataka</v>
      </c>
      <c r="U918" s="1" t="s">
        <v>213</v>
      </c>
      <c r="V918" s="1" t="str">
        <f t="shared" si="384"/>
        <v>Bengaluru</v>
      </c>
      <c r="W918" s="1" t="s">
        <v>29</v>
      </c>
      <c r="X918" s="1" t="str">
        <f t="shared" si="385"/>
        <v>Office Supplies</v>
      </c>
      <c r="Y918" s="1" t="s">
        <v>148</v>
      </c>
      <c r="Z918" s="1" t="str">
        <f t="shared" si="386"/>
        <v>Storage</v>
      </c>
      <c r="AA918" s="1" t="s">
        <v>3466</v>
      </c>
      <c r="AB918" s="1" t="s">
        <v>47</v>
      </c>
      <c r="AC918" s="1" t="str">
        <f t="shared" si="387"/>
        <v>Same Day</v>
      </c>
      <c r="AD918" s="1" t="str">
        <f t="shared" si="388"/>
        <v>OK</v>
      </c>
      <c r="AE918" s="1">
        <v>9</v>
      </c>
      <c r="AF918" s="1">
        <v>224.94</v>
      </c>
      <c r="AG918" s="9">
        <v>0.05</v>
      </c>
      <c r="AH918" s="9">
        <f t="shared" si="389"/>
        <v>0.05</v>
      </c>
      <c r="AI918" s="1" t="str">
        <f t="shared" si="390"/>
        <v>OK</v>
      </c>
      <c r="AJ918" s="1">
        <v>1923.24</v>
      </c>
      <c r="AK918" s="1">
        <v>1093.6600000000001</v>
      </c>
      <c r="AL918" s="1">
        <v>829.58</v>
      </c>
      <c r="AM918" s="13">
        <f t="shared" si="391"/>
        <v>1923.2369999999999</v>
      </c>
      <c r="AN918" s="9">
        <f t="shared" si="392"/>
        <v>829.57699999999977</v>
      </c>
      <c r="AO918" s="9">
        <f t="shared" si="401"/>
        <v>0.43134413491420964</v>
      </c>
      <c r="AP918" s="1" t="s">
        <v>33</v>
      </c>
      <c r="AQ918" s="1" t="str">
        <f t="shared" si="393"/>
        <v>Paid</v>
      </c>
      <c r="AR918" s="1" t="str">
        <f t="shared" si="394"/>
        <v>OK</v>
      </c>
      <c r="AS918" s="1" t="s">
        <v>34</v>
      </c>
      <c r="AT918" s="4" t="str">
        <f t="shared" si="395"/>
        <v>Completed</v>
      </c>
      <c r="AU918" s="3" t="str">
        <f t="shared" si="396"/>
        <v>OK</v>
      </c>
      <c r="AV918" s="3" t="str">
        <f t="shared" si="402"/>
        <v>INVALID</v>
      </c>
      <c r="AW918" t="str">
        <f t="shared" si="403"/>
        <v>MATCH</v>
      </c>
      <c r="AX918" t="str">
        <f t="shared" si="404"/>
        <v>MATCH</v>
      </c>
    </row>
    <row r="919" spans="1:50" ht="15.6">
      <c r="A919" s="1" t="s">
        <v>3467</v>
      </c>
      <c r="B919" s="1">
        <f t="shared" si="378"/>
        <v>1</v>
      </c>
      <c r="C919" s="16">
        <v>45811</v>
      </c>
      <c r="D919" s="16">
        <v>45811</v>
      </c>
      <c r="E919" s="16" t="str">
        <f t="shared" si="397"/>
        <v>Jun</v>
      </c>
      <c r="F919" s="1">
        <f t="shared" si="398"/>
        <v>2025</v>
      </c>
      <c r="G919" t="s">
        <v>650</v>
      </c>
      <c r="H919" s="17">
        <v>45683</v>
      </c>
      <c r="I919" s="21">
        <f t="shared" si="399"/>
        <v>-128</v>
      </c>
      <c r="J919" s="6" t="str">
        <f t="shared" si="400"/>
        <v>INVALID_SHIPPING</v>
      </c>
      <c r="K919" s="1" t="s">
        <v>3468</v>
      </c>
      <c r="L919" s="1" t="s">
        <v>169</v>
      </c>
      <c r="M919" s="1" t="str">
        <f t="shared" si="379"/>
        <v>Rohan Mehta</v>
      </c>
      <c r="N919" s="1" t="s">
        <v>110</v>
      </c>
      <c r="O919" s="1" t="str">
        <f t="shared" si="380"/>
        <v>Home Office</v>
      </c>
      <c r="P919" s="1"/>
      <c r="Q919" s="1" t="str">
        <f t="shared" si="381"/>
        <v>Unknown</v>
      </c>
      <c r="R919" s="1" t="str">
        <f t="shared" si="382"/>
        <v>MISSING_REGION</v>
      </c>
      <c r="S919" s="1" t="s">
        <v>454</v>
      </c>
      <c r="T919" s="1" t="str">
        <f t="shared" si="383"/>
        <v>Delhi</v>
      </c>
      <c r="U919" s="1" t="s">
        <v>455</v>
      </c>
      <c r="V919" s="1" t="str">
        <f t="shared" si="384"/>
        <v>New Delhi</v>
      </c>
      <c r="W919" s="1" t="s">
        <v>44</v>
      </c>
      <c r="X919" s="1" t="str">
        <f t="shared" si="385"/>
        <v>Furniture</v>
      </c>
      <c r="Y919" s="1" t="s">
        <v>74</v>
      </c>
      <c r="Z919" s="1" t="str">
        <f t="shared" si="386"/>
        <v>Chairs</v>
      </c>
      <c r="AA919" s="1" t="s">
        <v>1541</v>
      </c>
      <c r="AB919" s="1" t="s">
        <v>47</v>
      </c>
      <c r="AC919" s="1" t="str">
        <f t="shared" si="387"/>
        <v>Same Day</v>
      </c>
      <c r="AD919" s="1" t="str">
        <f t="shared" si="388"/>
        <v>OK</v>
      </c>
      <c r="AE919" s="1">
        <v>6</v>
      </c>
      <c r="AF919" s="1">
        <v>796.65</v>
      </c>
      <c r="AG919" s="9">
        <v>0.1</v>
      </c>
      <c r="AH919" s="9">
        <f t="shared" si="389"/>
        <v>0.1</v>
      </c>
      <c r="AI919" s="1" t="str">
        <f t="shared" si="390"/>
        <v>OK</v>
      </c>
      <c r="AJ919" s="1">
        <v>4301.91</v>
      </c>
      <c r="AK919" s="1">
        <v>2374.4</v>
      </c>
      <c r="AL919" s="1">
        <v>1927.51</v>
      </c>
      <c r="AM919" s="13">
        <f t="shared" si="391"/>
        <v>4301.91</v>
      </c>
      <c r="AN919" s="9">
        <f t="shared" si="392"/>
        <v>1927.5099999999998</v>
      </c>
      <c r="AO919" s="9">
        <f t="shared" si="401"/>
        <v>0.44805911792668834</v>
      </c>
      <c r="AP919" s="1" t="s">
        <v>33</v>
      </c>
      <c r="AQ919" s="1" t="str">
        <f t="shared" si="393"/>
        <v>Paid</v>
      </c>
      <c r="AR919" s="1" t="str">
        <f t="shared" si="394"/>
        <v>OK</v>
      </c>
      <c r="AS919" s="1" t="s">
        <v>34</v>
      </c>
      <c r="AT919" s="4" t="str">
        <f t="shared" si="395"/>
        <v>Completed</v>
      </c>
      <c r="AU919" s="3" t="str">
        <f t="shared" si="396"/>
        <v>OK</v>
      </c>
      <c r="AV919" s="3" t="str">
        <f t="shared" si="402"/>
        <v>INVALID</v>
      </c>
      <c r="AW919" t="str">
        <f t="shared" si="403"/>
        <v>MATCH</v>
      </c>
      <c r="AX919" t="str">
        <f t="shared" si="404"/>
        <v>MATCH</v>
      </c>
    </row>
    <row r="920" spans="1:50" ht="15.6" hidden="1">
      <c r="A920" s="1" t="s">
        <v>3469</v>
      </c>
      <c r="B920" s="1">
        <f t="shared" si="378"/>
        <v>1</v>
      </c>
      <c r="C920" s="16">
        <v>45814</v>
      </c>
      <c r="D920" s="16">
        <v>45814</v>
      </c>
      <c r="E920" s="16" t="str">
        <f t="shared" si="397"/>
        <v>Jun</v>
      </c>
      <c r="F920" s="1">
        <f t="shared" si="398"/>
        <v>2025</v>
      </c>
      <c r="G920" t="s">
        <v>2790</v>
      </c>
      <c r="H920" s="17">
        <v>45918</v>
      </c>
      <c r="I920" s="21">
        <f t="shared" si="399"/>
        <v>104</v>
      </c>
      <c r="J920" s="6" t="str">
        <f t="shared" si="400"/>
        <v>OK</v>
      </c>
      <c r="K920" s="1" t="s">
        <v>3471</v>
      </c>
      <c r="L920" s="1" t="s">
        <v>80</v>
      </c>
      <c r="M920" s="1" t="str">
        <f t="shared" si="379"/>
        <v>Vikram Iyer</v>
      </c>
      <c r="N920" s="1" t="s">
        <v>104</v>
      </c>
      <c r="O920" s="1" t="str">
        <f t="shared" si="380"/>
        <v>Corporate</v>
      </c>
      <c r="P920" s="1" t="s">
        <v>71</v>
      </c>
      <c r="Q920" s="1" t="str">
        <f t="shared" si="381"/>
        <v>West</v>
      </c>
      <c r="R920" s="1" t="str">
        <f t="shared" si="382"/>
        <v>OK</v>
      </c>
      <c r="S920" s="1" t="s">
        <v>230</v>
      </c>
      <c r="T920" s="1" t="str">
        <f t="shared" si="383"/>
        <v>Goa</v>
      </c>
      <c r="U920" s="1" t="s">
        <v>231</v>
      </c>
      <c r="V920" s="1" t="str">
        <f t="shared" si="384"/>
        <v>Panaji</v>
      </c>
      <c r="W920" s="1" t="s">
        <v>44</v>
      </c>
      <c r="X920" s="1" t="str">
        <f t="shared" si="385"/>
        <v>Furniture</v>
      </c>
      <c r="Y920" s="1" t="s">
        <v>45</v>
      </c>
      <c r="Z920" s="1" t="str">
        <f t="shared" si="386"/>
        <v>Tables</v>
      </c>
      <c r="AA920" s="1" t="s">
        <v>3472</v>
      </c>
      <c r="AB920" s="1" t="s">
        <v>65</v>
      </c>
      <c r="AC920" s="1" t="str">
        <f t="shared" si="387"/>
        <v>Standard Class</v>
      </c>
      <c r="AD920" s="1" t="str">
        <f t="shared" si="388"/>
        <v>OK</v>
      </c>
      <c r="AE920" s="1">
        <v>9</v>
      </c>
      <c r="AF920" s="1">
        <v>2932.92</v>
      </c>
      <c r="AG920" s="9">
        <v>0.15</v>
      </c>
      <c r="AH920" s="9">
        <f t="shared" si="389"/>
        <v>0.15</v>
      </c>
      <c r="AI920" s="1" t="str">
        <f t="shared" si="390"/>
        <v>OK</v>
      </c>
      <c r="AJ920" s="1">
        <v>22436.84</v>
      </c>
      <c r="AK920" s="1">
        <v>17454.669999999998</v>
      </c>
      <c r="AL920" s="1">
        <v>4982.17</v>
      </c>
      <c r="AM920" s="13">
        <f t="shared" si="391"/>
        <v>22436.838</v>
      </c>
      <c r="AN920" s="9">
        <f t="shared" si="392"/>
        <v>4982.1680000000015</v>
      </c>
      <c r="AO920" s="9">
        <f t="shared" si="401"/>
        <v>0.22205303617203109</v>
      </c>
      <c r="AP920" s="1" t="s">
        <v>33</v>
      </c>
      <c r="AQ920" s="1" t="str">
        <f t="shared" si="393"/>
        <v>Paid</v>
      </c>
      <c r="AR920" s="1" t="str">
        <f t="shared" si="394"/>
        <v>OK</v>
      </c>
      <c r="AS920" s="1" t="s">
        <v>76</v>
      </c>
      <c r="AT920" s="4" t="str">
        <f t="shared" si="395"/>
        <v>Cancelled</v>
      </c>
      <c r="AU920" s="3" t="str">
        <f t="shared" si="396"/>
        <v>EXCLUDE_FROM_SALES</v>
      </c>
      <c r="AV920" s="3" t="str">
        <f t="shared" si="402"/>
        <v>CLEAN</v>
      </c>
      <c r="AW920" t="str">
        <f t="shared" si="403"/>
        <v>MATCH</v>
      </c>
      <c r="AX920" t="str">
        <f t="shared" si="404"/>
        <v>MATCH</v>
      </c>
    </row>
    <row r="921" spans="1:50" ht="15.6" hidden="1">
      <c r="A921" s="1" t="s">
        <v>3478</v>
      </c>
      <c r="B921" s="1">
        <f t="shared" si="378"/>
        <v>1</v>
      </c>
      <c r="C921" s="16">
        <v>45659</v>
      </c>
      <c r="D921" s="16">
        <v>45659</v>
      </c>
      <c r="E921" s="16" t="str">
        <f t="shared" si="397"/>
        <v>Jan</v>
      </c>
      <c r="F921" s="1">
        <f t="shared" si="398"/>
        <v>2025</v>
      </c>
      <c r="G921" t="s">
        <v>88</v>
      </c>
      <c r="H921" s="17">
        <v>45763</v>
      </c>
      <c r="I921" s="21">
        <f t="shared" si="399"/>
        <v>104</v>
      </c>
      <c r="J921" s="6" t="str">
        <f t="shared" si="400"/>
        <v>OK</v>
      </c>
      <c r="K921" s="1" t="s">
        <v>3480</v>
      </c>
      <c r="L921" s="1" t="s">
        <v>103</v>
      </c>
      <c r="M921" s="1" t="str">
        <f t="shared" si="379"/>
        <v>Aditi Sen</v>
      </c>
      <c r="N921" s="1" t="s">
        <v>110</v>
      </c>
      <c r="O921" s="1" t="str">
        <f t="shared" si="380"/>
        <v>Home Office</v>
      </c>
      <c r="P921" s="1" t="s">
        <v>71</v>
      </c>
      <c r="Q921" s="1" t="str">
        <f t="shared" si="381"/>
        <v>West</v>
      </c>
      <c r="R921" s="1" t="str">
        <f t="shared" si="382"/>
        <v>OK</v>
      </c>
      <c r="S921" s="1" t="s">
        <v>218</v>
      </c>
      <c r="T921" s="1" t="str">
        <f t="shared" si="383"/>
        <v>Gujarat</v>
      </c>
      <c r="U921" s="1" t="s">
        <v>219</v>
      </c>
      <c r="V921" s="1" t="str">
        <f t="shared" si="384"/>
        <v>Ahmedabad</v>
      </c>
      <c r="W921" s="1" t="s">
        <v>29</v>
      </c>
      <c r="X921" s="1" t="str">
        <f t="shared" si="385"/>
        <v>Office Supplies</v>
      </c>
      <c r="Y921" s="1" t="s">
        <v>148</v>
      </c>
      <c r="Z921" s="1" t="str">
        <f t="shared" si="386"/>
        <v>Storage</v>
      </c>
      <c r="AA921" s="1" t="s">
        <v>3481</v>
      </c>
      <c r="AB921" s="1" t="s">
        <v>32</v>
      </c>
      <c r="AC921" s="1" t="str">
        <f t="shared" si="387"/>
        <v>Second Class</v>
      </c>
      <c r="AD921" s="1" t="str">
        <f t="shared" si="388"/>
        <v>OK</v>
      </c>
      <c r="AE921" s="1">
        <v>8</v>
      </c>
      <c r="AF921" s="1">
        <v>623.30999999999995</v>
      </c>
      <c r="AG921" s="9">
        <v>0.1</v>
      </c>
      <c r="AH921" s="9">
        <f t="shared" si="389"/>
        <v>0.1</v>
      </c>
      <c r="AI921" s="1" t="str">
        <f t="shared" si="390"/>
        <v>OK</v>
      </c>
      <c r="AJ921" s="1">
        <v>4487.83</v>
      </c>
      <c r="AK921" s="1">
        <v>2633.78</v>
      </c>
      <c r="AL921" s="1">
        <v>1854.05</v>
      </c>
      <c r="AM921" s="13">
        <f t="shared" si="391"/>
        <v>4487.8319999999994</v>
      </c>
      <c r="AN921" s="9">
        <f t="shared" si="392"/>
        <v>1854.0519999999992</v>
      </c>
      <c r="AO921" s="9">
        <f t="shared" si="401"/>
        <v>0.41312865543986482</v>
      </c>
      <c r="AP921" s="1" t="s">
        <v>33</v>
      </c>
      <c r="AQ921" s="1" t="str">
        <f t="shared" si="393"/>
        <v>Paid</v>
      </c>
      <c r="AR921" s="1" t="str">
        <f t="shared" si="394"/>
        <v>OK</v>
      </c>
      <c r="AS921" s="1" t="s">
        <v>34</v>
      </c>
      <c r="AT921" s="4" t="str">
        <f t="shared" si="395"/>
        <v>Completed</v>
      </c>
      <c r="AU921" s="3" t="str">
        <f t="shared" si="396"/>
        <v>OK</v>
      </c>
      <c r="AV921" s="3" t="str">
        <f t="shared" si="402"/>
        <v>CLEAN</v>
      </c>
      <c r="AW921" t="str">
        <f t="shared" si="403"/>
        <v>MATCH</v>
      </c>
      <c r="AX921" t="str">
        <f t="shared" si="404"/>
        <v>MATCH</v>
      </c>
    </row>
    <row r="922" spans="1:50" ht="15.6">
      <c r="A922" s="1" t="s">
        <v>3482</v>
      </c>
      <c r="B922" s="1">
        <f t="shared" si="378"/>
        <v>1</v>
      </c>
      <c r="C922" s="16">
        <v>45853</v>
      </c>
      <c r="D922" s="16">
        <v>45853</v>
      </c>
      <c r="E922" s="16" t="str">
        <f t="shared" si="397"/>
        <v>Jul</v>
      </c>
      <c r="F922" s="1">
        <f t="shared" si="398"/>
        <v>2025</v>
      </c>
      <c r="G922" t="s">
        <v>1475</v>
      </c>
      <c r="H922" s="17">
        <v>45632</v>
      </c>
      <c r="I922" s="21">
        <f t="shared" si="399"/>
        <v>-221</v>
      </c>
      <c r="J922" s="6" t="str">
        <f t="shared" si="400"/>
        <v>INVALID_SHIPPING</v>
      </c>
      <c r="K922" s="1" t="s">
        <v>3483</v>
      </c>
      <c r="L922" s="1" t="s">
        <v>80</v>
      </c>
      <c r="M922" s="1" t="str">
        <f t="shared" si="379"/>
        <v>Vikram Iyer</v>
      </c>
      <c r="N922" s="1" t="s">
        <v>40</v>
      </c>
      <c r="O922" s="1" t="str">
        <f t="shared" si="380"/>
        <v>Small Business</v>
      </c>
      <c r="P922" s="1" t="s">
        <v>71</v>
      </c>
      <c r="Q922" s="1" t="str">
        <f t="shared" si="381"/>
        <v>West</v>
      </c>
      <c r="R922" s="1" t="str">
        <f t="shared" si="382"/>
        <v>OK</v>
      </c>
      <c r="S922" s="1" t="s">
        <v>72</v>
      </c>
      <c r="T922" s="1" t="str">
        <f t="shared" si="383"/>
        <v>Maharashtra</v>
      </c>
      <c r="U922" s="1" t="s">
        <v>73</v>
      </c>
      <c r="V922" s="1" t="str">
        <f t="shared" si="384"/>
        <v>Mumbai</v>
      </c>
      <c r="W922" s="1" t="s">
        <v>29</v>
      </c>
      <c r="X922" s="1" t="str">
        <f t="shared" si="385"/>
        <v>Office Supplies</v>
      </c>
      <c r="Y922" s="1" t="s">
        <v>30</v>
      </c>
      <c r="Z922" s="1" t="str">
        <f t="shared" si="386"/>
        <v>Paper</v>
      </c>
      <c r="AA922" s="1" t="s">
        <v>3484</v>
      </c>
      <c r="AB922" s="1" t="s">
        <v>65</v>
      </c>
      <c r="AC922" s="1" t="str">
        <f t="shared" si="387"/>
        <v>Standard Class</v>
      </c>
      <c r="AD922" s="1" t="str">
        <f t="shared" si="388"/>
        <v>OK</v>
      </c>
      <c r="AE922" s="1">
        <v>8</v>
      </c>
      <c r="AF922" s="1">
        <v>3924.88</v>
      </c>
      <c r="AG922" s="9">
        <v>0.05</v>
      </c>
      <c r="AH922" s="9">
        <f t="shared" si="389"/>
        <v>0.05</v>
      </c>
      <c r="AI922" s="1" t="str">
        <f t="shared" si="390"/>
        <v>OK</v>
      </c>
      <c r="AJ922" s="1">
        <v>29829.09</v>
      </c>
      <c r="AK922" s="1">
        <v>20710.18</v>
      </c>
      <c r="AL922" s="1">
        <v>9118.91</v>
      </c>
      <c r="AM922" s="13">
        <f t="shared" si="391"/>
        <v>29829.088</v>
      </c>
      <c r="AN922" s="9">
        <f t="shared" si="392"/>
        <v>9118.9079999999994</v>
      </c>
      <c r="AO922" s="9">
        <f t="shared" si="401"/>
        <v>0.30570522303598419</v>
      </c>
      <c r="AP922" s="1" t="s">
        <v>33</v>
      </c>
      <c r="AQ922" s="1" t="str">
        <f t="shared" si="393"/>
        <v>Paid</v>
      </c>
      <c r="AR922" s="1" t="str">
        <f t="shared" si="394"/>
        <v>OK</v>
      </c>
      <c r="AS922" s="1" t="s">
        <v>34</v>
      </c>
      <c r="AT922" s="4" t="str">
        <f t="shared" si="395"/>
        <v>Completed</v>
      </c>
      <c r="AU922" s="3" t="str">
        <f t="shared" si="396"/>
        <v>OK</v>
      </c>
      <c r="AV922" s="3" t="str">
        <f t="shared" si="402"/>
        <v>INVALID</v>
      </c>
      <c r="AW922" t="str">
        <f t="shared" si="403"/>
        <v>MATCH</v>
      </c>
      <c r="AX922" t="str">
        <f t="shared" si="404"/>
        <v>MATCH</v>
      </c>
    </row>
    <row r="923" spans="1:50" ht="15.6" hidden="1">
      <c r="A923" s="1" t="s">
        <v>3492</v>
      </c>
      <c r="B923" s="1">
        <f t="shared" si="378"/>
        <v>1</v>
      </c>
      <c r="C923" s="16">
        <v>45895</v>
      </c>
      <c r="D923" s="16">
        <v>45895</v>
      </c>
      <c r="E923" s="16" t="str">
        <f t="shared" si="397"/>
        <v>Aug</v>
      </c>
      <c r="F923" s="1">
        <f t="shared" si="398"/>
        <v>2025</v>
      </c>
      <c r="G923" t="s">
        <v>67</v>
      </c>
      <c r="H923" s="17">
        <v>45898</v>
      </c>
      <c r="I923" s="21">
        <f t="shared" si="399"/>
        <v>3</v>
      </c>
      <c r="J923" s="6" t="str">
        <f t="shared" si="400"/>
        <v>OK</v>
      </c>
      <c r="K923" s="1" t="s">
        <v>3493</v>
      </c>
      <c r="L923" s="1" t="s">
        <v>153</v>
      </c>
      <c r="M923" s="1" t="str">
        <f t="shared" si="379"/>
        <v>Aarav Sharma</v>
      </c>
      <c r="N923" s="1" t="s">
        <v>25</v>
      </c>
      <c r="O923" s="1" t="str">
        <f t="shared" si="380"/>
        <v>Consumer</v>
      </c>
      <c r="P923" s="1" t="s">
        <v>71</v>
      </c>
      <c r="Q923" s="1" t="str">
        <f t="shared" si="381"/>
        <v>West</v>
      </c>
      <c r="R923" s="1" t="str">
        <f t="shared" si="382"/>
        <v>OK</v>
      </c>
      <c r="S923" s="1" t="s">
        <v>27</v>
      </c>
      <c r="T923" s="1" t="str">
        <f t="shared" si="383"/>
        <v>Rajasthan</v>
      </c>
      <c r="U923" s="1" t="s">
        <v>129</v>
      </c>
      <c r="V923" s="1" t="str">
        <f t="shared" si="384"/>
        <v>Udaipur</v>
      </c>
      <c r="W923" s="1" t="s">
        <v>29</v>
      </c>
      <c r="X923" s="1" t="str">
        <f t="shared" si="385"/>
        <v>Office Supplies</v>
      </c>
      <c r="Y923" s="1" t="s">
        <v>148</v>
      </c>
      <c r="Z923" s="1" t="str">
        <f t="shared" si="386"/>
        <v>Storage</v>
      </c>
      <c r="AA923" s="1" t="s">
        <v>3494</v>
      </c>
      <c r="AB923" s="1" t="s">
        <v>32</v>
      </c>
      <c r="AC923" s="1" t="str">
        <f t="shared" si="387"/>
        <v>Second Class</v>
      </c>
      <c r="AD923" s="1" t="str">
        <f t="shared" si="388"/>
        <v>OK</v>
      </c>
      <c r="AE923" s="1">
        <v>6</v>
      </c>
      <c r="AF923" s="1">
        <v>674.36</v>
      </c>
      <c r="AG923" s="9">
        <v>0.1</v>
      </c>
      <c r="AH923" s="9">
        <f t="shared" si="389"/>
        <v>0.1</v>
      </c>
      <c r="AI923" s="1" t="str">
        <f t="shared" si="390"/>
        <v>OK</v>
      </c>
      <c r="AJ923" s="1">
        <v>3641.54</v>
      </c>
      <c r="AK923" s="1">
        <v>2690.37</v>
      </c>
      <c r="AL923" s="1">
        <v>951.17</v>
      </c>
      <c r="AM923" s="13">
        <f t="shared" si="391"/>
        <v>3641.5439999999999</v>
      </c>
      <c r="AN923" s="9">
        <f t="shared" si="392"/>
        <v>951.17399999999998</v>
      </c>
      <c r="AO923" s="9">
        <f t="shared" si="401"/>
        <v>0.26120074342092253</v>
      </c>
      <c r="AP923" s="1" t="s">
        <v>33</v>
      </c>
      <c r="AQ923" s="1" t="str">
        <f t="shared" si="393"/>
        <v>Paid</v>
      </c>
      <c r="AR923" s="1" t="str">
        <f t="shared" si="394"/>
        <v>OK</v>
      </c>
      <c r="AS923" s="1" t="s">
        <v>34</v>
      </c>
      <c r="AT923" s="4" t="str">
        <f t="shared" si="395"/>
        <v>Completed</v>
      </c>
      <c r="AU923" s="3" t="str">
        <f t="shared" si="396"/>
        <v>OK</v>
      </c>
      <c r="AV923" s="3" t="str">
        <f t="shared" si="402"/>
        <v>CLEAN</v>
      </c>
      <c r="AW923" t="str">
        <f t="shared" si="403"/>
        <v>MATCH</v>
      </c>
      <c r="AX923" t="str">
        <f t="shared" si="404"/>
        <v>MATCH</v>
      </c>
    </row>
    <row r="924" spans="1:50" ht="15.6">
      <c r="A924" s="1" t="s">
        <v>3498</v>
      </c>
      <c r="B924" s="1">
        <f t="shared" si="378"/>
        <v>1</v>
      </c>
      <c r="C924" s="16">
        <v>45896</v>
      </c>
      <c r="D924" s="16">
        <v>45896</v>
      </c>
      <c r="E924" s="16" t="str">
        <f t="shared" si="397"/>
        <v>Aug</v>
      </c>
      <c r="F924" s="1">
        <f t="shared" si="398"/>
        <v>2025</v>
      </c>
      <c r="G924" t="s">
        <v>1639</v>
      </c>
      <c r="H924" s="17">
        <v>45760</v>
      </c>
      <c r="I924" s="21">
        <f t="shared" si="399"/>
        <v>-136</v>
      </c>
      <c r="J924" s="6" t="str">
        <f t="shared" si="400"/>
        <v>INVALID_SHIPPING</v>
      </c>
      <c r="K924" s="1" t="s">
        <v>3499</v>
      </c>
      <c r="L924" s="1" t="s">
        <v>70</v>
      </c>
      <c r="M924" s="1" t="str">
        <f t="shared" si="379"/>
        <v>Ananya Rao</v>
      </c>
      <c r="N924" s="1" t="s">
        <v>110</v>
      </c>
      <c r="O924" s="1" t="str">
        <f t="shared" si="380"/>
        <v>Home Office</v>
      </c>
      <c r="P924" s="1" t="s">
        <v>26</v>
      </c>
      <c r="Q924" s="1" t="str">
        <f t="shared" si="381"/>
        <v>North</v>
      </c>
      <c r="R924" s="1" t="str">
        <f t="shared" si="382"/>
        <v>OK</v>
      </c>
      <c r="S924" s="1" t="s">
        <v>163</v>
      </c>
      <c r="T924" s="1" t="str">
        <f t="shared" si="383"/>
        <v>Uttar Pradesh</v>
      </c>
      <c r="U924" s="1" t="s">
        <v>164</v>
      </c>
      <c r="V924" s="1" t="str">
        <f t="shared" si="384"/>
        <v>Noida</v>
      </c>
      <c r="W924" s="1" t="s">
        <v>29</v>
      </c>
      <c r="X924" s="1" t="str">
        <f t="shared" si="385"/>
        <v>Office Supplies</v>
      </c>
      <c r="Y924" s="1" t="s">
        <v>53</v>
      </c>
      <c r="Z924" s="1" t="str">
        <f t="shared" si="386"/>
        <v>Art</v>
      </c>
      <c r="AA924" s="1" t="s">
        <v>3500</v>
      </c>
      <c r="AB924" s="1" t="s">
        <v>65</v>
      </c>
      <c r="AC924" s="1" t="str">
        <f t="shared" si="387"/>
        <v>Standard Class</v>
      </c>
      <c r="AD924" s="1" t="str">
        <f t="shared" si="388"/>
        <v>OK</v>
      </c>
      <c r="AE924" s="1">
        <v>6</v>
      </c>
      <c r="AF924" s="1">
        <v>1182.03</v>
      </c>
      <c r="AG924" s="9">
        <v>0.15</v>
      </c>
      <c r="AH924" s="9">
        <f t="shared" si="389"/>
        <v>0.15</v>
      </c>
      <c r="AI924" s="1" t="str">
        <f t="shared" si="390"/>
        <v>OK</v>
      </c>
      <c r="AJ924" s="1">
        <v>6028.35</v>
      </c>
      <c r="AK924" s="1">
        <v>4433.63</v>
      </c>
      <c r="AL924" s="1">
        <v>1594.72</v>
      </c>
      <c r="AM924" s="13">
        <f t="shared" si="391"/>
        <v>6028.3530000000001</v>
      </c>
      <c r="AN924" s="9">
        <f t="shared" si="392"/>
        <v>1594.723</v>
      </c>
      <c r="AO924" s="9">
        <f t="shared" si="401"/>
        <v>0.26453709661660491</v>
      </c>
      <c r="AP924" s="1" t="s">
        <v>33</v>
      </c>
      <c r="AQ924" s="1" t="str">
        <f t="shared" si="393"/>
        <v>Paid</v>
      </c>
      <c r="AR924" s="1" t="str">
        <f t="shared" si="394"/>
        <v>OK</v>
      </c>
      <c r="AS924" s="1" t="s">
        <v>34</v>
      </c>
      <c r="AT924" s="4" t="str">
        <f t="shared" si="395"/>
        <v>Completed</v>
      </c>
      <c r="AU924" s="3" t="str">
        <f t="shared" si="396"/>
        <v>OK</v>
      </c>
      <c r="AV924" s="3" t="str">
        <f t="shared" si="402"/>
        <v>INVALID</v>
      </c>
      <c r="AW924" t="str">
        <f t="shared" si="403"/>
        <v>MATCH</v>
      </c>
      <c r="AX924" t="str">
        <f t="shared" si="404"/>
        <v>MATCH</v>
      </c>
    </row>
    <row r="925" spans="1:50" ht="15.6" hidden="1">
      <c r="A925" s="1" t="s">
        <v>3508</v>
      </c>
      <c r="B925" s="1">
        <f t="shared" si="378"/>
        <v>1</v>
      </c>
      <c r="C925" s="16">
        <v>45690</v>
      </c>
      <c r="D925" s="16">
        <v>45690</v>
      </c>
      <c r="E925" s="16" t="str">
        <f t="shared" si="397"/>
        <v>Feb</v>
      </c>
      <c r="F925" s="1">
        <f t="shared" si="398"/>
        <v>2025</v>
      </c>
      <c r="G925" t="s">
        <v>1050</v>
      </c>
      <c r="H925" s="17">
        <v>45938</v>
      </c>
      <c r="I925" s="21">
        <f t="shared" si="399"/>
        <v>248</v>
      </c>
      <c r="J925" s="6" t="str">
        <f t="shared" si="400"/>
        <v>OK</v>
      </c>
      <c r="K925" s="1" t="s">
        <v>3509</v>
      </c>
      <c r="L925" s="1" t="s">
        <v>158</v>
      </c>
      <c r="M925" s="1" t="str">
        <f t="shared" si="379"/>
        <v>Sneha Kapoor</v>
      </c>
      <c r="N925" s="1" t="s">
        <v>104</v>
      </c>
      <c r="O925" s="1" t="str">
        <f t="shared" si="380"/>
        <v>Corporate</v>
      </c>
      <c r="P925" s="1" t="s">
        <v>41</v>
      </c>
      <c r="Q925" s="1" t="str">
        <f t="shared" si="381"/>
        <v>East</v>
      </c>
      <c r="R925" s="1" t="str">
        <f t="shared" si="382"/>
        <v>OK</v>
      </c>
      <c r="S925" s="1" t="s">
        <v>174</v>
      </c>
      <c r="T925" s="1" t="str">
        <f t="shared" si="383"/>
        <v>Bihar</v>
      </c>
      <c r="U925" s="1" t="s">
        <v>175</v>
      </c>
      <c r="V925" s="1" t="str">
        <f t="shared" si="384"/>
        <v>Patna</v>
      </c>
      <c r="W925" s="1" t="s">
        <v>83</v>
      </c>
      <c r="X925" s="1" t="str">
        <f t="shared" si="385"/>
        <v>Technology</v>
      </c>
      <c r="Y925" s="1" t="s">
        <v>84</v>
      </c>
      <c r="Z925" s="1" t="str">
        <f t="shared" si="386"/>
        <v>Accessories</v>
      </c>
      <c r="AA925" s="1" t="s">
        <v>3510</v>
      </c>
      <c r="AB925" s="1" t="s">
        <v>65</v>
      </c>
      <c r="AC925" s="1" t="str">
        <f t="shared" si="387"/>
        <v>Standard Class</v>
      </c>
      <c r="AD925" s="1" t="str">
        <f t="shared" si="388"/>
        <v>OK</v>
      </c>
      <c r="AE925" s="1">
        <v>4</v>
      </c>
      <c r="AF925" s="1">
        <v>1912.45</v>
      </c>
      <c r="AG925" s="9">
        <v>0</v>
      </c>
      <c r="AH925" s="9">
        <f t="shared" si="389"/>
        <v>0</v>
      </c>
      <c r="AI925" s="1" t="str">
        <f t="shared" si="390"/>
        <v>OK</v>
      </c>
      <c r="AJ925" s="1">
        <v>7649.8</v>
      </c>
      <c r="AK925" s="1">
        <v>4894.53</v>
      </c>
      <c r="AL925" s="1">
        <v>2755.27</v>
      </c>
      <c r="AM925" s="13">
        <f t="shared" si="391"/>
        <v>7649.8</v>
      </c>
      <c r="AN925" s="9">
        <f t="shared" si="392"/>
        <v>2755.2700000000004</v>
      </c>
      <c r="AO925" s="9">
        <f t="shared" si="401"/>
        <v>0.36017542942299152</v>
      </c>
      <c r="AP925" s="1" t="s">
        <v>131</v>
      </c>
      <c r="AQ925" s="1" t="str">
        <f t="shared" si="393"/>
        <v>Pending</v>
      </c>
      <c r="AR925" s="1" t="str">
        <f t="shared" si="394"/>
        <v>OK</v>
      </c>
      <c r="AS925" s="1" t="s">
        <v>120</v>
      </c>
      <c r="AT925" s="4" t="str">
        <f t="shared" si="395"/>
        <v>Returned</v>
      </c>
      <c r="AU925" s="3" t="str">
        <f t="shared" si="396"/>
        <v>RETURNED_ORDER</v>
      </c>
      <c r="AV925" s="3" t="str">
        <f t="shared" si="402"/>
        <v>CLEAN</v>
      </c>
      <c r="AW925" t="str">
        <f t="shared" si="403"/>
        <v>MATCH</v>
      </c>
      <c r="AX925" t="str">
        <f t="shared" si="404"/>
        <v>MATCH</v>
      </c>
    </row>
    <row r="926" spans="1:50" ht="15.6" hidden="1">
      <c r="A926" s="1" t="s">
        <v>3511</v>
      </c>
      <c r="B926" s="1">
        <f t="shared" si="378"/>
        <v>1</v>
      </c>
      <c r="C926" s="16">
        <v>45775</v>
      </c>
      <c r="D926" s="16">
        <v>45775</v>
      </c>
      <c r="E926" s="16" t="str">
        <f t="shared" si="397"/>
        <v>Apr</v>
      </c>
      <c r="F926" s="1">
        <f t="shared" si="398"/>
        <v>2025</v>
      </c>
      <c r="G926" t="s">
        <v>113</v>
      </c>
      <c r="H926" s="17">
        <v>45797</v>
      </c>
      <c r="I926" s="21">
        <f t="shared" si="399"/>
        <v>22</v>
      </c>
      <c r="J926" s="6" t="str">
        <f t="shared" si="400"/>
        <v>OK</v>
      </c>
      <c r="K926" s="1" t="s">
        <v>3513</v>
      </c>
      <c r="L926" s="1" t="s">
        <v>153</v>
      </c>
      <c r="M926" s="1" t="str">
        <f t="shared" si="379"/>
        <v>Aarav Sharma</v>
      </c>
      <c r="N926" s="1" t="s">
        <v>40</v>
      </c>
      <c r="O926" s="1" t="str">
        <f t="shared" si="380"/>
        <v>Small Business</v>
      </c>
      <c r="P926" s="1" t="s">
        <v>71</v>
      </c>
      <c r="Q926" s="1" t="str">
        <f t="shared" si="381"/>
        <v>West</v>
      </c>
      <c r="R926" s="1" t="str">
        <f t="shared" si="382"/>
        <v>OK</v>
      </c>
      <c r="S926" s="1" t="s">
        <v>230</v>
      </c>
      <c r="T926" s="1" t="str">
        <f t="shared" si="383"/>
        <v>Goa</v>
      </c>
      <c r="U926" s="1" t="s">
        <v>231</v>
      </c>
      <c r="V926" s="1" t="str">
        <f t="shared" si="384"/>
        <v>Panaji</v>
      </c>
      <c r="W926" s="1" t="s">
        <v>29</v>
      </c>
      <c r="X926" s="1" t="str">
        <f t="shared" si="385"/>
        <v>Office Supplies</v>
      </c>
      <c r="Y926" s="1" t="s">
        <v>148</v>
      </c>
      <c r="Z926" s="1" t="str">
        <f t="shared" si="386"/>
        <v>Storage</v>
      </c>
      <c r="AA926" s="1" t="s">
        <v>3514</v>
      </c>
      <c r="AB926" s="1" t="s">
        <v>47</v>
      </c>
      <c r="AC926" s="1" t="str">
        <f t="shared" si="387"/>
        <v>Same Day</v>
      </c>
      <c r="AD926" s="1" t="str">
        <f t="shared" si="388"/>
        <v>OK</v>
      </c>
      <c r="AE926" s="1">
        <v>1</v>
      </c>
      <c r="AF926" s="1">
        <v>1620.87</v>
      </c>
      <c r="AG926" s="9">
        <v>0</v>
      </c>
      <c r="AH926" s="9">
        <f t="shared" si="389"/>
        <v>0</v>
      </c>
      <c r="AI926" s="1" t="str">
        <f t="shared" si="390"/>
        <v>OK</v>
      </c>
      <c r="AJ926" s="1">
        <v>1620.87</v>
      </c>
      <c r="AK926" s="1">
        <v>1103.6099999999999</v>
      </c>
      <c r="AL926" s="1">
        <v>517.26</v>
      </c>
      <c r="AM926" s="13">
        <f t="shared" si="391"/>
        <v>1620.87</v>
      </c>
      <c r="AN926" s="9">
        <f t="shared" si="392"/>
        <v>517.26</v>
      </c>
      <c r="AO926" s="9">
        <f t="shared" si="401"/>
        <v>0.31912491439782342</v>
      </c>
      <c r="AP926" s="1" t="s">
        <v>33</v>
      </c>
      <c r="AQ926" s="1" t="str">
        <f t="shared" si="393"/>
        <v>Paid</v>
      </c>
      <c r="AR926" s="1" t="str">
        <f t="shared" si="394"/>
        <v>OK</v>
      </c>
      <c r="AS926" s="1" t="s">
        <v>34</v>
      </c>
      <c r="AT926" s="4" t="str">
        <f t="shared" si="395"/>
        <v>Completed</v>
      </c>
      <c r="AU926" s="3" t="str">
        <f t="shared" si="396"/>
        <v>OK</v>
      </c>
      <c r="AV926" s="3" t="str">
        <f t="shared" si="402"/>
        <v>CLEAN</v>
      </c>
      <c r="AW926" t="str">
        <f t="shared" si="403"/>
        <v>MATCH</v>
      </c>
      <c r="AX926" t="str">
        <f t="shared" si="404"/>
        <v>MATCH</v>
      </c>
    </row>
    <row r="927" spans="1:50" ht="15.6" hidden="1">
      <c r="A927" s="1" t="s">
        <v>3515</v>
      </c>
      <c r="B927" s="1">
        <f t="shared" si="378"/>
        <v>1</v>
      </c>
      <c r="C927" s="16">
        <v>45675</v>
      </c>
      <c r="D927" s="16">
        <v>45675</v>
      </c>
      <c r="E927" s="16" t="str">
        <f t="shared" si="397"/>
        <v>Jan</v>
      </c>
      <c r="F927" s="1">
        <f t="shared" si="398"/>
        <v>2025</v>
      </c>
      <c r="G927" t="s">
        <v>828</v>
      </c>
      <c r="H927" s="17">
        <v>45915</v>
      </c>
      <c r="I927" s="21">
        <f t="shared" si="399"/>
        <v>240</v>
      </c>
      <c r="J927" s="6" t="str">
        <f t="shared" si="400"/>
        <v>OK</v>
      </c>
      <c r="K927" s="1" t="s">
        <v>3517</v>
      </c>
      <c r="L927" s="1" t="s">
        <v>90</v>
      </c>
      <c r="M927" s="1" t="str">
        <f t="shared" si="379"/>
        <v>Neha Gupta</v>
      </c>
      <c r="N927" s="1" t="s">
        <v>110</v>
      </c>
      <c r="O927" s="1" t="str">
        <f t="shared" si="380"/>
        <v>Home Office</v>
      </c>
      <c r="P927" s="1" t="s">
        <v>60</v>
      </c>
      <c r="Q927" s="1" t="str">
        <f t="shared" si="381"/>
        <v>South</v>
      </c>
      <c r="R927" s="1" t="str">
        <f t="shared" si="382"/>
        <v>OK</v>
      </c>
      <c r="S927" s="1" t="s">
        <v>212</v>
      </c>
      <c r="T927" s="1" t="str">
        <f t="shared" si="383"/>
        <v>Karnataka</v>
      </c>
      <c r="U927" s="1" t="s">
        <v>213</v>
      </c>
      <c r="V927" s="1" t="str">
        <f t="shared" si="384"/>
        <v>Bengaluru</v>
      </c>
      <c r="W927" s="1" t="s">
        <v>29</v>
      </c>
      <c r="X927" s="1" t="str">
        <f t="shared" si="385"/>
        <v>Office Supplies</v>
      </c>
      <c r="Y927" s="1" t="s">
        <v>148</v>
      </c>
      <c r="Z927" s="1" t="str">
        <f t="shared" si="386"/>
        <v>Storage</v>
      </c>
      <c r="AA927" s="1" t="s">
        <v>3518</v>
      </c>
      <c r="AB927" s="1" t="s">
        <v>47</v>
      </c>
      <c r="AC927" s="1" t="str">
        <f t="shared" si="387"/>
        <v>Same Day</v>
      </c>
      <c r="AD927" s="1" t="str">
        <f t="shared" si="388"/>
        <v>OK</v>
      </c>
      <c r="AE927" s="1">
        <v>2</v>
      </c>
      <c r="AF927" s="1">
        <v>2098.54</v>
      </c>
      <c r="AG927" s="9">
        <v>0.15</v>
      </c>
      <c r="AH927" s="9">
        <f t="shared" si="389"/>
        <v>0.15</v>
      </c>
      <c r="AI927" s="1" t="str">
        <f t="shared" si="390"/>
        <v>OK</v>
      </c>
      <c r="AJ927" s="1">
        <v>3567.52</v>
      </c>
      <c r="AK927" s="1">
        <v>2411.8000000000002</v>
      </c>
      <c r="AL927" s="1">
        <v>1155.72</v>
      </c>
      <c r="AM927" s="13">
        <f t="shared" si="391"/>
        <v>3567.518</v>
      </c>
      <c r="AN927" s="9">
        <f t="shared" si="392"/>
        <v>1155.7179999999998</v>
      </c>
      <c r="AO927" s="9">
        <f t="shared" si="401"/>
        <v>0.32395575859743381</v>
      </c>
      <c r="AP927" s="1" t="s">
        <v>33</v>
      </c>
      <c r="AQ927" s="1" t="str">
        <f t="shared" si="393"/>
        <v>Paid</v>
      </c>
      <c r="AR927" s="1" t="str">
        <f t="shared" si="394"/>
        <v>OK</v>
      </c>
      <c r="AS927" s="1" t="s">
        <v>34</v>
      </c>
      <c r="AT927" s="4" t="str">
        <f t="shared" si="395"/>
        <v>Completed</v>
      </c>
      <c r="AU927" s="3" t="str">
        <f t="shared" si="396"/>
        <v>OK</v>
      </c>
      <c r="AV927" s="3" t="str">
        <f t="shared" si="402"/>
        <v>CLEAN</v>
      </c>
      <c r="AW927" t="str">
        <f t="shared" si="403"/>
        <v>MATCH</v>
      </c>
      <c r="AX927" t="str">
        <f t="shared" si="404"/>
        <v>MATCH</v>
      </c>
    </row>
    <row r="928" spans="1:50" ht="15.6">
      <c r="A928" s="1" t="s">
        <v>3523</v>
      </c>
      <c r="B928" s="1">
        <f t="shared" si="378"/>
        <v>1</v>
      </c>
      <c r="C928" s="16">
        <v>45773</v>
      </c>
      <c r="D928" s="16">
        <v>45773</v>
      </c>
      <c r="E928" s="16" t="str">
        <f t="shared" si="397"/>
        <v>Apr</v>
      </c>
      <c r="F928" s="1">
        <f t="shared" si="398"/>
        <v>2025</v>
      </c>
      <c r="G928" t="s">
        <v>1838</v>
      </c>
      <c r="H928" s="17">
        <v>45349</v>
      </c>
      <c r="I928" s="21">
        <f t="shared" si="399"/>
        <v>-424</v>
      </c>
      <c r="J928" s="6" t="str">
        <f t="shared" si="400"/>
        <v>INVALID_SHIPPING</v>
      </c>
      <c r="K928" s="1" t="s">
        <v>3525</v>
      </c>
      <c r="L928" s="1" t="s">
        <v>59</v>
      </c>
      <c r="M928" s="1" t="str">
        <f t="shared" si="379"/>
        <v>Arjun Bose</v>
      </c>
      <c r="N928" s="1" t="s">
        <v>110</v>
      </c>
      <c r="O928" s="1" t="str">
        <f t="shared" si="380"/>
        <v>Home Office</v>
      </c>
      <c r="P928" s="1" t="s">
        <v>60</v>
      </c>
      <c r="Q928" s="1" t="str">
        <f t="shared" si="381"/>
        <v>South</v>
      </c>
      <c r="R928" s="1" t="str">
        <f t="shared" si="382"/>
        <v>OK</v>
      </c>
      <c r="S928" s="1" t="s">
        <v>309</v>
      </c>
      <c r="T928" s="1" t="str">
        <f t="shared" si="383"/>
        <v>Tamil Nadu</v>
      </c>
      <c r="U928" s="1" t="s">
        <v>310</v>
      </c>
      <c r="V928" s="1" t="str">
        <f t="shared" si="384"/>
        <v>Chennai</v>
      </c>
      <c r="W928" s="1" t="s">
        <v>83</v>
      </c>
      <c r="X928" s="1" t="str">
        <f t="shared" si="385"/>
        <v>Technology</v>
      </c>
      <c r="Y928" s="1" t="s">
        <v>84</v>
      </c>
      <c r="Z928" s="1" t="str">
        <f t="shared" si="386"/>
        <v>Accessories</v>
      </c>
      <c r="AA928" s="1" t="s">
        <v>3526</v>
      </c>
      <c r="AB928" s="1" t="s">
        <v>55</v>
      </c>
      <c r="AC928" s="1" t="str">
        <f t="shared" si="387"/>
        <v>First Class</v>
      </c>
      <c r="AD928" s="1" t="str">
        <f t="shared" si="388"/>
        <v>OK</v>
      </c>
      <c r="AE928" s="1">
        <v>7</v>
      </c>
      <c r="AF928" s="1">
        <v>3989.9</v>
      </c>
      <c r="AG928" s="9">
        <v>0.15</v>
      </c>
      <c r="AH928" s="9">
        <f t="shared" si="389"/>
        <v>0.15</v>
      </c>
      <c r="AI928" s="1" t="str">
        <f t="shared" si="390"/>
        <v>OK</v>
      </c>
      <c r="AJ928" s="1">
        <v>23739.9</v>
      </c>
      <c r="AK928" s="1">
        <v>17716.52</v>
      </c>
      <c r="AL928" s="1">
        <v>6023.38</v>
      </c>
      <c r="AM928" s="13">
        <f t="shared" si="391"/>
        <v>23739.904999999999</v>
      </c>
      <c r="AN928" s="9">
        <f t="shared" si="392"/>
        <v>6023.3849999999984</v>
      </c>
      <c r="AO928" s="9">
        <f t="shared" si="401"/>
        <v>0.25372405660427028</v>
      </c>
      <c r="AP928" s="1" t="s">
        <v>33</v>
      </c>
      <c r="AQ928" s="1" t="str">
        <f t="shared" si="393"/>
        <v>Paid</v>
      </c>
      <c r="AR928" s="1" t="str">
        <f t="shared" si="394"/>
        <v>OK</v>
      </c>
      <c r="AS928" s="1" t="s">
        <v>76</v>
      </c>
      <c r="AT928" s="4" t="str">
        <f t="shared" si="395"/>
        <v>Cancelled</v>
      </c>
      <c r="AU928" s="3" t="str">
        <f t="shared" si="396"/>
        <v>EXCLUDE_FROM_SALES</v>
      </c>
      <c r="AV928" s="3" t="str">
        <f t="shared" si="402"/>
        <v>INVALID</v>
      </c>
      <c r="AW928" t="str">
        <f t="shared" si="403"/>
        <v>MISMATCH</v>
      </c>
      <c r="AX928" t="str">
        <f t="shared" si="404"/>
        <v>MISMATCH</v>
      </c>
    </row>
    <row r="929" spans="1:50" ht="15.6">
      <c r="A929" s="1" t="s">
        <v>3530</v>
      </c>
      <c r="B929" s="1">
        <f t="shared" si="378"/>
        <v>1</v>
      </c>
      <c r="C929" s="16">
        <v>45875</v>
      </c>
      <c r="D929" s="16">
        <v>45875</v>
      </c>
      <c r="E929" s="16" t="str">
        <f t="shared" si="397"/>
        <v>Aug</v>
      </c>
      <c r="F929" s="1">
        <f t="shared" si="398"/>
        <v>2025</v>
      </c>
      <c r="G929" t="s">
        <v>2405</v>
      </c>
      <c r="H929" s="17">
        <v>45702</v>
      </c>
      <c r="I929" s="21">
        <f t="shared" si="399"/>
        <v>-173</v>
      </c>
      <c r="J929" s="6" t="str">
        <f t="shared" si="400"/>
        <v>INVALID_SHIPPING</v>
      </c>
      <c r="K929" s="1" t="s">
        <v>3531</v>
      </c>
      <c r="L929" s="1" t="s">
        <v>141</v>
      </c>
      <c r="M929" s="1" t="str">
        <f t="shared" si="379"/>
        <v>Rahul Verma</v>
      </c>
      <c r="N929" s="1" t="s">
        <v>40</v>
      </c>
      <c r="O929" s="1" t="str">
        <f t="shared" si="380"/>
        <v>Small Business</v>
      </c>
      <c r="P929" s="1" t="s">
        <v>71</v>
      </c>
      <c r="Q929" s="1" t="str">
        <f t="shared" si="381"/>
        <v>West</v>
      </c>
      <c r="R929" s="1" t="str">
        <f t="shared" si="382"/>
        <v>OK</v>
      </c>
      <c r="S929" s="1" t="s">
        <v>72</v>
      </c>
      <c r="T929" s="1" t="str">
        <f t="shared" si="383"/>
        <v>Maharashtra</v>
      </c>
      <c r="U929" s="1" t="s">
        <v>73</v>
      </c>
      <c r="V929" s="1" t="str">
        <f t="shared" si="384"/>
        <v>Mumbai</v>
      </c>
      <c r="W929" s="1" t="s">
        <v>29</v>
      </c>
      <c r="X929" s="1" t="str">
        <f t="shared" si="385"/>
        <v>Office Supplies</v>
      </c>
      <c r="Y929" s="1" t="s">
        <v>53</v>
      </c>
      <c r="Z929" s="1" t="str">
        <f t="shared" si="386"/>
        <v>Art</v>
      </c>
      <c r="AA929" s="1" t="s">
        <v>3532</v>
      </c>
      <c r="AB929" s="1" t="s">
        <v>65</v>
      </c>
      <c r="AC929" s="1" t="str">
        <f t="shared" si="387"/>
        <v>Standard Class</v>
      </c>
      <c r="AD929" s="1" t="str">
        <f t="shared" si="388"/>
        <v>OK</v>
      </c>
      <c r="AE929" s="1">
        <v>4</v>
      </c>
      <c r="AF929" s="1">
        <v>3523.64</v>
      </c>
      <c r="AG929" s="9">
        <v>0.1</v>
      </c>
      <c r="AH929" s="9">
        <f t="shared" si="389"/>
        <v>0.1</v>
      </c>
      <c r="AI929" s="1" t="str">
        <f t="shared" si="390"/>
        <v>OK</v>
      </c>
      <c r="AJ929" s="1">
        <v>12685.1</v>
      </c>
      <c r="AK929" s="1">
        <v>10779.56</v>
      </c>
      <c r="AL929" s="1">
        <v>1905.54</v>
      </c>
      <c r="AM929" s="13">
        <f t="shared" si="391"/>
        <v>12685.103999999999</v>
      </c>
      <c r="AN929" s="9">
        <f t="shared" si="392"/>
        <v>1905.5439999999999</v>
      </c>
      <c r="AO929" s="9">
        <f t="shared" si="401"/>
        <v>0.15021902855506741</v>
      </c>
      <c r="AP929" s="1" t="s">
        <v>119</v>
      </c>
      <c r="AQ929" s="1" t="str">
        <f t="shared" si="393"/>
        <v>Refunded</v>
      </c>
      <c r="AR929" s="1" t="str">
        <f t="shared" si="394"/>
        <v>REFUNDED_PAYMENT</v>
      </c>
      <c r="AS929" s="1" t="s">
        <v>76</v>
      </c>
      <c r="AT929" s="4" t="str">
        <f t="shared" si="395"/>
        <v>Cancelled</v>
      </c>
      <c r="AU929" s="3" t="str">
        <f t="shared" si="396"/>
        <v>EXCLUDE_FROM_SALES</v>
      </c>
      <c r="AV929" s="3" t="str">
        <f t="shared" si="402"/>
        <v>INVALID</v>
      </c>
      <c r="AW929" t="str">
        <f t="shared" si="403"/>
        <v>MATCH</v>
      </c>
      <c r="AX929" t="str">
        <f t="shared" si="404"/>
        <v>MATCH</v>
      </c>
    </row>
    <row r="930" spans="1:50" ht="15.6">
      <c r="A930" s="1" t="s">
        <v>3533</v>
      </c>
      <c r="B930" s="1">
        <f t="shared" si="378"/>
        <v>1</v>
      </c>
      <c r="C930" s="16">
        <v>45933</v>
      </c>
      <c r="D930" s="16">
        <v>45933</v>
      </c>
      <c r="E930" s="16" t="str">
        <f t="shared" si="397"/>
        <v>Oct</v>
      </c>
      <c r="F930" s="1">
        <f t="shared" si="398"/>
        <v>2025</v>
      </c>
      <c r="G930" t="s">
        <v>713</v>
      </c>
      <c r="H930" s="17">
        <v>45377</v>
      </c>
      <c r="I930" s="21">
        <f t="shared" si="399"/>
        <v>-556</v>
      </c>
      <c r="J930" s="6" t="str">
        <f t="shared" si="400"/>
        <v>INVALID_SHIPPING</v>
      </c>
      <c r="K930" s="1" t="s">
        <v>1185</v>
      </c>
      <c r="L930" s="1" t="s">
        <v>103</v>
      </c>
      <c r="M930" s="1" t="str">
        <f t="shared" si="379"/>
        <v>Aditi Sen</v>
      </c>
      <c r="N930" s="1" t="s">
        <v>110</v>
      </c>
      <c r="O930" s="1" t="str">
        <f t="shared" si="380"/>
        <v>Home Office</v>
      </c>
      <c r="P930" s="1" t="s">
        <v>71</v>
      </c>
      <c r="Q930" s="1" t="str">
        <f t="shared" si="381"/>
        <v>West</v>
      </c>
      <c r="R930" s="1" t="str">
        <f t="shared" si="382"/>
        <v>OK</v>
      </c>
      <c r="S930" s="1" t="s">
        <v>81</v>
      </c>
      <c r="T930" s="1" t="str">
        <f t="shared" si="383"/>
        <v>Madhya Pradesh</v>
      </c>
      <c r="U930" s="1" t="s">
        <v>82</v>
      </c>
      <c r="V930" s="1" t="str">
        <f t="shared" si="384"/>
        <v>Indore</v>
      </c>
      <c r="W930" s="1" t="s">
        <v>29</v>
      </c>
      <c r="X930" s="1" t="str">
        <f t="shared" si="385"/>
        <v>Office Supplies</v>
      </c>
      <c r="Y930" s="1" t="s">
        <v>148</v>
      </c>
      <c r="Z930" s="1" t="str">
        <f t="shared" si="386"/>
        <v>Storage</v>
      </c>
      <c r="AA930" s="1" t="s">
        <v>3535</v>
      </c>
      <c r="AB930" s="1" t="s">
        <v>55</v>
      </c>
      <c r="AC930" s="1" t="str">
        <f t="shared" si="387"/>
        <v>First Class</v>
      </c>
      <c r="AD930" s="1" t="str">
        <f t="shared" si="388"/>
        <v>OK</v>
      </c>
      <c r="AE930" s="1">
        <v>2</v>
      </c>
      <c r="AF930" s="1">
        <v>3922.08</v>
      </c>
      <c r="AG930" s="9">
        <v>0.25</v>
      </c>
      <c r="AH930" s="9">
        <f t="shared" si="389"/>
        <v>0.25</v>
      </c>
      <c r="AI930" s="1" t="str">
        <f t="shared" si="390"/>
        <v>OK</v>
      </c>
      <c r="AJ930" s="1">
        <v>5883.12</v>
      </c>
      <c r="AK930" s="1">
        <v>4647.91</v>
      </c>
      <c r="AL930" s="1">
        <v>1235.21</v>
      </c>
      <c r="AM930" s="13">
        <f t="shared" si="391"/>
        <v>5883.12</v>
      </c>
      <c r="AN930" s="9">
        <f t="shared" si="392"/>
        <v>1235.21</v>
      </c>
      <c r="AO930" s="9">
        <f t="shared" si="401"/>
        <v>0.20995832143488491</v>
      </c>
      <c r="AP930" s="1" t="s">
        <v>33</v>
      </c>
      <c r="AQ930" s="1" t="str">
        <f t="shared" si="393"/>
        <v>Paid</v>
      </c>
      <c r="AR930" s="1" t="str">
        <f t="shared" si="394"/>
        <v>OK</v>
      </c>
      <c r="AS930" s="1" t="s">
        <v>120</v>
      </c>
      <c r="AT930" s="4" t="str">
        <f t="shared" si="395"/>
        <v>Returned</v>
      </c>
      <c r="AU930" s="3" t="str">
        <f t="shared" si="396"/>
        <v>RETURNED_ORDER</v>
      </c>
      <c r="AV930" s="3" t="str">
        <f t="shared" si="402"/>
        <v>INVALID</v>
      </c>
      <c r="AW930" t="str">
        <f t="shared" si="403"/>
        <v>MATCH</v>
      </c>
      <c r="AX930" t="str">
        <f t="shared" si="404"/>
        <v>MATCH</v>
      </c>
    </row>
    <row r="931" spans="1:50" ht="15.6">
      <c r="A931" s="1" t="s">
        <v>3542</v>
      </c>
      <c r="B931" s="1">
        <f t="shared" si="378"/>
        <v>1</v>
      </c>
      <c r="C931" s="16">
        <v>45995</v>
      </c>
      <c r="D931" s="16">
        <v>45995</v>
      </c>
      <c r="E931" s="16" t="str">
        <f t="shared" si="397"/>
        <v>Dec</v>
      </c>
      <c r="F931" s="1">
        <f t="shared" si="398"/>
        <v>2025</v>
      </c>
      <c r="G931" t="s">
        <v>1239</v>
      </c>
      <c r="H931" s="17">
        <v>45528</v>
      </c>
      <c r="I931" s="21">
        <f t="shared" si="399"/>
        <v>-467</v>
      </c>
      <c r="J931" s="6" t="str">
        <f t="shared" si="400"/>
        <v>INVALID_SHIPPING</v>
      </c>
      <c r="K931" s="1" t="s">
        <v>3543</v>
      </c>
      <c r="L931" s="1" t="s">
        <v>52</v>
      </c>
      <c r="M931" s="1" t="str">
        <f t="shared" si="379"/>
        <v>Isha Nair</v>
      </c>
      <c r="N931" s="1" t="s">
        <v>40</v>
      </c>
      <c r="O931" s="1" t="str">
        <f t="shared" si="380"/>
        <v>Small Business</v>
      </c>
      <c r="P931" s="1" t="s">
        <v>41</v>
      </c>
      <c r="Q931" s="1" t="str">
        <f t="shared" si="381"/>
        <v>East</v>
      </c>
      <c r="R931" s="1" t="str">
        <f t="shared" si="382"/>
        <v>OK</v>
      </c>
      <c r="S931" s="1" t="s">
        <v>284</v>
      </c>
      <c r="T931" s="1" t="str">
        <f t="shared" si="383"/>
        <v>Jharkhand</v>
      </c>
      <c r="U931" s="1" t="s">
        <v>285</v>
      </c>
      <c r="V931" s="1" t="str">
        <f t="shared" si="384"/>
        <v>Ranchi</v>
      </c>
      <c r="W931" s="1" t="s">
        <v>83</v>
      </c>
      <c r="X931" s="1" t="str">
        <f t="shared" si="385"/>
        <v>Technology</v>
      </c>
      <c r="Y931" s="1" t="s">
        <v>91</v>
      </c>
      <c r="Z931" s="1" t="str">
        <f t="shared" si="386"/>
        <v>Copiers</v>
      </c>
      <c r="AA931" s="1" t="s">
        <v>3544</v>
      </c>
      <c r="AB931" s="1" t="s">
        <v>47</v>
      </c>
      <c r="AC931" s="1" t="str">
        <f t="shared" si="387"/>
        <v>Same Day</v>
      </c>
      <c r="AD931" s="1" t="str">
        <f t="shared" si="388"/>
        <v>OK</v>
      </c>
      <c r="AE931" s="1">
        <v>1</v>
      </c>
      <c r="AF931" s="1">
        <v>726.89</v>
      </c>
      <c r="AG931" s="9">
        <v>0.2</v>
      </c>
      <c r="AH931" s="9">
        <f t="shared" si="389"/>
        <v>0.2</v>
      </c>
      <c r="AI931" s="1" t="str">
        <f t="shared" si="390"/>
        <v>OK</v>
      </c>
      <c r="AJ931" s="1">
        <v>581.51</v>
      </c>
      <c r="AK931" s="1">
        <v>423.86</v>
      </c>
      <c r="AL931" s="1">
        <v>157.65</v>
      </c>
      <c r="AM931" s="13">
        <f t="shared" si="391"/>
        <v>581.51200000000006</v>
      </c>
      <c r="AN931" s="9">
        <f t="shared" si="392"/>
        <v>157.65200000000004</v>
      </c>
      <c r="AO931" s="9">
        <f t="shared" si="401"/>
        <v>0.27110704508247468</v>
      </c>
      <c r="AP931" s="1" t="s">
        <v>33</v>
      </c>
      <c r="AQ931" s="1" t="str">
        <f t="shared" si="393"/>
        <v>Paid</v>
      </c>
      <c r="AR931" s="1" t="str">
        <f t="shared" si="394"/>
        <v>OK</v>
      </c>
      <c r="AS931" s="1" t="s">
        <v>34</v>
      </c>
      <c r="AT931" s="4" t="str">
        <f t="shared" si="395"/>
        <v>Completed</v>
      </c>
      <c r="AU931" s="3" t="str">
        <f t="shared" si="396"/>
        <v>OK</v>
      </c>
      <c r="AV931" s="3" t="str">
        <f t="shared" si="402"/>
        <v>INVALID</v>
      </c>
      <c r="AW931" t="str">
        <f t="shared" si="403"/>
        <v>MATCH</v>
      </c>
      <c r="AX931" t="str">
        <f t="shared" si="404"/>
        <v>MATCH</v>
      </c>
    </row>
    <row r="932" spans="1:50" ht="15.6">
      <c r="A932" s="1" t="s">
        <v>3559</v>
      </c>
      <c r="B932" s="1">
        <f t="shared" si="378"/>
        <v>1</v>
      </c>
      <c r="C932" s="16">
        <v>45776</v>
      </c>
      <c r="D932" s="16">
        <v>45776</v>
      </c>
      <c r="E932" s="16" t="str">
        <f t="shared" si="397"/>
        <v>Apr</v>
      </c>
      <c r="F932" s="1">
        <f t="shared" si="398"/>
        <v>2025</v>
      </c>
      <c r="G932" t="s">
        <v>633</v>
      </c>
      <c r="H932" s="17">
        <v>45437</v>
      </c>
      <c r="I932" s="21">
        <f t="shared" si="399"/>
        <v>-339</v>
      </c>
      <c r="J932" s="6" t="str">
        <f t="shared" si="400"/>
        <v>INVALID_SHIPPING</v>
      </c>
      <c r="K932" s="1" t="s">
        <v>2801</v>
      </c>
      <c r="L932" s="1" t="s">
        <v>169</v>
      </c>
      <c r="M932" s="1" t="str">
        <f t="shared" si="379"/>
        <v>Rohan Mehta</v>
      </c>
      <c r="N932" s="1" t="s">
        <v>104</v>
      </c>
      <c r="O932" s="1" t="str">
        <f t="shared" si="380"/>
        <v>Corporate</v>
      </c>
      <c r="P932" s="1" t="s">
        <v>26</v>
      </c>
      <c r="Q932" s="1" t="str">
        <f t="shared" si="381"/>
        <v>North</v>
      </c>
      <c r="R932" s="1" t="str">
        <f t="shared" si="382"/>
        <v>OK</v>
      </c>
      <c r="S932" s="1" t="s">
        <v>294</v>
      </c>
      <c r="T932" s="1" t="str">
        <f t="shared" si="383"/>
        <v>Haryana</v>
      </c>
      <c r="U932" s="1" t="s">
        <v>295</v>
      </c>
      <c r="V932" s="1" t="str">
        <f t="shared" si="384"/>
        <v>Gurugram</v>
      </c>
      <c r="W932" s="1" t="s">
        <v>29</v>
      </c>
      <c r="X932" s="1" t="str">
        <f t="shared" si="385"/>
        <v>Office Supplies</v>
      </c>
      <c r="Y932" s="1" t="s">
        <v>30</v>
      </c>
      <c r="Z932" s="1" t="str">
        <f t="shared" si="386"/>
        <v>Paper</v>
      </c>
      <c r="AA932" s="1" t="s">
        <v>3561</v>
      </c>
      <c r="AB932" s="1" t="s">
        <v>55</v>
      </c>
      <c r="AC932" s="1" t="str">
        <f t="shared" si="387"/>
        <v>First Class</v>
      </c>
      <c r="AD932" s="1" t="str">
        <f t="shared" si="388"/>
        <v>OK</v>
      </c>
      <c r="AE932" s="1">
        <v>4</v>
      </c>
      <c r="AF932" s="1">
        <v>1786.65</v>
      </c>
      <c r="AG932" s="9">
        <v>0.05</v>
      </c>
      <c r="AH932" s="9">
        <f t="shared" si="389"/>
        <v>0.05</v>
      </c>
      <c r="AI932" s="1" t="str">
        <f t="shared" si="390"/>
        <v>OK</v>
      </c>
      <c r="AJ932" s="1">
        <v>6789.27</v>
      </c>
      <c r="AK932" s="1">
        <v>5626.43</v>
      </c>
      <c r="AL932" s="1">
        <v>1162.8399999999999</v>
      </c>
      <c r="AM932" s="13">
        <f t="shared" si="391"/>
        <v>6789.27</v>
      </c>
      <c r="AN932" s="9">
        <f t="shared" si="392"/>
        <v>1162.8400000000001</v>
      </c>
      <c r="AO932" s="9">
        <f t="shared" si="401"/>
        <v>0.17127614603631908</v>
      </c>
      <c r="AP932" s="1" t="s">
        <v>33</v>
      </c>
      <c r="AQ932" s="1" t="str">
        <f t="shared" si="393"/>
        <v>Paid</v>
      </c>
      <c r="AR932" s="1" t="str">
        <f t="shared" si="394"/>
        <v>OK</v>
      </c>
      <c r="AS932" s="1" t="s">
        <v>34</v>
      </c>
      <c r="AT932" s="4" t="str">
        <f t="shared" si="395"/>
        <v>Completed</v>
      </c>
      <c r="AU932" s="3" t="str">
        <f t="shared" si="396"/>
        <v>OK</v>
      </c>
      <c r="AV932" s="3" t="str">
        <f t="shared" si="402"/>
        <v>INVALID</v>
      </c>
      <c r="AW932" t="str">
        <f t="shared" si="403"/>
        <v>MATCH</v>
      </c>
      <c r="AX932" t="str">
        <f t="shared" si="404"/>
        <v>MATCH</v>
      </c>
    </row>
    <row r="933" spans="1:50" ht="15.6" hidden="1">
      <c r="A933" s="1" t="s">
        <v>3565</v>
      </c>
      <c r="B933" s="1">
        <f t="shared" si="378"/>
        <v>1</v>
      </c>
      <c r="C933" s="16">
        <v>45804</v>
      </c>
      <c r="D933" s="16">
        <v>45804</v>
      </c>
      <c r="E933" s="16" t="str">
        <f t="shared" si="397"/>
        <v>May</v>
      </c>
      <c r="F933" s="1">
        <f t="shared" si="398"/>
        <v>2025</v>
      </c>
      <c r="G933" t="s">
        <v>1493</v>
      </c>
      <c r="H933" s="17">
        <v>45826</v>
      </c>
      <c r="I933" s="21">
        <f t="shared" si="399"/>
        <v>22</v>
      </c>
      <c r="J933" s="6" t="str">
        <f t="shared" si="400"/>
        <v>OK</v>
      </c>
      <c r="K933" s="1" t="s">
        <v>3567</v>
      </c>
      <c r="L933" s="1" t="s">
        <v>24</v>
      </c>
      <c r="M933" s="1" t="str">
        <f t="shared" si="379"/>
        <v>Karan Malhotra</v>
      </c>
      <c r="N933" s="1" t="s">
        <v>25</v>
      </c>
      <c r="O933" s="1" t="str">
        <f t="shared" si="380"/>
        <v>Consumer</v>
      </c>
      <c r="P933" s="1" t="s">
        <v>26</v>
      </c>
      <c r="Q933" s="1" t="str">
        <f t="shared" si="381"/>
        <v>North</v>
      </c>
      <c r="R933" s="1" t="str">
        <f t="shared" si="382"/>
        <v>OK</v>
      </c>
      <c r="S933" s="1" t="s">
        <v>146</v>
      </c>
      <c r="T933" s="1" t="str">
        <f t="shared" si="383"/>
        <v>Punjab</v>
      </c>
      <c r="U933" s="1" t="s">
        <v>147</v>
      </c>
      <c r="V933" s="1" t="str">
        <f t="shared" si="384"/>
        <v>Ludhiana</v>
      </c>
      <c r="W933" s="1" t="s">
        <v>44</v>
      </c>
      <c r="X933" s="1" t="str">
        <f t="shared" si="385"/>
        <v>Furniture</v>
      </c>
      <c r="Y933" s="1" t="s">
        <v>74</v>
      </c>
      <c r="Z933" s="1" t="str">
        <f t="shared" si="386"/>
        <v>Chairs</v>
      </c>
      <c r="AA933" s="1" t="s">
        <v>3568</v>
      </c>
      <c r="AB933" s="1" t="s">
        <v>55</v>
      </c>
      <c r="AC933" s="1" t="str">
        <f t="shared" si="387"/>
        <v>First Class</v>
      </c>
      <c r="AD933" s="1" t="str">
        <f t="shared" si="388"/>
        <v>OK</v>
      </c>
      <c r="AE933" s="1">
        <v>5</v>
      </c>
      <c r="AF933" s="1">
        <v>881.08</v>
      </c>
      <c r="AG933" s="9">
        <v>0.25</v>
      </c>
      <c r="AH933" s="9">
        <f t="shared" si="389"/>
        <v>0.25</v>
      </c>
      <c r="AI933" s="1" t="str">
        <f t="shared" si="390"/>
        <v>OK</v>
      </c>
      <c r="AJ933" s="1">
        <v>3304.05</v>
      </c>
      <c r="AK933" s="1">
        <v>2279.41</v>
      </c>
      <c r="AL933" s="1">
        <v>1024.6400000000001</v>
      </c>
      <c r="AM933" s="13">
        <f t="shared" si="391"/>
        <v>3304.05</v>
      </c>
      <c r="AN933" s="9">
        <f t="shared" si="392"/>
        <v>1024.6400000000003</v>
      </c>
      <c r="AO933" s="9">
        <f t="shared" si="401"/>
        <v>0.31011637233092726</v>
      </c>
      <c r="AP933" s="1" t="s">
        <v>186</v>
      </c>
      <c r="AQ933" s="1" t="str">
        <f t="shared" si="393"/>
        <v>Failed</v>
      </c>
      <c r="AR933" s="1" t="str">
        <f t="shared" si="394"/>
        <v>EXCLUDE_FROM_SALES</v>
      </c>
      <c r="AS933" s="1" t="s">
        <v>76</v>
      </c>
      <c r="AT933" s="4" t="str">
        <f t="shared" si="395"/>
        <v>Cancelled</v>
      </c>
      <c r="AU933" s="3" t="str">
        <f t="shared" si="396"/>
        <v>EXCLUDE_FROM_SALES</v>
      </c>
      <c r="AV933" s="3" t="str">
        <f t="shared" si="402"/>
        <v>CLEAN</v>
      </c>
      <c r="AW933" t="str">
        <f t="shared" si="403"/>
        <v>MATCH</v>
      </c>
      <c r="AX933" t="str">
        <f t="shared" si="404"/>
        <v>MATCH</v>
      </c>
    </row>
    <row r="934" spans="1:50">
      <c r="I934" s="21"/>
      <c r="J934" s="6"/>
      <c r="AC934" s="1"/>
      <c r="AD934" s="1"/>
    </row>
    <row r="938" spans="1:50">
      <c r="AG938" s="10" t="b">
        <f>ISNUMBER(AG681)</f>
        <v>1</v>
      </c>
    </row>
  </sheetData>
  <autoFilter ref="A1:AX933" xr:uid="{AFE5BD7C-4DE1-415D-BFAB-90FC9ED52480}">
    <filterColumn colId="47">
      <filters>
        <filter val="INVALID"/>
      </filters>
    </filterColumn>
  </autoFilter>
  <conditionalFormatting sqref="I1:I1048576">
    <cfRule type="cellIs" dxfId="1" priority="1" operator="lessThan">
      <formula>0</formula>
    </cfRule>
  </conditionalFormatting>
  <conditionalFormatting sqref="I3">
    <cfRule type="cellIs" dxfId="0" priority="2" operator="less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Sales_Profit_By_Region</vt:lpstr>
      <vt:lpstr>Sales_Profit_By_Category</vt:lpstr>
      <vt:lpstr>Order_Count_By_Ship_Mode</vt:lpstr>
      <vt:lpstr>Profit_Margin_By_Segment</vt:lpstr>
      <vt:lpstr>Special_Order_Status_By_Region</vt:lpstr>
      <vt:lpstr>Monthly_Sales_Trend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GATTANI</dc:creator>
  <cp:lastModifiedBy>KAVYA GATTANI</cp:lastModifiedBy>
  <dcterms:created xsi:type="dcterms:W3CDTF">2026-06-19T06:28:33Z</dcterms:created>
  <dcterms:modified xsi:type="dcterms:W3CDTF">2026-06-19T21:01:00Z</dcterms:modified>
</cp:coreProperties>
</file>